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is_\Downloads\"/>
    </mc:Choice>
  </mc:AlternateContent>
  <xr:revisionPtr revIDLastSave="0" documentId="13_ncr:1_{CC18A18B-4DD7-4582-86AC-8C79F10A7D6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ompras" sheetId="3" r:id="rId1"/>
    <sheet name="Ventas" sheetId="4" r:id="rId2"/>
    <sheet name="Mobil Neto" sheetId="5" state="hidden" r:id="rId3"/>
    <sheet name="CxC" sheetId="6" r:id="rId4"/>
  </sheets>
  <definedNames>
    <definedName name="_xlnm._FilterDatabase" localSheetId="1" hidden="1">Ventas!$A$1:$J$1451</definedName>
  </definedNames>
  <calcPr calcId="181029"/>
</workbook>
</file>

<file path=xl/calcChain.xml><?xml version="1.0" encoding="utf-8"?>
<calcChain xmlns="http://schemas.openxmlformats.org/spreadsheetml/2006/main">
  <c r="D50" i="6" l="1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D3" i="6" s="1"/>
  <c r="B2" i="6"/>
  <c r="A2" i="6"/>
  <c r="Q19" i="5"/>
  <c r="Q18" i="5"/>
  <c r="L17" i="5"/>
  <c r="K17" i="5"/>
  <c r="J17" i="5"/>
  <c r="I17" i="5"/>
  <c r="H17" i="5"/>
  <c r="G17" i="5"/>
  <c r="E17" i="5"/>
  <c r="F17" i="5" s="1"/>
  <c r="L16" i="5"/>
  <c r="K16" i="5"/>
  <c r="J16" i="5"/>
  <c r="I16" i="5"/>
  <c r="H16" i="5"/>
  <c r="G16" i="5"/>
  <c r="E16" i="5"/>
  <c r="F16" i="5" s="1"/>
  <c r="L15" i="5"/>
  <c r="K15" i="5"/>
  <c r="J15" i="5"/>
  <c r="I15" i="5"/>
  <c r="H15" i="5"/>
  <c r="G15" i="5"/>
  <c r="E15" i="5"/>
  <c r="F15" i="5" s="1"/>
  <c r="L14" i="5"/>
  <c r="K14" i="5"/>
  <c r="J14" i="5"/>
  <c r="I14" i="5"/>
  <c r="H14" i="5"/>
  <c r="G14" i="5"/>
  <c r="E14" i="5"/>
  <c r="F14" i="5" s="1"/>
  <c r="L13" i="5"/>
  <c r="K13" i="5"/>
  <c r="J13" i="5"/>
  <c r="I13" i="5"/>
  <c r="H13" i="5"/>
  <c r="G13" i="5"/>
  <c r="E13" i="5"/>
  <c r="F13" i="5" s="1"/>
  <c r="L12" i="5"/>
  <c r="K12" i="5"/>
  <c r="J12" i="5"/>
  <c r="I12" i="5"/>
  <c r="H12" i="5"/>
  <c r="G12" i="5"/>
  <c r="E12" i="5"/>
  <c r="F12" i="5" s="1"/>
  <c r="L11" i="5"/>
  <c r="H11" i="5"/>
  <c r="G11" i="5"/>
  <c r="D11" i="5"/>
  <c r="L10" i="5"/>
  <c r="K10" i="5"/>
  <c r="J10" i="5"/>
  <c r="I10" i="5"/>
  <c r="H10" i="5"/>
  <c r="G10" i="5"/>
  <c r="E10" i="5"/>
  <c r="F10" i="5" s="1"/>
  <c r="L9" i="5"/>
  <c r="K9" i="5"/>
  <c r="J9" i="5"/>
  <c r="I9" i="5"/>
  <c r="H9" i="5"/>
  <c r="G9" i="5"/>
  <c r="E9" i="5"/>
  <c r="F9" i="5" s="1"/>
  <c r="L8" i="5"/>
  <c r="K8" i="5"/>
  <c r="J8" i="5"/>
  <c r="I8" i="5"/>
  <c r="H8" i="5"/>
  <c r="G8" i="5"/>
  <c r="E8" i="5"/>
  <c r="F8" i="5" s="1"/>
  <c r="L7" i="5"/>
  <c r="K7" i="5"/>
  <c r="J7" i="5"/>
  <c r="I7" i="5"/>
  <c r="H7" i="5"/>
  <c r="G7" i="5"/>
  <c r="E7" i="5"/>
  <c r="F7" i="5" s="1"/>
  <c r="L6" i="5"/>
  <c r="K6" i="5"/>
  <c r="J6" i="5"/>
  <c r="I6" i="5"/>
  <c r="H6" i="5"/>
  <c r="G6" i="5"/>
  <c r="E6" i="5"/>
  <c r="F6" i="5" s="1"/>
  <c r="P5" i="5"/>
  <c r="L5" i="5"/>
  <c r="K5" i="5"/>
  <c r="J5" i="5"/>
  <c r="I5" i="5"/>
  <c r="H5" i="5"/>
  <c r="G5" i="5"/>
  <c r="F5" i="5"/>
  <c r="E5" i="5"/>
  <c r="L4" i="5"/>
  <c r="K4" i="5"/>
  <c r="J4" i="5"/>
  <c r="I4" i="5"/>
  <c r="H4" i="5"/>
  <c r="G4" i="5"/>
  <c r="F4" i="5"/>
  <c r="E4" i="5"/>
  <c r="P3" i="5"/>
  <c r="P4" i="5" s="1"/>
  <c r="L3" i="5"/>
  <c r="K3" i="5"/>
  <c r="J3" i="5"/>
  <c r="I3" i="5"/>
  <c r="H3" i="5"/>
  <c r="G3" i="5"/>
  <c r="E3" i="5"/>
  <c r="F3" i="5" s="1"/>
  <c r="L2" i="5"/>
  <c r="K2" i="5"/>
  <c r="J2" i="5"/>
  <c r="I2" i="5"/>
  <c r="H2" i="5"/>
  <c r="G2" i="5"/>
  <c r="E2" i="5"/>
  <c r="F2" i="5" s="1"/>
  <c r="J1451" i="4"/>
  <c r="F1451" i="4"/>
  <c r="G1451" i="4" s="1"/>
  <c r="J1450" i="4"/>
  <c r="F1450" i="4"/>
  <c r="G1450" i="4" s="1"/>
  <c r="J1449" i="4"/>
  <c r="F1449" i="4"/>
  <c r="G1449" i="4" s="1"/>
  <c r="J1448" i="4"/>
  <c r="F1448" i="4"/>
  <c r="G1448" i="4" s="1"/>
  <c r="J1447" i="4"/>
  <c r="F1447" i="4"/>
  <c r="G1447" i="4" s="1"/>
  <c r="J1446" i="4"/>
  <c r="F1446" i="4"/>
  <c r="G1446" i="4" s="1"/>
  <c r="J1445" i="4"/>
  <c r="F1445" i="4"/>
  <c r="G1445" i="4" s="1"/>
  <c r="J1444" i="4"/>
  <c r="F1444" i="4"/>
  <c r="G1444" i="4" s="1"/>
  <c r="J1443" i="4"/>
  <c r="F1443" i="4"/>
  <c r="G1443" i="4" s="1"/>
  <c r="J1442" i="4"/>
  <c r="F1442" i="4"/>
  <c r="G1442" i="4" s="1"/>
  <c r="J1441" i="4"/>
  <c r="F1441" i="4"/>
  <c r="G1441" i="4" s="1"/>
  <c r="J1440" i="4"/>
  <c r="F1440" i="4"/>
  <c r="G1440" i="4" s="1"/>
  <c r="J1439" i="4"/>
  <c r="F1439" i="4"/>
  <c r="G1439" i="4" s="1"/>
  <c r="J1438" i="4"/>
  <c r="F1438" i="4"/>
  <c r="G1438" i="4" s="1"/>
  <c r="J1437" i="4"/>
  <c r="F1437" i="4"/>
  <c r="G1437" i="4" s="1"/>
  <c r="J1436" i="4"/>
  <c r="F1436" i="4"/>
  <c r="G1436" i="4" s="1"/>
  <c r="J1435" i="4"/>
  <c r="F1435" i="4"/>
  <c r="G1435" i="4" s="1"/>
  <c r="J1434" i="4"/>
  <c r="F1434" i="4"/>
  <c r="G1434" i="4" s="1"/>
  <c r="J1433" i="4"/>
  <c r="F1433" i="4"/>
  <c r="G1433" i="4" s="1"/>
  <c r="J1432" i="4"/>
  <c r="F1432" i="4"/>
  <c r="G1432" i="4" s="1"/>
  <c r="J1431" i="4"/>
  <c r="F1431" i="4"/>
  <c r="G1431" i="4" s="1"/>
  <c r="J1430" i="4"/>
  <c r="F1430" i="4"/>
  <c r="G1430" i="4" s="1"/>
  <c r="J1429" i="4"/>
  <c r="F1429" i="4"/>
  <c r="G1429" i="4" s="1"/>
  <c r="J1428" i="4"/>
  <c r="F1428" i="4"/>
  <c r="G1428" i="4" s="1"/>
  <c r="J1427" i="4"/>
  <c r="F1427" i="4"/>
  <c r="G1427" i="4" s="1"/>
  <c r="J1426" i="4"/>
  <c r="F1426" i="4"/>
  <c r="G1426" i="4" s="1"/>
  <c r="J1425" i="4"/>
  <c r="F1425" i="4"/>
  <c r="G1425" i="4" s="1"/>
  <c r="J1424" i="4"/>
  <c r="F1424" i="4"/>
  <c r="G1424" i="4" s="1"/>
  <c r="J1423" i="4"/>
  <c r="F1423" i="4"/>
  <c r="G1423" i="4" s="1"/>
  <c r="J1422" i="4"/>
  <c r="F1422" i="4"/>
  <c r="G1422" i="4" s="1"/>
  <c r="J1421" i="4"/>
  <c r="F1421" i="4"/>
  <c r="G1421" i="4" s="1"/>
  <c r="J1420" i="4"/>
  <c r="F1420" i="4"/>
  <c r="G1420" i="4" s="1"/>
  <c r="J1419" i="4"/>
  <c r="F1419" i="4"/>
  <c r="G1419" i="4" s="1"/>
  <c r="J1418" i="4"/>
  <c r="F1418" i="4"/>
  <c r="G1418" i="4" s="1"/>
  <c r="J1417" i="4"/>
  <c r="F1417" i="4"/>
  <c r="G1417" i="4" s="1"/>
  <c r="J1416" i="4"/>
  <c r="F1416" i="4"/>
  <c r="G1416" i="4" s="1"/>
  <c r="J1415" i="4"/>
  <c r="F1415" i="4"/>
  <c r="G1415" i="4" s="1"/>
  <c r="J1414" i="4"/>
  <c r="F1414" i="4"/>
  <c r="G1414" i="4" s="1"/>
  <c r="J1413" i="4"/>
  <c r="F1413" i="4"/>
  <c r="G1413" i="4" s="1"/>
  <c r="J1412" i="4"/>
  <c r="F1412" i="4"/>
  <c r="G1412" i="4" s="1"/>
  <c r="J1411" i="4"/>
  <c r="F1411" i="4"/>
  <c r="G1411" i="4" s="1"/>
  <c r="J1410" i="4"/>
  <c r="F1410" i="4"/>
  <c r="G1410" i="4" s="1"/>
  <c r="J1409" i="4"/>
  <c r="F1409" i="4"/>
  <c r="G1409" i="4" s="1"/>
  <c r="J1408" i="4"/>
  <c r="F1408" i="4"/>
  <c r="G1408" i="4" s="1"/>
  <c r="J1407" i="4"/>
  <c r="F1407" i="4"/>
  <c r="G1407" i="4" s="1"/>
  <c r="J1406" i="4"/>
  <c r="F1406" i="4"/>
  <c r="G1406" i="4" s="1"/>
  <c r="J1405" i="4"/>
  <c r="F1405" i="4"/>
  <c r="G1405" i="4" s="1"/>
  <c r="J1404" i="4"/>
  <c r="F1404" i="4"/>
  <c r="G1404" i="4" s="1"/>
  <c r="J1403" i="4"/>
  <c r="F1403" i="4"/>
  <c r="G1403" i="4" s="1"/>
  <c r="J1402" i="4"/>
  <c r="F1402" i="4"/>
  <c r="G1402" i="4" s="1"/>
  <c r="J1401" i="4"/>
  <c r="F1401" i="4"/>
  <c r="G1401" i="4" s="1"/>
  <c r="J1400" i="4"/>
  <c r="F1400" i="4"/>
  <c r="G1400" i="4" s="1"/>
  <c r="J1399" i="4"/>
  <c r="F1399" i="4"/>
  <c r="G1399" i="4" s="1"/>
  <c r="J1398" i="4"/>
  <c r="F1398" i="4"/>
  <c r="G1398" i="4" s="1"/>
  <c r="J1397" i="4"/>
  <c r="F1397" i="4"/>
  <c r="G1397" i="4" s="1"/>
  <c r="J1396" i="4"/>
  <c r="F1396" i="4"/>
  <c r="G1396" i="4" s="1"/>
  <c r="J1395" i="4"/>
  <c r="F1395" i="4"/>
  <c r="G1395" i="4" s="1"/>
  <c r="J1394" i="4"/>
  <c r="F1394" i="4"/>
  <c r="G1394" i="4" s="1"/>
  <c r="J1393" i="4"/>
  <c r="F1393" i="4"/>
  <c r="G1393" i="4" s="1"/>
  <c r="J1392" i="4"/>
  <c r="F1392" i="4"/>
  <c r="G1392" i="4" s="1"/>
  <c r="J1391" i="4"/>
  <c r="F1391" i="4"/>
  <c r="G1391" i="4" s="1"/>
  <c r="J1390" i="4"/>
  <c r="F1390" i="4"/>
  <c r="G1390" i="4" s="1"/>
  <c r="J1389" i="4"/>
  <c r="F1389" i="4"/>
  <c r="G1389" i="4" s="1"/>
  <c r="J1388" i="4"/>
  <c r="F1388" i="4"/>
  <c r="G1388" i="4" s="1"/>
  <c r="J1387" i="4"/>
  <c r="F1387" i="4"/>
  <c r="G1387" i="4" s="1"/>
  <c r="J1386" i="4"/>
  <c r="F1386" i="4"/>
  <c r="G1386" i="4" s="1"/>
  <c r="J1385" i="4"/>
  <c r="F1385" i="4"/>
  <c r="G1385" i="4" s="1"/>
  <c r="J1384" i="4"/>
  <c r="F1384" i="4"/>
  <c r="G1384" i="4" s="1"/>
  <c r="J1383" i="4"/>
  <c r="F1383" i="4"/>
  <c r="G1383" i="4" s="1"/>
  <c r="J1382" i="4"/>
  <c r="F1382" i="4"/>
  <c r="G1382" i="4" s="1"/>
  <c r="J1381" i="4"/>
  <c r="F1381" i="4"/>
  <c r="G1381" i="4" s="1"/>
  <c r="J1380" i="4"/>
  <c r="F1380" i="4"/>
  <c r="G1380" i="4" s="1"/>
  <c r="J1379" i="4"/>
  <c r="F1379" i="4"/>
  <c r="G1379" i="4" s="1"/>
  <c r="J1378" i="4"/>
  <c r="F1378" i="4"/>
  <c r="G1378" i="4" s="1"/>
  <c r="J1377" i="4"/>
  <c r="F1377" i="4"/>
  <c r="G1377" i="4" s="1"/>
  <c r="J1376" i="4"/>
  <c r="F1376" i="4"/>
  <c r="G1376" i="4" s="1"/>
  <c r="J1375" i="4"/>
  <c r="F1375" i="4"/>
  <c r="G1375" i="4" s="1"/>
  <c r="J1374" i="4"/>
  <c r="F1374" i="4"/>
  <c r="G1374" i="4" s="1"/>
  <c r="J1373" i="4"/>
  <c r="F1373" i="4"/>
  <c r="G1373" i="4" s="1"/>
  <c r="J1372" i="4"/>
  <c r="F1372" i="4"/>
  <c r="G1372" i="4" s="1"/>
  <c r="J1371" i="4"/>
  <c r="F1371" i="4"/>
  <c r="G1371" i="4" s="1"/>
  <c r="J1370" i="4"/>
  <c r="F1370" i="4"/>
  <c r="G1370" i="4" s="1"/>
  <c r="J1369" i="4"/>
  <c r="F1369" i="4"/>
  <c r="G1369" i="4" s="1"/>
  <c r="J1368" i="4"/>
  <c r="F1368" i="4"/>
  <c r="G1368" i="4" s="1"/>
  <c r="J1367" i="4"/>
  <c r="F1367" i="4"/>
  <c r="G1367" i="4" s="1"/>
  <c r="J1366" i="4"/>
  <c r="F1366" i="4"/>
  <c r="G1366" i="4" s="1"/>
  <c r="J1365" i="4"/>
  <c r="F1365" i="4"/>
  <c r="G1365" i="4" s="1"/>
  <c r="J1364" i="4"/>
  <c r="F1364" i="4"/>
  <c r="G1364" i="4" s="1"/>
  <c r="J1363" i="4"/>
  <c r="F1363" i="4"/>
  <c r="G1363" i="4" s="1"/>
  <c r="J1362" i="4"/>
  <c r="F1362" i="4"/>
  <c r="G1362" i="4" s="1"/>
  <c r="J1361" i="4"/>
  <c r="F1361" i="4"/>
  <c r="G1361" i="4" s="1"/>
  <c r="J1360" i="4"/>
  <c r="F1360" i="4"/>
  <c r="G1360" i="4" s="1"/>
  <c r="J1359" i="4"/>
  <c r="F1359" i="4"/>
  <c r="G1359" i="4" s="1"/>
  <c r="J1358" i="4"/>
  <c r="F1358" i="4"/>
  <c r="G1358" i="4" s="1"/>
  <c r="J1357" i="4"/>
  <c r="F1357" i="4"/>
  <c r="G1357" i="4" s="1"/>
  <c r="J1356" i="4"/>
  <c r="F1356" i="4"/>
  <c r="G1356" i="4" s="1"/>
  <c r="J1355" i="4"/>
  <c r="F1355" i="4"/>
  <c r="G1355" i="4" s="1"/>
  <c r="J1354" i="4"/>
  <c r="F1354" i="4"/>
  <c r="G1354" i="4" s="1"/>
  <c r="J1353" i="4"/>
  <c r="F1353" i="4"/>
  <c r="G1353" i="4" s="1"/>
  <c r="J1352" i="4"/>
  <c r="F1352" i="4"/>
  <c r="G1352" i="4" s="1"/>
  <c r="J1351" i="4"/>
  <c r="F1351" i="4"/>
  <c r="G1351" i="4" s="1"/>
  <c r="J1350" i="4"/>
  <c r="F1350" i="4"/>
  <c r="G1350" i="4" s="1"/>
  <c r="J1349" i="4"/>
  <c r="F1349" i="4"/>
  <c r="G1349" i="4" s="1"/>
  <c r="J1348" i="4"/>
  <c r="F1348" i="4"/>
  <c r="G1348" i="4" s="1"/>
  <c r="J1347" i="4"/>
  <c r="F1347" i="4"/>
  <c r="G1347" i="4" s="1"/>
  <c r="J1346" i="4"/>
  <c r="F1346" i="4"/>
  <c r="G1346" i="4" s="1"/>
  <c r="J1345" i="4"/>
  <c r="F1345" i="4"/>
  <c r="G1345" i="4" s="1"/>
  <c r="J1344" i="4"/>
  <c r="F1344" i="4"/>
  <c r="G1344" i="4" s="1"/>
  <c r="J1343" i="4"/>
  <c r="F1343" i="4"/>
  <c r="G1343" i="4" s="1"/>
  <c r="J1342" i="4"/>
  <c r="F1342" i="4"/>
  <c r="G1342" i="4" s="1"/>
  <c r="J1341" i="4"/>
  <c r="F1341" i="4"/>
  <c r="G1341" i="4" s="1"/>
  <c r="J1340" i="4"/>
  <c r="F1340" i="4"/>
  <c r="G1340" i="4" s="1"/>
  <c r="J1339" i="4"/>
  <c r="F1339" i="4"/>
  <c r="G1339" i="4" s="1"/>
  <c r="J1338" i="4"/>
  <c r="F1338" i="4"/>
  <c r="G1338" i="4" s="1"/>
  <c r="J1337" i="4"/>
  <c r="F1337" i="4"/>
  <c r="G1337" i="4" s="1"/>
  <c r="J1336" i="4"/>
  <c r="F1336" i="4"/>
  <c r="G1336" i="4" s="1"/>
  <c r="J1335" i="4"/>
  <c r="F1335" i="4"/>
  <c r="G1335" i="4" s="1"/>
  <c r="F1334" i="4"/>
  <c r="G1334" i="4" s="1"/>
  <c r="F1333" i="4"/>
  <c r="G1333" i="4" s="1"/>
  <c r="F1332" i="4"/>
  <c r="G1332" i="4" s="1"/>
  <c r="F1331" i="4"/>
  <c r="G1331" i="4" s="1"/>
  <c r="F1330" i="4"/>
  <c r="G1330" i="4" s="1"/>
  <c r="F1329" i="4"/>
  <c r="G1329" i="4" s="1"/>
  <c r="F1328" i="4"/>
  <c r="G1328" i="4" s="1"/>
  <c r="F1327" i="4"/>
  <c r="G1327" i="4" s="1"/>
  <c r="F1326" i="4"/>
  <c r="G1326" i="4" s="1"/>
  <c r="F1325" i="4"/>
  <c r="G1325" i="4" s="1"/>
  <c r="F1324" i="4"/>
  <c r="G1324" i="4" s="1"/>
  <c r="F1323" i="4"/>
  <c r="G1323" i="4" s="1"/>
  <c r="F1322" i="4"/>
  <c r="G1322" i="4" s="1"/>
  <c r="F1321" i="4"/>
  <c r="G1321" i="4" s="1"/>
  <c r="F1320" i="4"/>
  <c r="G1320" i="4" s="1"/>
  <c r="F1319" i="4"/>
  <c r="G1319" i="4" s="1"/>
  <c r="F1318" i="4"/>
  <c r="G1318" i="4" s="1"/>
  <c r="F1317" i="4"/>
  <c r="G1317" i="4" s="1"/>
  <c r="F1316" i="4"/>
  <c r="G1316" i="4" s="1"/>
  <c r="F1315" i="4"/>
  <c r="G1315" i="4" s="1"/>
  <c r="F1314" i="4"/>
  <c r="G1314" i="4" s="1"/>
  <c r="F1313" i="4"/>
  <c r="G1313" i="4" s="1"/>
  <c r="F1312" i="4"/>
  <c r="G1312" i="4" s="1"/>
  <c r="F1311" i="4"/>
  <c r="G1311" i="4" s="1"/>
  <c r="F1310" i="4"/>
  <c r="G1310" i="4" s="1"/>
  <c r="F1309" i="4"/>
  <c r="G1309" i="4" s="1"/>
  <c r="F1308" i="4"/>
  <c r="G1308" i="4" s="1"/>
  <c r="F1307" i="4"/>
  <c r="G1307" i="4" s="1"/>
  <c r="F1306" i="4"/>
  <c r="G1306" i="4" s="1"/>
  <c r="F1305" i="4"/>
  <c r="G1305" i="4" s="1"/>
  <c r="F1304" i="4"/>
  <c r="G1304" i="4" s="1"/>
  <c r="F1303" i="4"/>
  <c r="G1303" i="4" s="1"/>
  <c r="F1302" i="4"/>
  <c r="G1302" i="4" s="1"/>
  <c r="F1301" i="4"/>
  <c r="G1301" i="4" s="1"/>
  <c r="F1300" i="4"/>
  <c r="G1300" i="4" s="1"/>
  <c r="F1299" i="4"/>
  <c r="G1299" i="4" s="1"/>
  <c r="F1298" i="4"/>
  <c r="G1298" i="4" s="1"/>
  <c r="F1297" i="4"/>
  <c r="G1297" i="4" s="1"/>
  <c r="F1296" i="4"/>
  <c r="G1296" i="4" s="1"/>
  <c r="F1295" i="4"/>
  <c r="G1295" i="4" s="1"/>
  <c r="F1294" i="4"/>
  <c r="G1294" i="4" s="1"/>
  <c r="F1293" i="4"/>
  <c r="G1293" i="4" s="1"/>
  <c r="F1292" i="4"/>
  <c r="G1292" i="4" s="1"/>
  <c r="F1291" i="4"/>
  <c r="G1291" i="4" s="1"/>
  <c r="F1290" i="4"/>
  <c r="G1290" i="4" s="1"/>
  <c r="F1289" i="4"/>
  <c r="G1289" i="4" s="1"/>
  <c r="F1288" i="4"/>
  <c r="G1288" i="4" s="1"/>
  <c r="F1287" i="4"/>
  <c r="G1287" i="4" s="1"/>
  <c r="F1286" i="4"/>
  <c r="G1286" i="4" s="1"/>
  <c r="F1285" i="4"/>
  <c r="G1285" i="4" s="1"/>
  <c r="F1284" i="4"/>
  <c r="G1284" i="4" s="1"/>
  <c r="F1283" i="4"/>
  <c r="G1283" i="4" s="1"/>
  <c r="F1282" i="4"/>
  <c r="G1282" i="4" s="1"/>
  <c r="F1281" i="4"/>
  <c r="G1281" i="4" s="1"/>
  <c r="F1280" i="4"/>
  <c r="G1280" i="4" s="1"/>
  <c r="F1279" i="4"/>
  <c r="G1279" i="4" s="1"/>
  <c r="F1278" i="4"/>
  <c r="G1278" i="4" s="1"/>
  <c r="F1277" i="4"/>
  <c r="G1277" i="4" s="1"/>
  <c r="F1276" i="4"/>
  <c r="G1276" i="4" s="1"/>
  <c r="F1275" i="4"/>
  <c r="G1275" i="4" s="1"/>
  <c r="F1274" i="4"/>
  <c r="G1274" i="4" s="1"/>
  <c r="F1273" i="4"/>
  <c r="G1273" i="4" s="1"/>
  <c r="F1272" i="4"/>
  <c r="G1272" i="4" s="1"/>
  <c r="F1271" i="4"/>
  <c r="G1271" i="4" s="1"/>
  <c r="F1270" i="4"/>
  <c r="G1270" i="4" s="1"/>
  <c r="F1269" i="4"/>
  <c r="G1269" i="4" s="1"/>
  <c r="F1268" i="4"/>
  <c r="G1268" i="4" s="1"/>
  <c r="F1267" i="4"/>
  <c r="G1267" i="4" s="1"/>
  <c r="F1266" i="4"/>
  <c r="G1266" i="4" s="1"/>
  <c r="F1265" i="4"/>
  <c r="G1265" i="4" s="1"/>
  <c r="F1264" i="4"/>
  <c r="G1264" i="4" s="1"/>
  <c r="F1263" i="4"/>
  <c r="G1263" i="4" s="1"/>
  <c r="F1262" i="4"/>
  <c r="G1262" i="4" s="1"/>
  <c r="F1261" i="4"/>
  <c r="G1261" i="4" s="1"/>
  <c r="F1260" i="4"/>
  <c r="G1260" i="4" s="1"/>
  <c r="F1259" i="4"/>
  <c r="G1259" i="4" s="1"/>
  <c r="F1258" i="4"/>
  <c r="G1258" i="4" s="1"/>
  <c r="F1257" i="4"/>
  <c r="G1257" i="4" s="1"/>
  <c r="F1256" i="4"/>
  <c r="G1256" i="4" s="1"/>
  <c r="F1255" i="4"/>
  <c r="G1255" i="4" s="1"/>
  <c r="F1254" i="4"/>
  <c r="G1254" i="4" s="1"/>
  <c r="F1253" i="4"/>
  <c r="G1253" i="4" s="1"/>
  <c r="F1252" i="4"/>
  <c r="G1252" i="4" s="1"/>
  <c r="F1251" i="4"/>
  <c r="G1251" i="4" s="1"/>
  <c r="F1250" i="4"/>
  <c r="G1250" i="4" s="1"/>
  <c r="F1249" i="4"/>
  <c r="G1249" i="4" s="1"/>
  <c r="F1248" i="4"/>
  <c r="G1248" i="4" s="1"/>
  <c r="F1247" i="4"/>
  <c r="G1247" i="4" s="1"/>
  <c r="F1246" i="4"/>
  <c r="G1246" i="4" s="1"/>
  <c r="F1245" i="4"/>
  <c r="G1245" i="4" s="1"/>
  <c r="F1244" i="4"/>
  <c r="G1244" i="4" s="1"/>
  <c r="F1243" i="4"/>
  <c r="G1243" i="4" s="1"/>
  <c r="F1242" i="4"/>
  <c r="G1242" i="4" s="1"/>
  <c r="F1241" i="4"/>
  <c r="G1241" i="4" s="1"/>
  <c r="F1240" i="4"/>
  <c r="G1240" i="4" s="1"/>
  <c r="F1239" i="4"/>
  <c r="G1239" i="4" s="1"/>
  <c r="F1238" i="4"/>
  <c r="G1238" i="4" s="1"/>
  <c r="F1237" i="4"/>
  <c r="G1237" i="4" s="1"/>
  <c r="F1236" i="4"/>
  <c r="G1236" i="4" s="1"/>
  <c r="F1235" i="4"/>
  <c r="G1235" i="4" s="1"/>
  <c r="F1234" i="4"/>
  <c r="G1234" i="4" s="1"/>
  <c r="F1233" i="4"/>
  <c r="G1233" i="4" s="1"/>
  <c r="F1232" i="4"/>
  <c r="G1232" i="4" s="1"/>
  <c r="F1231" i="4"/>
  <c r="G1231" i="4" s="1"/>
  <c r="F1230" i="4"/>
  <c r="G1230" i="4" s="1"/>
  <c r="F1229" i="4"/>
  <c r="G1229" i="4" s="1"/>
  <c r="G1228" i="4"/>
  <c r="H1228" i="4" s="1"/>
  <c r="G1227" i="4"/>
  <c r="H1227" i="4" s="1"/>
  <c r="G1226" i="4"/>
  <c r="H1226" i="4" s="1"/>
  <c r="G1225" i="4"/>
  <c r="H1225" i="4" s="1"/>
  <c r="G1224" i="4"/>
  <c r="H1224" i="4" s="1"/>
  <c r="G1223" i="4"/>
  <c r="H1223" i="4" s="1"/>
  <c r="G1222" i="4"/>
  <c r="H1222" i="4" s="1"/>
  <c r="G1221" i="4"/>
  <c r="H1221" i="4" s="1"/>
  <c r="G1220" i="4"/>
  <c r="H1220" i="4" s="1"/>
  <c r="G1219" i="4"/>
  <c r="H1219" i="4" s="1"/>
  <c r="G1218" i="4"/>
  <c r="H1218" i="4" s="1"/>
  <c r="G1217" i="4"/>
  <c r="H1217" i="4" s="1"/>
  <c r="G1216" i="4"/>
  <c r="H1216" i="4" s="1"/>
  <c r="G1215" i="4"/>
  <c r="H1215" i="4" s="1"/>
  <c r="G1214" i="4"/>
  <c r="H1214" i="4" s="1"/>
  <c r="G1213" i="4"/>
  <c r="H1213" i="4" s="1"/>
  <c r="G1212" i="4"/>
  <c r="H1212" i="4" s="1"/>
  <c r="G1211" i="4"/>
  <c r="H1211" i="4" s="1"/>
  <c r="G1210" i="4"/>
  <c r="H1210" i="4" s="1"/>
  <c r="G1209" i="4"/>
  <c r="H1209" i="4" s="1"/>
  <c r="G1208" i="4"/>
  <c r="H1208" i="4" s="1"/>
  <c r="G1207" i="4"/>
  <c r="H1207" i="4" s="1"/>
  <c r="G1206" i="4"/>
  <c r="H1206" i="4" s="1"/>
  <c r="G1205" i="4"/>
  <c r="H1205" i="4" s="1"/>
  <c r="G1204" i="4"/>
  <c r="H1204" i="4" s="1"/>
  <c r="G1203" i="4"/>
  <c r="H1203" i="4" s="1"/>
  <c r="G1202" i="4"/>
  <c r="H1202" i="4" s="1"/>
  <c r="G1201" i="4"/>
  <c r="H1201" i="4" s="1"/>
  <c r="G1200" i="4"/>
  <c r="H1200" i="4" s="1"/>
  <c r="G1199" i="4"/>
  <c r="H1199" i="4" s="1"/>
  <c r="G1198" i="4"/>
  <c r="H1198" i="4" s="1"/>
  <c r="G1197" i="4"/>
  <c r="H1197" i="4" s="1"/>
  <c r="G1196" i="4"/>
  <c r="H1196" i="4" s="1"/>
  <c r="G1195" i="4"/>
  <c r="H1195" i="4" s="1"/>
  <c r="G1194" i="4"/>
  <c r="H1194" i="4" s="1"/>
  <c r="G1193" i="4"/>
  <c r="H1193" i="4" s="1"/>
  <c r="G1192" i="4"/>
  <c r="H1192" i="4" s="1"/>
  <c r="G1191" i="4"/>
  <c r="H1191" i="4" s="1"/>
  <c r="G1190" i="4"/>
  <c r="H1190" i="4" s="1"/>
  <c r="G1189" i="4"/>
  <c r="H1189" i="4" s="1"/>
  <c r="G1188" i="4"/>
  <c r="H1188" i="4" s="1"/>
  <c r="G1187" i="4"/>
  <c r="H1187" i="4" s="1"/>
  <c r="G1186" i="4"/>
  <c r="H1186" i="4" s="1"/>
  <c r="G1185" i="4"/>
  <c r="H1185" i="4" s="1"/>
  <c r="G1184" i="4"/>
  <c r="H1184" i="4" s="1"/>
  <c r="G1183" i="4"/>
  <c r="H1183" i="4" s="1"/>
  <c r="G1182" i="4"/>
  <c r="H1182" i="4" s="1"/>
  <c r="G1181" i="4"/>
  <c r="H1181" i="4" s="1"/>
  <c r="G1180" i="4"/>
  <c r="H1180" i="4" s="1"/>
  <c r="G1179" i="4"/>
  <c r="H1179" i="4" s="1"/>
  <c r="G1178" i="4"/>
  <c r="H1178" i="4" s="1"/>
  <c r="G1177" i="4"/>
  <c r="H1177" i="4" s="1"/>
  <c r="G1176" i="4"/>
  <c r="H1176" i="4" s="1"/>
  <c r="G1175" i="4"/>
  <c r="H1175" i="4" s="1"/>
  <c r="G1174" i="4"/>
  <c r="H1174" i="4" s="1"/>
  <c r="G1173" i="4"/>
  <c r="H1173" i="4" s="1"/>
  <c r="G1172" i="4"/>
  <c r="H1172" i="4" s="1"/>
  <c r="G1171" i="4"/>
  <c r="H1171" i="4" s="1"/>
  <c r="G1170" i="4"/>
  <c r="H1170" i="4" s="1"/>
  <c r="G1169" i="4"/>
  <c r="H1169" i="4" s="1"/>
  <c r="G1168" i="4"/>
  <c r="H1168" i="4" s="1"/>
  <c r="G1167" i="4"/>
  <c r="H1167" i="4" s="1"/>
  <c r="G1166" i="4"/>
  <c r="H1166" i="4" s="1"/>
  <c r="G1165" i="4"/>
  <c r="H1165" i="4" s="1"/>
  <c r="G1164" i="4"/>
  <c r="H1164" i="4" s="1"/>
  <c r="G1163" i="4"/>
  <c r="H1163" i="4" s="1"/>
  <c r="G1162" i="4"/>
  <c r="H1162" i="4" s="1"/>
  <c r="G1161" i="4"/>
  <c r="H1161" i="4" s="1"/>
  <c r="G1160" i="4"/>
  <c r="H1160" i="4" s="1"/>
  <c r="G1159" i="4"/>
  <c r="H1159" i="4" s="1"/>
  <c r="G1158" i="4"/>
  <c r="H1158" i="4" s="1"/>
  <c r="G1157" i="4"/>
  <c r="H1157" i="4" s="1"/>
  <c r="G1156" i="4"/>
  <c r="H1156" i="4" s="1"/>
  <c r="G1155" i="4"/>
  <c r="H1155" i="4" s="1"/>
  <c r="G1154" i="4"/>
  <c r="H1154" i="4" s="1"/>
  <c r="G1153" i="4"/>
  <c r="H1153" i="4" s="1"/>
  <c r="G1152" i="4"/>
  <c r="H1152" i="4" s="1"/>
  <c r="G1151" i="4"/>
  <c r="H1151" i="4" s="1"/>
  <c r="G1150" i="4"/>
  <c r="H1150" i="4" s="1"/>
  <c r="G1149" i="4"/>
  <c r="H1149" i="4" s="1"/>
  <c r="G1148" i="4"/>
  <c r="H1148" i="4" s="1"/>
  <c r="G1147" i="4"/>
  <c r="H1147" i="4" s="1"/>
  <c r="G1146" i="4"/>
  <c r="H1146" i="4" s="1"/>
  <c r="G1145" i="4"/>
  <c r="H1145" i="4" s="1"/>
  <c r="G1144" i="4"/>
  <c r="H1144" i="4" s="1"/>
  <c r="G1143" i="4"/>
  <c r="H1143" i="4" s="1"/>
  <c r="G1142" i="4"/>
  <c r="H1142" i="4" s="1"/>
  <c r="G1141" i="4"/>
  <c r="H1141" i="4" s="1"/>
  <c r="G1140" i="4"/>
  <c r="H1140" i="4" s="1"/>
  <c r="G1139" i="4"/>
  <c r="H1139" i="4" s="1"/>
  <c r="G1138" i="4"/>
  <c r="H1138" i="4" s="1"/>
  <c r="G1137" i="4"/>
  <c r="H1137" i="4" s="1"/>
  <c r="G1136" i="4"/>
  <c r="H1136" i="4" s="1"/>
  <c r="G1135" i="4"/>
  <c r="H1135" i="4" s="1"/>
  <c r="G1134" i="4"/>
  <c r="H1134" i="4" s="1"/>
  <c r="G1133" i="4"/>
  <c r="H1133" i="4" s="1"/>
  <c r="G1132" i="4"/>
  <c r="H1132" i="4" s="1"/>
  <c r="G1131" i="4"/>
  <c r="H1131" i="4" s="1"/>
  <c r="G1130" i="4"/>
  <c r="H1130" i="4" s="1"/>
  <c r="G1129" i="4"/>
  <c r="H1129" i="4" s="1"/>
  <c r="G1128" i="4"/>
  <c r="H1128" i="4" s="1"/>
  <c r="G1127" i="4"/>
  <c r="H1127" i="4" s="1"/>
  <c r="G1126" i="4"/>
  <c r="H1126" i="4" s="1"/>
  <c r="G1125" i="4"/>
  <c r="H1125" i="4" s="1"/>
  <c r="G1124" i="4"/>
  <c r="H1124" i="4" s="1"/>
  <c r="G1123" i="4"/>
  <c r="H1123" i="4" s="1"/>
  <c r="G1122" i="4"/>
  <c r="H1122" i="4" s="1"/>
  <c r="G1121" i="4"/>
  <c r="H1121" i="4" s="1"/>
  <c r="G1120" i="4"/>
  <c r="H1120" i="4" s="1"/>
  <c r="G1119" i="4"/>
  <c r="H1119" i="4" s="1"/>
  <c r="G1118" i="4"/>
  <c r="H1118" i="4" s="1"/>
  <c r="G1117" i="4"/>
  <c r="H1117" i="4" s="1"/>
  <c r="G1116" i="4"/>
  <c r="H1116" i="4" s="1"/>
  <c r="G1115" i="4"/>
  <c r="H1115" i="4" s="1"/>
  <c r="G1114" i="4"/>
  <c r="H1114" i="4" s="1"/>
  <c r="G1113" i="4"/>
  <c r="H1113" i="4" s="1"/>
  <c r="G1112" i="4"/>
  <c r="H1112" i="4" s="1"/>
  <c r="G1111" i="4"/>
  <c r="H1111" i="4" s="1"/>
  <c r="G1110" i="4"/>
  <c r="H1110" i="4" s="1"/>
  <c r="G1109" i="4"/>
  <c r="H1109" i="4" s="1"/>
  <c r="G1108" i="4"/>
  <c r="H1108" i="4" s="1"/>
  <c r="G1107" i="4"/>
  <c r="H1107" i="4" s="1"/>
  <c r="G1106" i="4"/>
  <c r="H1106" i="4" s="1"/>
  <c r="G1105" i="4"/>
  <c r="H1105" i="4" s="1"/>
  <c r="G1104" i="4"/>
  <c r="H1104" i="4" s="1"/>
  <c r="G1103" i="4"/>
  <c r="H1103" i="4" s="1"/>
  <c r="G1102" i="4"/>
  <c r="H1102" i="4" s="1"/>
  <c r="G1101" i="4"/>
  <c r="H1101" i="4" s="1"/>
  <c r="G1100" i="4"/>
  <c r="H1100" i="4" s="1"/>
  <c r="G1099" i="4"/>
  <c r="H1099" i="4" s="1"/>
  <c r="G1098" i="4"/>
  <c r="H1098" i="4" s="1"/>
  <c r="G1097" i="4"/>
  <c r="H1097" i="4" s="1"/>
  <c r="G1096" i="4"/>
  <c r="H1096" i="4" s="1"/>
  <c r="G1095" i="4"/>
  <c r="H1095" i="4" s="1"/>
  <c r="G1094" i="4"/>
  <c r="H1094" i="4" s="1"/>
  <c r="G1093" i="4"/>
  <c r="H1093" i="4" s="1"/>
  <c r="G1092" i="4"/>
  <c r="H1092" i="4" s="1"/>
  <c r="G1091" i="4"/>
  <c r="H1091" i="4" s="1"/>
  <c r="G1090" i="4"/>
  <c r="H1090" i="4" s="1"/>
  <c r="G1089" i="4"/>
  <c r="H1089" i="4" s="1"/>
  <c r="G1088" i="4"/>
  <c r="H1088" i="4" s="1"/>
  <c r="G1087" i="4"/>
  <c r="H1087" i="4" s="1"/>
  <c r="G1086" i="4"/>
  <c r="H1086" i="4" s="1"/>
  <c r="G1085" i="4"/>
  <c r="H1085" i="4" s="1"/>
  <c r="G1084" i="4"/>
  <c r="H1084" i="4" s="1"/>
  <c r="G1083" i="4"/>
  <c r="H1083" i="4" s="1"/>
  <c r="G1082" i="4"/>
  <c r="H1082" i="4" s="1"/>
  <c r="G1081" i="4"/>
  <c r="H1081" i="4" s="1"/>
  <c r="G1080" i="4"/>
  <c r="H1080" i="4" s="1"/>
  <c r="G1079" i="4"/>
  <c r="H1079" i="4" s="1"/>
  <c r="G1078" i="4"/>
  <c r="H1078" i="4" s="1"/>
  <c r="G1077" i="4"/>
  <c r="H1077" i="4" s="1"/>
  <c r="G1076" i="4"/>
  <c r="H1076" i="4" s="1"/>
  <c r="G1075" i="4"/>
  <c r="H1075" i="4" s="1"/>
  <c r="G1074" i="4"/>
  <c r="H1074" i="4" s="1"/>
  <c r="G1073" i="4"/>
  <c r="H1073" i="4" s="1"/>
  <c r="G1072" i="4"/>
  <c r="H1072" i="4" s="1"/>
  <c r="G1071" i="4"/>
  <c r="H1071" i="4" s="1"/>
  <c r="G1070" i="4"/>
  <c r="H1070" i="4" s="1"/>
  <c r="G1069" i="4"/>
  <c r="H1069" i="4" s="1"/>
  <c r="G1068" i="4"/>
  <c r="H1068" i="4" s="1"/>
  <c r="G1067" i="4"/>
  <c r="H1067" i="4" s="1"/>
  <c r="G1066" i="4"/>
  <c r="H1066" i="4" s="1"/>
  <c r="G1065" i="4"/>
  <c r="H1065" i="4" s="1"/>
  <c r="G1064" i="4"/>
  <c r="H1064" i="4" s="1"/>
  <c r="G1063" i="4"/>
  <c r="H1063" i="4" s="1"/>
  <c r="G1062" i="4"/>
  <c r="H1062" i="4" s="1"/>
  <c r="G1061" i="4"/>
  <c r="H1061" i="4" s="1"/>
  <c r="G1060" i="4"/>
  <c r="H1060" i="4" s="1"/>
  <c r="G1059" i="4"/>
  <c r="H1059" i="4" s="1"/>
  <c r="G1058" i="4"/>
  <c r="H1058" i="4" s="1"/>
  <c r="G1057" i="4"/>
  <c r="H1057" i="4" s="1"/>
  <c r="G1056" i="4"/>
  <c r="H1056" i="4" s="1"/>
  <c r="G1055" i="4"/>
  <c r="H1055" i="4" s="1"/>
  <c r="G1054" i="4"/>
  <c r="H1054" i="4" s="1"/>
  <c r="G1053" i="4"/>
  <c r="H1053" i="4" s="1"/>
  <c r="G1052" i="4"/>
  <c r="H1052" i="4" s="1"/>
  <c r="G1051" i="4"/>
  <c r="H1051" i="4" s="1"/>
  <c r="G1050" i="4"/>
  <c r="H1050" i="4" s="1"/>
  <c r="G1049" i="4"/>
  <c r="H1049" i="4" s="1"/>
  <c r="G1048" i="4"/>
  <c r="H1048" i="4" s="1"/>
  <c r="G1047" i="4"/>
  <c r="H1047" i="4" s="1"/>
  <c r="G1046" i="4"/>
  <c r="H1046" i="4" s="1"/>
  <c r="G1045" i="4"/>
  <c r="H1045" i="4" s="1"/>
  <c r="G1044" i="4"/>
  <c r="H1044" i="4" s="1"/>
  <c r="G1043" i="4"/>
  <c r="H1043" i="4" s="1"/>
  <c r="G1042" i="4"/>
  <c r="H1042" i="4" s="1"/>
  <c r="G1041" i="4"/>
  <c r="H1041" i="4" s="1"/>
  <c r="G1040" i="4"/>
  <c r="H1040" i="4" s="1"/>
  <c r="G1039" i="4"/>
  <c r="H1039" i="4" s="1"/>
  <c r="G1038" i="4"/>
  <c r="H1038" i="4" s="1"/>
  <c r="G1037" i="4"/>
  <c r="H1037" i="4" s="1"/>
  <c r="G1036" i="4"/>
  <c r="H1036" i="4" s="1"/>
  <c r="G1035" i="4"/>
  <c r="H1035" i="4" s="1"/>
  <c r="G1034" i="4"/>
  <c r="H1034" i="4" s="1"/>
  <c r="G1033" i="4"/>
  <c r="H1033" i="4" s="1"/>
  <c r="G1032" i="4"/>
  <c r="H1032" i="4" s="1"/>
  <c r="G1031" i="4"/>
  <c r="H1031" i="4" s="1"/>
  <c r="G1030" i="4"/>
  <c r="H1030" i="4" s="1"/>
  <c r="G1029" i="4"/>
  <c r="H1029" i="4" s="1"/>
  <c r="G1028" i="4"/>
  <c r="H1028" i="4" s="1"/>
  <c r="G1027" i="4"/>
  <c r="H1027" i="4" s="1"/>
  <c r="G1026" i="4"/>
  <c r="H1026" i="4" s="1"/>
  <c r="G1025" i="4"/>
  <c r="H1025" i="4" s="1"/>
  <c r="G1024" i="4"/>
  <c r="H1024" i="4" s="1"/>
  <c r="G1023" i="4"/>
  <c r="H1023" i="4" s="1"/>
  <c r="G1022" i="4"/>
  <c r="H1022" i="4" s="1"/>
  <c r="G1021" i="4"/>
  <c r="H1021" i="4" s="1"/>
  <c r="G1020" i="4"/>
  <c r="H1020" i="4" s="1"/>
  <c r="G1019" i="4"/>
  <c r="H1019" i="4" s="1"/>
  <c r="G1018" i="4"/>
  <c r="H1018" i="4" s="1"/>
  <c r="G1017" i="4"/>
  <c r="H1017" i="4" s="1"/>
  <c r="G1016" i="4"/>
  <c r="H1016" i="4" s="1"/>
  <c r="G1015" i="4"/>
  <c r="H1015" i="4" s="1"/>
  <c r="G1014" i="4"/>
  <c r="H1014" i="4" s="1"/>
  <c r="G1013" i="4"/>
  <c r="H1013" i="4" s="1"/>
  <c r="G1012" i="4"/>
  <c r="H1012" i="4" s="1"/>
  <c r="G1011" i="4"/>
  <c r="H1011" i="4" s="1"/>
  <c r="G1010" i="4"/>
  <c r="H1010" i="4" s="1"/>
  <c r="G1009" i="4"/>
  <c r="H1009" i="4" s="1"/>
  <c r="G1008" i="4"/>
  <c r="H1008" i="4" s="1"/>
  <c r="G1007" i="4"/>
  <c r="H1007" i="4" s="1"/>
  <c r="G1006" i="4"/>
  <c r="H1006" i="4" s="1"/>
  <c r="G1005" i="4"/>
  <c r="H1005" i="4" s="1"/>
  <c r="G1004" i="4"/>
  <c r="H1004" i="4" s="1"/>
  <c r="G1003" i="4"/>
  <c r="H1003" i="4" s="1"/>
  <c r="G1002" i="4"/>
  <c r="H1002" i="4" s="1"/>
  <c r="G1001" i="4"/>
  <c r="H1001" i="4" s="1"/>
  <c r="G1000" i="4"/>
  <c r="H1000" i="4" s="1"/>
  <c r="G999" i="4"/>
  <c r="H999" i="4" s="1"/>
  <c r="G998" i="4"/>
  <c r="H998" i="4" s="1"/>
  <c r="G997" i="4"/>
  <c r="H997" i="4" s="1"/>
  <c r="G996" i="4"/>
  <c r="H996" i="4" s="1"/>
  <c r="G995" i="4"/>
  <c r="H995" i="4" s="1"/>
  <c r="G994" i="4"/>
  <c r="H994" i="4" s="1"/>
  <c r="G993" i="4"/>
  <c r="H993" i="4" s="1"/>
  <c r="G992" i="4"/>
  <c r="H992" i="4" s="1"/>
  <c r="G991" i="4"/>
  <c r="H991" i="4" s="1"/>
  <c r="G990" i="4"/>
  <c r="H990" i="4" s="1"/>
  <c r="G989" i="4"/>
  <c r="H989" i="4" s="1"/>
  <c r="G988" i="4"/>
  <c r="H988" i="4" s="1"/>
  <c r="G987" i="4"/>
  <c r="H987" i="4" s="1"/>
  <c r="G986" i="4"/>
  <c r="H986" i="4" s="1"/>
  <c r="G985" i="4"/>
  <c r="H985" i="4" s="1"/>
  <c r="G984" i="4"/>
  <c r="H984" i="4" s="1"/>
  <c r="G983" i="4"/>
  <c r="H983" i="4" s="1"/>
  <c r="G982" i="4"/>
  <c r="H982" i="4" s="1"/>
  <c r="G981" i="4"/>
  <c r="H981" i="4" s="1"/>
  <c r="G980" i="4"/>
  <c r="H980" i="4" s="1"/>
  <c r="G979" i="4"/>
  <c r="H979" i="4" s="1"/>
  <c r="G978" i="4"/>
  <c r="H978" i="4" s="1"/>
  <c r="G977" i="4"/>
  <c r="H977" i="4" s="1"/>
  <c r="G976" i="4"/>
  <c r="H976" i="4" s="1"/>
  <c r="G975" i="4"/>
  <c r="H975" i="4" s="1"/>
  <c r="G974" i="4"/>
  <c r="H974" i="4" s="1"/>
  <c r="G973" i="4"/>
  <c r="H973" i="4" s="1"/>
  <c r="G972" i="4"/>
  <c r="H972" i="4" s="1"/>
  <c r="G971" i="4"/>
  <c r="H971" i="4" s="1"/>
  <c r="G970" i="4"/>
  <c r="H970" i="4" s="1"/>
  <c r="G969" i="4"/>
  <c r="H969" i="4" s="1"/>
  <c r="G968" i="4"/>
  <c r="H968" i="4" s="1"/>
  <c r="G967" i="4"/>
  <c r="H967" i="4" s="1"/>
  <c r="G966" i="4"/>
  <c r="H966" i="4" s="1"/>
  <c r="G965" i="4"/>
  <c r="H965" i="4" s="1"/>
  <c r="G964" i="4"/>
  <c r="H964" i="4" s="1"/>
  <c r="G963" i="4"/>
  <c r="H963" i="4" s="1"/>
  <c r="G962" i="4"/>
  <c r="H962" i="4" s="1"/>
  <c r="G961" i="4"/>
  <c r="H961" i="4" s="1"/>
  <c r="G960" i="4"/>
  <c r="H960" i="4" s="1"/>
  <c r="G959" i="4"/>
  <c r="H959" i="4" s="1"/>
  <c r="G958" i="4"/>
  <c r="H958" i="4" s="1"/>
  <c r="G957" i="4"/>
  <c r="H957" i="4" s="1"/>
  <c r="G956" i="4"/>
  <c r="H956" i="4" s="1"/>
  <c r="G955" i="4"/>
  <c r="H955" i="4" s="1"/>
  <c r="G954" i="4"/>
  <c r="H954" i="4" s="1"/>
  <c r="G953" i="4"/>
  <c r="H953" i="4" s="1"/>
  <c r="G952" i="4"/>
  <c r="H952" i="4" s="1"/>
  <c r="G951" i="4"/>
  <c r="H951" i="4" s="1"/>
  <c r="G950" i="4"/>
  <c r="H950" i="4" s="1"/>
  <c r="G949" i="4"/>
  <c r="H949" i="4" s="1"/>
  <c r="G948" i="4"/>
  <c r="H948" i="4" s="1"/>
  <c r="G947" i="4"/>
  <c r="H947" i="4" s="1"/>
  <c r="G946" i="4"/>
  <c r="H946" i="4" s="1"/>
  <c r="G945" i="4"/>
  <c r="H945" i="4" s="1"/>
  <c r="G944" i="4"/>
  <c r="H944" i="4" s="1"/>
  <c r="G943" i="4"/>
  <c r="H943" i="4" s="1"/>
  <c r="G942" i="4"/>
  <c r="H942" i="4" s="1"/>
  <c r="G941" i="4"/>
  <c r="H941" i="4" s="1"/>
  <c r="G940" i="4"/>
  <c r="H940" i="4" s="1"/>
  <c r="G939" i="4"/>
  <c r="H939" i="4" s="1"/>
  <c r="G938" i="4"/>
  <c r="H938" i="4" s="1"/>
  <c r="G937" i="4"/>
  <c r="H937" i="4" s="1"/>
  <c r="G936" i="4"/>
  <c r="H936" i="4" s="1"/>
  <c r="G935" i="4"/>
  <c r="H935" i="4" s="1"/>
  <c r="G934" i="4"/>
  <c r="H934" i="4" s="1"/>
  <c r="G933" i="4"/>
  <c r="H933" i="4" s="1"/>
  <c r="G932" i="4"/>
  <c r="H932" i="4" s="1"/>
  <c r="G931" i="4"/>
  <c r="H931" i="4" s="1"/>
  <c r="G930" i="4"/>
  <c r="H930" i="4" s="1"/>
  <c r="G929" i="4"/>
  <c r="H929" i="4" s="1"/>
  <c r="G928" i="4"/>
  <c r="H928" i="4" s="1"/>
  <c r="G927" i="4"/>
  <c r="H927" i="4" s="1"/>
  <c r="G926" i="4"/>
  <c r="H926" i="4" s="1"/>
  <c r="G925" i="4"/>
  <c r="H925" i="4" s="1"/>
  <c r="G924" i="4"/>
  <c r="H924" i="4" s="1"/>
  <c r="G923" i="4"/>
  <c r="H923" i="4" s="1"/>
  <c r="G922" i="4"/>
  <c r="H922" i="4" s="1"/>
  <c r="G921" i="4"/>
  <c r="H921" i="4" s="1"/>
  <c r="G920" i="4"/>
  <c r="H920" i="4" s="1"/>
  <c r="G919" i="4"/>
  <c r="H919" i="4" s="1"/>
  <c r="G918" i="4"/>
  <c r="H918" i="4" s="1"/>
  <c r="G917" i="4"/>
  <c r="H917" i="4" s="1"/>
  <c r="G916" i="4"/>
  <c r="H916" i="4" s="1"/>
  <c r="G915" i="4"/>
  <c r="H915" i="4" s="1"/>
  <c r="G914" i="4"/>
  <c r="H914" i="4" s="1"/>
  <c r="G913" i="4"/>
  <c r="H913" i="4" s="1"/>
  <c r="G912" i="4"/>
  <c r="H912" i="4" s="1"/>
  <c r="G911" i="4"/>
  <c r="H911" i="4" s="1"/>
  <c r="G910" i="4"/>
  <c r="H910" i="4" s="1"/>
  <c r="G909" i="4"/>
  <c r="H909" i="4" s="1"/>
  <c r="G908" i="4"/>
  <c r="H908" i="4" s="1"/>
  <c r="G907" i="4"/>
  <c r="H907" i="4" s="1"/>
  <c r="G906" i="4"/>
  <c r="H906" i="4" s="1"/>
  <c r="G905" i="4"/>
  <c r="H905" i="4" s="1"/>
  <c r="G904" i="4"/>
  <c r="H904" i="4" s="1"/>
  <c r="G903" i="4"/>
  <c r="H903" i="4" s="1"/>
  <c r="G902" i="4"/>
  <c r="H902" i="4" s="1"/>
  <c r="G901" i="4"/>
  <c r="H901" i="4" s="1"/>
  <c r="G900" i="4"/>
  <c r="H900" i="4" s="1"/>
  <c r="G899" i="4"/>
  <c r="H899" i="4" s="1"/>
  <c r="G898" i="4"/>
  <c r="H898" i="4" s="1"/>
  <c r="G897" i="4"/>
  <c r="H897" i="4" s="1"/>
  <c r="G896" i="4"/>
  <c r="H896" i="4" s="1"/>
  <c r="G895" i="4"/>
  <c r="H895" i="4" s="1"/>
  <c r="G894" i="4"/>
  <c r="H894" i="4" s="1"/>
  <c r="G893" i="4"/>
  <c r="H893" i="4" s="1"/>
  <c r="G892" i="4"/>
  <c r="H892" i="4" s="1"/>
  <c r="G891" i="4"/>
  <c r="H891" i="4" s="1"/>
  <c r="G890" i="4"/>
  <c r="H890" i="4" s="1"/>
  <c r="G889" i="4"/>
  <c r="H889" i="4" s="1"/>
  <c r="G888" i="4"/>
  <c r="H888" i="4" s="1"/>
  <c r="G887" i="4"/>
  <c r="H887" i="4" s="1"/>
  <c r="G886" i="4"/>
  <c r="H886" i="4" s="1"/>
  <c r="G885" i="4"/>
  <c r="H885" i="4" s="1"/>
  <c r="G884" i="4"/>
  <c r="H884" i="4" s="1"/>
  <c r="G883" i="4"/>
  <c r="H883" i="4" s="1"/>
  <c r="G882" i="4"/>
  <c r="H882" i="4" s="1"/>
  <c r="G881" i="4"/>
  <c r="H881" i="4" s="1"/>
  <c r="G880" i="4"/>
  <c r="H880" i="4" s="1"/>
  <c r="G879" i="4"/>
  <c r="H879" i="4" s="1"/>
  <c r="G878" i="4"/>
  <c r="H878" i="4" s="1"/>
  <c r="G877" i="4"/>
  <c r="H877" i="4" s="1"/>
  <c r="G876" i="4"/>
  <c r="H876" i="4" s="1"/>
  <c r="G875" i="4"/>
  <c r="H875" i="4" s="1"/>
  <c r="G874" i="4"/>
  <c r="H874" i="4" s="1"/>
  <c r="G873" i="4"/>
  <c r="H873" i="4" s="1"/>
  <c r="G872" i="4"/>
  <c r="H872" i="4" s="1"/>
  <c r="G871" i="4"/>
  <c r="H871" i="4" s="1"/>
  <c r="G870" i="4"/>
  <c r="H870" i="4" s="1"/>
  <c r="G869" i="4"/>
  <c r="H869" i="4" s="1"/>
  <c r="G868" i="4"/>
  <c r="H868" i="4" s="1"/>
  <c r="G867" i="4"/>
  <c r="H867" i="4" s="1"/>
  <c r="G866" i="4"/>
  <c r="H866" i="4" s="1"/>
  <c r="G865" i="4"/>
  <c r="H865" i="4" s="1"/>
  <c r="G864" i="4"/>
  <c r="H864" i="4" s="1"/>
  <c r="G863" i="4"/>
  <c r="H863" i="4" s="1"/>
  <c r="G862" i="4"/>
  <c r="H862" i="4" s="1"/>
  <c r="G861" i="4"/>
  <c r="H861" i="4" s="1"/>
  <c r="G860" i="4"/>
  <c r="H860" i="4" s="1"/>
  <c r="G859" i="4"/>
  <c r="H859" i="4" s="1"/>
  <c r="G858" i="4"/>
  <c r="H858" i="4" s="1"/>
  <c r="G857" i="4"/>
  <c r="H857" i="4" s="1"/>
  <c r="G856" i="4"/>
  <c r="H856" i="4" s="1"/>
  <c r="G855" i="4"/>
  <c r="H855" i="4" s="1"/>
  <c r="G854" i="4"/>
  <c r="H854" i="4" s="1"/>
  <c r="G853" i="4"/>
  <c r="H853" i="4" s="1"/>
  <c r="G852" i="4"/>
  <c r="H852" i="4" s="1"/>
  <c r="G851" i="4"/>
  <c r="H851" i="4" s="1"/>
  <c r="G850" i="4"/>
  <c r="H850" i="4" s="1"/>
  <c r="G849" i="4"/>
  <c r="H849" i="4" s="1"/>
  <c r="G848" i="4"/>
  <c r="H848" i="4" s="1"/>
  <c r="G847" i="4"/>
  <c r="H847" i="4" s="1"/>
  <c r="G846" i="4"/>
  <c r="H846" i="4" s="1"/>
  <c r="G845" i="4"/>
  <c r="H845" i="4" s="1"/>
  <c r="G844" i="4"/>
  <c r="H844" i="4" s="1"/>
  <c r="G843" i="4"/>
  <c r="H843" i="4" s="1"/>
  <c r="G842" i="4"/>
  <c r="H842" i="4" s="1"/>
  <c r="G841" i="4"/>
  <c r="H841" i="4" s="1"/>
  <c r="G840" i="4"/>
  <c r="H840" i="4" s="1"/>
  <c r="G839" i="4"/>
  <c r="H839" i="4" s="1"/>
  <c r="G838" i="4"/>
  <c r="H838" i="4" s="1"/>
  <c r="G837" i="4"/>
  <c r="H837" i="4" s="1"/>
  <c r="G836" i="4"/>
  <c r="H836" i="4" s="1"/>
  <c r="G835" i="4"/>
  <c r="H835" i="4" s="1"/>
  <c r="G834" i="4"/>
  <c r="H834" i="4" s="1"/>
  <c r="G833" i="4"/>
  <c r="H833" i="4" s="1"/>
  <c r="G832" i="4"/>
  <c r="H832" i="4" s="1"/>
  <c r="G831" i="4"/>
  <c r="H831" i="4" s="1"/>
  <c r="G830" i="4"/>
  <c r="H830" i="4" s="1"/>
  <c r="G829" i="4"/>
  <c r="H829" i="4" s="1"/>
  <c r="G828" i="4"/>
  <c r="H828" i="4" s="1"/>
  <c r="G827" i="4"/>
  <c r="H827" i="4" s="1"/>
  <c r="G826" i="4"/>
  <c r="H826" i="4" s="1"/>
  <c r="G825" i="4"/>
  <c r="H825" i="4" s="1"/>
  <c r="G824" i="4"/>
  <c r="H824" i="4" s="1"/>
  <c r="G823" i="4"/>
  <c r="H823" i="4" s="1"/>
  <c r="G822" i="4"/>
  <c r="H822" i="4" s="1"/>
  <c r="G821" i="4"/>
  <c r="H821" i="4" s="1"/>
  <c r="G820" i="4"/>
  <c r="H820" i="4" s="1"/>
  <c r="G819" i="4"/>
  <c r="H819" i="4" s="1"/>
  <c r="G818" i="4"/>
  <c r="H818" i="4" s="1"/>
  <c r="G817" i="4"/>
  <c r="H817" i="4" s="1"/>
  <c r="G816" i="4"/>
  <c r="H816" i="4" s="1"/>
  <c r="G815" i="4"/>
  <c r="H815" i="4" s="1"/>
  <c r="G814" i="4"/>
  <c r="H814" i="4" s="1"/>
  <c r="G813" i="4"/>
  <c r="H813" i="4" s="1"/>
  <c r="G812" i="4"/>
  <c r="H812" i="4" s="1"/>
  <c r="G811" i="4"/>
  <c r="H811" i="4" s="1"/>
  <c r="G810" i="4"/>
  <c r="H810" i="4" s="1"/>
  <c r="G809" i="4"/>
  <c r="H809" i="4" s="1"/>
  <c r="G808" i="4"/>
  <c r="H808" i="4" s="1"/>
  <c r="G807" i="4"/>
  <c r="H807" i="4" s="1"/>
  <c r="G806" i="4"/>
  <c r="H806" i="4" s="1"/>
  <c r="G805" i="4"/>
  <c r="H805" i="4" s="1"/>
  <c r="G804" i="4"/>
  <c r="H804" i="4" s="1"/>
  <c r="G803" i="4"/>
  <c r="H803" i="4" s="1"/>
  <c r="G802" i="4"/>
  <c r="H802" i="4" s="1"/>
  <c r="G801" i="4"/>
  <c r="H801" i="4" s="1"/>
  <c r="G800" i="4"/>
  <c r="H800" i="4" s="1"/>
  <c r="G799" i="4"/>
  <c r="H799" i="4" s="1"/>
  <c r="G798" i="4"/>
  <c r="H798" i="4" s="1"/>
  <c r="G797" i="4"/>
  <c r="H797" i="4" s="1"/>
  <c r="G796" i="4"/>
  <c r="H796" i="4" s="1"/>
  <c r="G795" i="4"/>
  <c r="H795" i="4" s="1"/>
  <c r="G794" i="4"/>
  <c r="H794" i="4" s="1"/>
  <c r="G793" i="4"/>
  <c r="H793" i="4" s="1"/>
  <c r="G792" i="4"/>
  <c r="H792" i="4" s="1"/>
  <c r="G791" i="4"/>
  <c r="H791" i="4" s="1"/>
  <c r="G790" i="4"/>
  <c r="H790" i="4" s="1"/>
  <c r="G789" i="4"/>
  <c r="H789" i="4" s="1"/>
  <c r="G788" i="4"/>
  <c r="H788" i="4" s="1"/>
  <c r="G787" i="4"/>
  <c r="H787" i="4" s="1"/>
  <c r="G786" i="4"/>
  <c r="H786" i="4" s="1"/>
  <c r="G785" i="4"/>
  <c r="H785" i="4" s="1"/>
  <c r="G784" i="4"/>
  <c r="H784" i="4" s="1"/>
  <c r="G783" i="4"/>
  <c r="H783" i="4" s="1"/>
  <c r="G782" i="4"/>
  <c r="H782" i="4" s="1"/>
  <c r="G781" i="4"/>
  <c r="H781" i="4" s="1"/>
  <c r="G780" i="4"/>
  <c r="H780" i="4" s="1"/>
  <c r="G779" i="4"/>
  <c r="H779" i="4" s="1"/>
  <c r="G778" i="4"/>
  <c r="H778" i="4" s="1"/>
  <c r="G777" i="4"/>
  <c r="H777" i="4" s="1"/>
  <c r="G776" i="4"/>
  <c r="H776" i="4" s="1"/>
  <c r="G775" i="4"/>
  <c r="H775" i="4" s="1"/>
  <c r="G774" i="4"/>
  <c r="H774" i="4" s="1"/>
  <c r="G773" i="4"/>
  <c r="H773" i="4" s="1"/>
  <c r="G772" i="4"/>
  <c r="H772" i="4" s="1"/>
  <c r="G771" i="4"/>
  <c r="H771" i="4" s="1"/>
  <c r="G770" i="4"/>
  <c r="H770" i="4" s="1"/>
  <c r="G769" i="4"/>
  <c r="H769" i="4" s="1"/>
  <c r="G768" i="4"/>
  <c r="H768" i="4" s="1"/>
  <c r="G767" i="4"/>
  <c r="H767" i="4" s="1"/>
  <c r="G766" i="4"/>
  <c r="H766" i="4" s="1"/>
  <c r="G765" i="4"/>
  <c r="H765" i="4" s="1"/>
  <c r="G764" i="4"/>
  <c r="H764" i="4" s="1"/>
  <c r="G763" i="4"/>
  <c r="H763" i="4" s="1"/>
  <c r="G762" i="4"/>
  <c r="H762" i="4" s="1"/>
  <c r="G761" i="4"/>
  <c r="H761" i="4" s="1"/>
  <c r="G760" i="4"/>
  <c r="H760" i="4" s="1"/>
  <c r="G759" i="4"/>
  <c r="H759" i="4" s="1"/>
  <c r="G758" i="4"/>
  <c r="H758" i="4" s="1"/>
  <c r="G757" i="4"/>
  <c r="H757" i="4" s="1"/>
  <c r="G756" i="4"/>
  <c r="H756" i="4" s="1"/>
  <c r="G755" i="4"/>
  <c r="H755" i="4" s="1"/>
  <c r="G754" i="4"/>
  <c r="H754" i="4" s="1"/>
  <c r="G753" i="4"/>
  <c r="H753" i="4" s="1"/>
  <c r="G752" i="4"/>
  <c r="H752" i="4" s="1"/>
  <c r="G751" i="4"/>
  <c r="H751" i="4" s="1"/>
  <c r="G750" i="4"/>
  <c r="H750" i="4" s="1"/>
  <c r="G749" i="4"/>
  <c r="H749" i="4" s="1"/>
  <c r="G748" i="4"/>
  <c r="H748" i="4" s="1"/>
  <c r="G747" i="4"/>
  <c r="H747" i="4" s="1"/>
  <c r="G746" i="4"/>
  <c r="H746" i="4" s="1"/>
  <c r="G745" i="4"/>
  <c r="H745" i="4" s="1"/>
  <c r="G744" i="4"/>
  <c r="H744" i="4" s="1"/>
  <c r="G743" i="4"/>
  <c r="H743" i="4" s="1"/>
  <c r="G742" i="4"/>
  <c r="H742" i="4" s="1"/>
  <c r="G741" i="4"/>
  <c r="H741" i="4" s="1"/>
  <c r="G740" i="4"/>
  <c r="H740" i="4" s="1"/>
  <c r="G739" i="4"/>
  <c r="H739" i="4" s="1"/>
  <c r="G738" i="4"/>
  <c r="H738" i="4" s="1"/>
  <c r="G737" i="4"/>
  <c r="H737" i="4" s="1"/>
  <c r="G736" i="4"/>
  <c r="H736" i="4" s="1"/>
  <c r="G735" i="4"/>
  <c r="H735" i="4" s="1"/>
  <c r="G734" i="4"/>
  <c r="H734" i="4" s="1"/>
  <c r="G733" i="4"/>
  <c r="H733" i="4" s="1"/>
  <c r="G732" i="4"/>
  <c r="H732" i="4" s="1"/>
  <c r="G731" i="4"/>
  <c r="H731" i="4" s="1"/>
  <c r="G730" i="4"/>
  <c r="H730" i="4" s="1"/>
  <c r="G729" i="4"/>
  <c r="H729" i="4" s="1"/>
  <c r="G728" i="4"/>
  <c r="H728" i="4" s="1"/>
  <c r="G727" i="4"/>
  <c r="H727" i="4" s="1"/>
  <c r="G726" i="4"/>
  <c r="H726" i="4" s="1"/>
  <c r="G725" i="4"/>
  <c r="H725" i="4" s="1"/>
  <c r="G724" i="4"/>
  <c r="H724" i="4" s="1"/>
  <c r="G723" i="4"/>
  <c r="H723" i="4" s="1"/>
  <c r="G722" i="4"/>
  <c r="H722" i="4" s="1"/>
  <c r="G721" i="4"/>
  <c r="H721" i="4" s="1"/>
  <c r="G720" i="4"/>
  <c r="H720" i="4" s="1"/>
  <c r="G719" i="4"/>
  <c r="H719" i="4" s="1"/>
  <c r="G718" i="4"/>
  <c r="H718" i="4" s="1"/>
  <c r="G717" i="4"/>
  <c r="H717" i="4" s="1"/>
  <c r="G716" i="4"/>
  <c r="H716" i="4" s="1"/>
  <c r="G715" i="4"/>
  <c r="H715" i="4" s="1"/>
  <c r="G714" i="4"/>
  <c r="H714" i="4" s="1"/>
  <c r="G713" i="4"/>
  <c r="H713" i="4" s="1"/>
  <c r="G712" i="4"/>
  <c r="H712" i="4" s="1"/>
  <c r="G711" i="4"/>
  <c r="H711" i="4" s="1"/>
  <c r="G710" i="4"/>
  <c r="H710" i="4" s="1"/>
  <c r="G709" i="4"/>
  <c r="H709" i="4" s="1"/>
  <c r="G708" i="4"/>
  <c r="H708" i="4" s="1"/>
  <c r="G707" i="4"/>
  <c r="H707" i="4" s="1"/>
  <c r="G706" i="4"/>
  <c r="H706" i="4" s="1"/>
  <c r="G705" i="4"/>
  <c r="H705" i="4" s="1"/>
  <c r="G704" i="4"/>
  <c r="H704" i="4" s="1"/>
  <c r="G703" i="4"/>
  <c r="H703" i="4" s="1"/>
  <c r="G702" i="4"/>
  <c r="H702" i="4" s="1"/>
  <c r="G701" i="4"/>
  <c r="H701" i="4" s="1"/>
  <c r="G700" i="4"/>
  <c r="H700" i="4" s="1"/>
  <c r="G699" i="4"/>
  <c r="H699" i="4" s="1"/>
  <c r="G698" i="4"/>
  <c r="H698" i="4" s="1"/>
  <c r="G697" i="4"/>
  <c r="H697" i="4" s="1"/>
  <c r="G696" i="4"/>
  <c r="H696" i="4" s="1"/>
  <c r="G695" i="4"/>
  <c r="H695" i="4" s="1"/>
  <c r="G694" i="4"/>
  <c r="H694" i="4" s="1"/>
  <c r="G693" i="4"/>
  <c r="H693" i="4" s="1"/>
  <c r="G692" i="4"/>
  <c r="H692" i="4" s="1"/>
  <c r="G691" i="4"/>
  <c r="H691" i="4" s="1"/>
  <c r="G690" i="4"/>
  <c r="H690" i="4" s="1"/>
  <c r="G689" i="4"/>
  <c r="H689" i="4" s="1"/>
  <c r="G688" i="4"/>
  <c r="H688" i="4" s="1"/>
  <c r="G687" i="4"/>
  <c r="H687" i="4" s="1"/>
  <c r="G686" i="4"/>
  <c r="H686" i="4" s="1"/>
  <c r="G685" i="4"/>
  <c r="H685" i="4" s="1"/>
  <c r="G684" i="4"/>
  <c r="H684" i="4" s="1"/>
  <c r="G683" i="4"/>
  <c r="H683" i="4" s="1"/>
  <c r="G682" i="4"/>
  <c r="H682" i="4" s="1"/>
  <c r="G681" i="4"/>
  <c r="H681" i="4" s="1"/>
  <c r="G680" i="4"/>
  <c r="H680" i="4" s="1"/>
  <c r="G679" i="4"/>
  <c r="H679" i="4" s="1"/>
  <c r="G678" i="4"/>
  <c r="H678" i="4" s="1"/>
  <c r="G677" i="4"/>
  <c r="H677" i="4" s="1"/>
  <c r="G676" i="4"/>
  <c r="H676" i="4" s="1"/>
  <c r="G675" i="4"/>
  <c r="H675" i="4" s="1"/>
  <c r="G674" i="4"/>
  <c r="H674" i="4" s="1"/>
  <c r="G673" i="4"/>
  <c r="H673" i="4" s="1"/>
  <c r="G672" i="4"/>
  <c r="H672" i="4" s="1"/>
  <c r="G671" i="4"/>
  <c r="H671" i="4" s="1"/>
  <c r="G670" i="4"/>
  <c r="H670" i="4" s="1"/>
  <c r="G669" i="4"/>
  <c r="H669" i="4" s="1"/>
  <c r="G668" i="4"/>
  <c r="H668" i="4" s="1"/>
  <c r="G667" i="4"/>
  <c r="H667" i="4" s="1"/>
  <c r="G666" i="4"/>
  <c r="H666" i="4" s="1"/>
  <c r="G665" i="4"/>
  <c r="H665" i="4" s="1"/>
  <c r="G664" i="4"/>
  <c r="H664" i="4" s="1"/>
  <c r="G663" i="4"/>
  <c r="H663" i="4" s="1"/>
  <c r="G662" i="4"/>
  <c r="H662" i="4" s="1"/>
  <c r="G661" i="4"/>
  <c r="H661" i="4" s="1"/>
  <c r="G660" i="4"/>
  <c r="H660" i="4" s="1"/>
  <c r="G659" i="4"/>
  <c r="H659" i="4" s="1"/>
  <c r="G658" i="4"/>
  <c r="H658" i="4" s="1"/>
  <c r="G657" i="4"/>
  <c r="H657" i="4" s="1"/>
  <c r="G656" i="4"/>
  <c r="H656" i="4" s="1"/>
  <c r="G655" i="4"/>
  <c r="H655" i="4" s="1"/>
  <c r="G654" i="4"/>
  <c r="H654" i="4" s="1"/>
  <c r="G653" i="4"/>
  <c r="H653" i="4" s="1"/>
  <c r="G652" i="4"/>
  <c r="H652" i="4" s="1"/>
  <c r="G651" i="4"/>
  <c r="H651" i="4" s="1"/>
  <c r="G650" i="4"/>
  <c r="H650" i="4" s="1"/>
  <c r="G649" i="4"/>
  <c r="H649" i="4" s="1"/>
  <c r="G648" i="4"/>
  <c r="H648" i="4" s="1"/>
  <c r="G647" i="4"/>
  <c r="H647" i="4" s="1"/>
  <c r="G646" i="4"/>
  <c r="H646" i="4" s="1"/>
  <c r="G645" i="4"/>
  <c r="H645" i="4" s="1"/>
  <c r="G644" i="4"/>
  <c r="H644" i="4" s="1"/>
  <c r="G643" i="4"/>
  <c r="H643" i="4" s="1"/>
  <c r="G642" i="4"/>
  <c r="H642" i="4" s="1"/>
  <c r="G641" i="4"/>
  <c r="H641" i="4" s="1"/>
  <c r="G640" i="4"/>
  <c r="H640" i="4" s="1"/>
  <c r="G639" i="4"/>
  <c r="H639" i="4" s="1"/>
  <c r="G638" i="4"/>
  <c r="H638" i="4" s="1"/>
  <c r="G637" i="4"/>
  <c r="H637" i="4" s="1"/>
  <c r="G636" i="4"/>
  <c r="H636" i="4" s="1"/>
  <c r="G635" i="4"/>
  <c r="H635" i="4" s="1"/>
  <c r="G634" i="4"/>
  <c r="H634" i="4" s="1"/>
  <c r="G633" i="4"/>
  <c r="H633" i="4" s="1"/>
  <c r="G632" i="4"/>
  <c r="H632" i="4" s="1"/>
  <c r="G631" i="4"/>
  <c r="H631" i="4" s="1"/>
  <c r="G630" i="4"/>
  <c r="H630" i="4" s="1"/>
  <c r="G629" i="4"/>
  <c r="H629" i="4" s="1"/>
  <c r="G628" i="4"/>
  <c r="H628" i="4" s="1"/>
  <c r="G627" i="4"/>
  <c r="H627" i="4" s="1"/>
  <c r="G626" i="4"/>
  <c r="H626" i="4" s="1"/>
  <c r="G625" i="4"/>
  <c r="H625" i="4" s="1"/>
  <c r="G624" i="4"/>
  <c r="H624" i="4" s="1"/>
  <c r="G623" i="4"/>
  <c r="H623" i="4" s="1"/>
  <c r="G622" i="4"/>
  <c r="H622" i="4" s="1"/>
  <c r="G621" i="4"/>
  <c r="H621" i="4" s="1"/>
  <c r="G620" i="4"/>
  <c r="H620" i="4" s="1"/>
  <c r="G619" i="4"/>
  <c r="H619" i="4" s="1"/>
  <c r="G618" i="4"/>
  <c r="H618" i="4" s="1"/>
  <c r="G617" i="4"/>
  <c r="H617" i="4" s="1"/>
  <c r="G616" i="4"/>
  <c r="H616" i="4" s="1"/>
  <c r="G615" i="4"/>
  <c r="H615" i="4" s="1"/>
  <c r="G614" i="4"/>
  <c r="H614" i="4" s="1"/>
  <c r="G613" i="4"/>
  <c r="H613" i="4" s="1"/>
  <c r="G612" i="4"/>
  <c r="H612" i="4" s="1"/>
  <c r="G611" i="4"/>
  <c r="H611" i="4" s="1"/>
  <c r="G610" i="4"/>
  <c r="H610" i="4" s="1"/>
  <c r="G609" i="4"/>
  <c r="H609" i="4" s="1"/>
  <c r="G608" i="4"/>
  <c r="H608" i="4" s="1"/>
  <c r="G607" i="4"/>
  <c r="H607" i="4" s="1"/>
  <c r="G606" i="4"/>
  <c r="H606" i="4" s="1"/>
  <c r="G605" i="4"/>
  <c r="H605" i="4" s="1"/>
  <c r="G604" i="4"/>
  <c r="H604" i="4" s="1"/>
  <c r="G603" i="4"/>
  <c r="H603" i="4" s="1"/>
  <c r="G602" i="4"/>
  <c r="H602" i="4" s="1"/>
  <c r="G601" i="4"/>
  <c r="H601" i="4" s="1"/>
  <c r="G600" i="4"/>
  <c r="H600" i="4" s="1"/>
  <c r="G598" i="4"/>
  <c r="H598" i="4" s="1"/>
  <c r="G597" i="4"/>
  <c r="H597" i="4" s="1"/>
  <c r="G596" i="4"/>
  <c r="H596" i="4" s="1"/>
  <c r="G595" i="4"/>
  <c r="H595" i="4" s="1"/>
  <c r="G594" i="4"/>
  <c r="H594" i="4" s="1"/>
  <c r="G593" i="4"/>
  <c r="H593" i="4" s="1"/>
  <c r="G592" i="4"/>
  <c r="H592" i="4" s="1"/>
  <c r="G591" i="4"/>
  <c r="H591" i="4" s="1"/>
  <c r="G590" i="4"/>
  <c r="H590" i="4" s="1"/>
  <c r="G589" i="4"/>
  <c r="H589" i="4" s="1"/>
  <c r="G588" i="4"/>
  <c r="H588" i="4" s="1"/>
  <c r="G587" i="4"/>
  <c r="H587" i="4" s="1"/>
  <c r="G586" i="4"/>
  <c r="H586" i="4" s="1"/>
  <c r="G585" i="4"/>
  <c r="H585" i="4" s="1"/>
  <c r="G584" i="4"/>
  <c r="H584" i="4" s="1"/>
  <c r="G583" i="4"/>
  <c r="H583" i="4" s="1"/>
  <c r="G582" i="4"/>
  <c r="H582" i="4" s="1"/>
  <c r="G581" i="4"/>
  <c r="H581" i="4" s="1"/>
  <c r="G580" i="4"/>
  <c r="H580" i="4" s="1"/>
  <c r="G579" i="4"/>
  <c r="H579" i="4" s="1"/>
  <c r="G578" i="4"/>
  <c r="H578" i="4" s="1"/>
  <c r="G577" i="4"/>
  <c r="H577" i="4" s="1"/>
  <c r="G576" i="4"/>
  <c r="H576" i="4" s="1"/>
  <c r="G575" i="4"/>
  <c r="H575" i="4" s="1"/>
  <c r="G574" i="4"/>
  <c r="H574" i="4" s="1"/>
  <c r="G573" i="4"/>
  <c r="H573" i="4" s="1"/>
  <c r="G572" i="4"/>
  <c r="H572" i="4" s="1"/>
  <c r="G571" i="4"/>
  <c r="H571" i="4" s="1"/>
  <c r="G570" i="4"/>
  <c r="H570" i="4" s="1"/>
  <c r="G569" i="4"/>
  <c r="H569" i="4" s="1"/>
  <c r="G568" i="4"/>
  <c r="H568" i="4" s="1"/>
  <c r="G567" i="4"/>
  <c r="H567" i="4" s="1"/>
  <c r="G566" i="4"/>
  <c r="H566" i="4" s="1"/>
  <c r="G565" i="4"/>
  <c r="H565" i="4" s="1"/>
  <c r="G564" i="4"/>
  <c r="H564" i="4" s="1"/>
  <c r="G563" i="4"/>
  <c r="H563" i="4" s="1"/>
  <c r="G562" i="4"/>
  <c r="H562" i="4" s="1"/>
  <c r="G561" i="4"/>
  <c r="H561" i="4" s="1"/>
  <c r="G560" i="4"/>
  <c r="H560" i="4" s="1"/>
  <c r="G559" i="4"/>
  <c r="H559" i="4" s="1"/>
  <c r="G558" i="4"/>
  <c r="H558" i="4" s="1"/>
  <c r="G557" i="4"/>
  <c r="H557" i="4" s="1"/>
  <c r="G556" i="4"/>
  <c r="H556" i="4" s="1"/>
  <c r="G555" i="4"/>
  <c r="H555" i="4" s="1"/>
  <c r="G554" i="4"/>
  <c r="H554" i="4" s="1"/>
  <c r="G553" i="4"/>
  <c r="H553" i="4" s="1"/>
  <c r="G552" i="4"/>
  <c r="H552" i="4" s="1"/>
  <c r="G551" i="4"/>
  <c r="H551" i="4" s="1"/>
  <c r="G550" i="4"/>
  <c r="H550" i="4" s="1"/>
  <c r="G549" i="4"/>
  <c r="H549" i="4" s="1"/>
  <c r="G548" i="4"/>
  <c r="H548" i="4" s="1"/>
  <c r="G547" i="4"/>
  <c r="H547" i="4" s="1"/>
  <c r="G546" i="4"/>
  <c r="H546" i="4" s="1"/>
  <c r="G545" i="4"/>
  <c r="H545" i="4" s="1"/>
  <c r="G544" i="4"/>
  <c r="H544" i="4" s="1"/>
  <c r="G543" i="4"/>
  <c r="H543" i="4" s="1"/>
  <c r="G542" i="4"/>
  <c r="H542" i="4" s="1"/>
  <c r="G541" i="4"/>
  <c r="H541" i="4" s="1"/>
  <c r="G540" i="4"/>
  <c r="H540" i="4" s="1"/>
  <c r="G539" i="4"/>
  <c r="H539" i="4" s="1"/>
  <c r="G538" i="4"/>
  <c r="H538" i="4" s="1"/>
  <c r="G537" i="4"/>
  <c r="H537" i="4" s="1"/>
  <c r="G536" i="4"/>
  <c r="H536" i="4" s="1"/>
  <c r="G535" i="4"/>
  <c r="H535" i="4" s="1"/>
  <c r="G534" i="4"/>
  <c r="H534" i="4" s="1"/>
  <c r="G533" i="4"/>
  <c r="H533" i="4" s="1"/>
  <c r="G532" i="4"/>
  <c r="H532" i="4" s="1"/>
  <c r="G531" i="4"/>
  <c r="H531" i="4" s="1"/>
  <c r="G530" i="4"/>
  <c r="H530" i="4" s="1"/>
  <c r="G529" i="4"/>
  <c r="H529" i="4" s="1"/>
  <c r="G528" i="4"/>
  <c r="H528" i="4" s="1"/>
  <c r="G527" i="4"/>
  <c r="H527" i="4" s="1"/>
  <c r="G526" i="4"/>
  <c r="H526" i="4" s="1"/>
  <c r="G525" i="4"/>
  <c r="H525" i="4" s="1"/>
  <c r="G524" i="4"/>
  <c r="H524" i="4" s="1"/>
  <c r="G523" i="4"/>
  <c r="H523" i="4" s="1"/>
  <c r="G522" i="4"/>
  <c r="H522" i="4" s="1"/>
  <c r="G521" i="4"/>
  <c r="H521" i="4" s="1"/>
  <c r="G520" i="4"/>
  <c r="H520" i="4" s="1"/>
  <c r="G519" i="4"/>
  <c r="H519" i="4" s="1"/>
  <c r="G518" i="4"/>
  <c r="H518" i="4" s="1"/>
  <c r="G517" i="4"/>
  <c r="H517" i="4" s="1"/>
  <c r="G516" i="4"/>
  <c r="H516" i="4" s="1"/>
  <c r="G515" i="4"/>
  <c r="H515" i="4" s="1"/>
  <c r="G514" i="4"/>
  <c r="H514" i="4" s="1"/>
  <c r="G513" i="4"/>
  <c r="H513" i="4" s="1"/>
  <c r="G512" i="4"/>
  <c r="H512" i="4" s="1"/>
  <c r="G511" i="4"/>
  <c r="H511" i="4" s="1"/>
  <c r="G510" i="4"/>
  <c r="H510" i="4" s="1"/>
  <c r="G509" i="4"/>
  <c r="H509" i="4" s="1"/>
  <c r="G508" i="4"/>
  <c r="H508" i="4" s="1"/>
  <c r="G507" i="4"/>
  <c r="H507" i="4" s="1"/>
  <c r="G506" i="4"/>
  <c r="H506" i="4" s="1"/>
  <c r="G505" i="4"/>
  <c r="H505" i="4" s="1"/>
  <c r="G504" i="4"/>
  <c r="H504" i="4" s="1"/>
  <c r="G503" i="4"/>
  <c r="H503" i="4" s="1"/>
  <c r="G502" i="4"/>
  <c r="H502" i="4" s="1"/>
  <c r="G501" i="4"/>
  <c r="H501" i="4" s="1"/>
  <c r="G500" i="4"/>
  <c r="H500" i="4" s="1"/>
  <c r="G499" i="4"/>
  <c r="H499" i="4" s="1"/>
  <c r="G498" i="4"/>
  <c r="H498" i="4" s="1"/>
  <c r="G497" i="4"/>
  <c r="H497" i="4" s="1"/>
  <c r="G496" i="4"/>
  <c r="H496" i="4" s="1"/>
  <c r="G495" i="4"/>
  <c r="H495" i="4" s="1"/>
  <c r="G494" i="4"/>
  <c r="H494" i="4" s="1"/>
  <c r="G493" i="4"/>
  <c r="H493" i="4" s="1"/>
  <c r="G492" i="4"/>
  <c r="H492" i="4" s="1"/>
  <c r="G491" i="4"/>
  <c r="H491" i="4" s="1"/>
  <c r="G490" i="4"/>
  <c r="H490" i="4" s="1"/>
  <c r="G489" i="4"/>
  <c r="H489" i="4" s="1"/>
  <c r="G488" i="4"/>
  <c r="H488" i="4" s="1"/>
  <c r="G487" i="4"/>
  <c r="H487" i="4" s="1"/>
  <c r="G486" i="4"/>
  <c r="H486" i="4" s="1"/>
  <c r="G485" i="4"/>
  <c r="H485" i="4" s="1"/>
  <c r="G484" i="4"/>
  <c r="H484" i="4" s="1"/>
  <c r="G483" i="4"/>
  <c r="H483" i="4" s="1"/>
  <c r="G482" i="4"/>
  <c r="H482" i="4" s="1"/>
  <c r="G481" i="4"/>
  <c r="H481" i="4" s="1"/>
  <c r="G480" i="4"/>
  <c r="H480" i="4" s="1"/>
  <c r="G479" i="4"/>
  <c r="H479" i="4" s="1"/>
  <c r="G478" i="4"/>
  <c r="H478" i="4" s="1"/>
  <c r="G477" i="4"/>
  <c r="H477" i="4" s="1"/>
  <c r="G476" i="4"/>
  <c r="H476" i="4" s="1"/>
  <c r="G475" i="4"/>
  <c r="H475" i="4" s="1"/>
  <c r="G474" i="4"/>
  <c r="H474" i="4" s="1"/>
  <c r="G473" i="4"/>
  <c r="H473" i="4" s="1"/>
  <c r="G472" i="4"/>
  <c r="H472" i="4" s="1"/>
  <c r="G471" i="4"/>
  <c r="H471" i="4" s="1"/>
  <c r="G470" i="4"/>
  <c r="H470" i="4" s="1"/>
  <c r="G469" i="4"/>
  <c r="H469" i="4" s="1"/>
  <c r="G468" i="4"/>
  <c r="H468" i="4" s="1"/>
  <c r="G467" i="4"/>
  <c r="H467" i="4" s="1"/>
  <c r="G466" i="4"/>
  <c r="H466" i="4" s="1"/>
  <c r="G465" i="4"/>
  <c r="H465" i="4" s="1"/>
  <c r="G464" i="4"/>
  <c r="H464" i="4" s="1"/>
  <c r="G463" i="4"/>
  <c r="H463" i="4" s="1"/>
  <c r="G462" i="4"/>
  <c r="H462" i="4" s="1"/>
  <c r="G461" i="4"/>
  <c r="H461" i="4" s="1"/>
  <c r="G460" i="4"/>
  <c r="H460" i="4" s="1"/>
  <c r="G459" i="4"/>
  <c r="H459" i="4" s="1"/>
  <c r="G458" i="4"/>
  <c r="H458" i="4" s="1"/>
  <c r="G457" i="4"/>
  <c r="H457" i="4" s="1"/>
  <c r="G456" i="4"/>
  <c r="H456" i="4" s="1"/>
  <c r="G455" i="4"/>
  <c r="H455" i="4" s="1"/>
  <c r="G454" i="4"/>
  <c r="H454" i="4" s="1"/>
  <c r="G453" i="4"/>
  <c r="H453" i="4" s="1"/>
  <c r="G452" i="4"/>
  <c r="H452" i="4" s="1"/>
  <c r="G451" i="4"/>
  <c r="H451" i="4" s="1"/>
  <c r="G450" i="4"/>
  <c r="H450" i="4" s="1"/>
  <c r="G449" i="4"/>
  <c r="H449" i="4" s="1"/>
  <c r="G448" i="4"/>
  <c r="H448" i="4" s="1"/>
  <c r="G447" i="4"/>
  <c r="H447" i="4" s="1"/>
  <c r="G446" i="4"/>
  <c r="H446" i="4" s="1"/>
  <c r="G445" i="4"/>
  <c r="H445" i="4" s="1"/>
  <c r="G444" i="4"/>
  <c r="H444" i="4" s="1"/>
  <c r="G443" i="4"/>
  <c r="H443" i="4" s="1"/>
  <c r="G442" i="4"/>
  <c r="H442" i="4" s="1"/>
  <c r="G441" i="4"/>
  <c r="H441" i="4" s="1"/>
  <c r="G440" i="4"/>
  <c r="H440" i="4" s="1"/>
  <c r="G439" i="4"/>
  <c r="H439" i="4" s="1"/>
  <c r="G438" i="4"/>
  <c r="H438" i="4" s="1"/>
  <c r="G437" i="4"/>
  <c r="H437" i="4" s="1"/>
  <c r="G436" i="4"/>
  <c r="H436" i="4" s="1"/>
  <c r="G435" i="4"/>
  <c r="H435" i="4" s="1"/>
  <c r="G434" i="4"/>
  <c r="H434" i="4" s="1"/>
  <c r="G433" i="4"/>
  <c r="H433" i="4" s="1"/>
  <c r="G432" i="4"/>
  <c r="H432" i="4" s="1"/>
  <c r="G431" i="4"/>
  <c r="H431" i="4" s="1"/>
  <c r="G430" i="4"/>
  <c r="H430" i="4" s="1"/>
  <c r="G429" i="4"/>
  <c r="H429" i="4" s="1"/>
  <c r="G428" i="4"/>
  <c r="H428" i="4" s="1"/>
  <c r="G427" i="4"/>
  <c r="H427" i="4" s="1"/>
  <c r="G426" i="4"/>
  <c r="H426" i="4" s="1"/>
  <c r="G425" i="4"/>
  <c r="H425" i="4" s="1"/>
  <c r="G424" i="4"/>
  <c r="H424" i="4" s="1"/>
  <c r="G423" i="4"/>
  <c r="H423" i="4" s="1"/>
  <c r="G422" i="4"/>
  <c r="H422" i="4" s="1"/>
  <c r="G421" i="4"/>
  <c r="H421" i="4" s="1"/>
  <c r="G420" i="4"/>
  <c r="H420" i="4" s="1"/>
  <c r="G419" i="4"/>
  <c r="H419" i="4" s="1"/>
  <c r="G418" i="4"/>
  <c r="H418" i="4" s="1"/>
  <c r="G417" i="4"/>
  <c r="H417" i="4" s="1"/>
  <c r="G416" i="4"/>
  <c r="H416" i="4" s="1"/>
  <c r="G415" i="4"/>
  <c r="H415" i="4" s="1"/>
  <c r="G414" i="4"/>
  <c r="H414" i="4" s="1"/>
  <c r="G413" i="4"/>
  <c r="H413" i="4" s="1"/>
  <c r="G412" i="4"/>
  <c r="H412" i="4" s="1"/>
  <c r="G411" i="4"/>
  <c r="H411" i="4" s="1"/>
  <c r="G410" i="4"/>
  <c r="H410" i="4" s="1"/>
  <c r="G409" i="4"/>
  <c r="H409" i="4" s="1"/>
  <c r="G408" i="4"/>
  <c r="H408" i="4" s="1"/>
  <c r="G407" i="4"/>
  <c r="H407" i="4" s="1"/>
  <c r="G406" i="4"/>
  <c r="H406" i="4" s="1"/>
  <c r="G405" i="4"/>
  <c r="H405" i="4" s="1"/>
  <c r="G404" i="4"/>
  <c r="H404" i="4" s="1"/>
  <c r="G403" i="4"/>
  <c r="H403" i="4" s="1"/>
  <c r="G402" i="4"/>
  <c r="H402" i="4" s="1"/>
  <c r="G401" i="4"/>
  <c r="H401" i="4" s="1"/>
  <c r="G400" i="4"/>
  <c r="H400" i="4" s="1"/>
  <c r="G399" i="4"/>
  <c r="H399" i="4" s="1"/>
  <c r="G398" i="4"/>
  <c r="H398" i="4" s="1"/>
  <c r="G397" i="4"/>
  <c r="H397" i="4" s="1"/>
  <c r="G396" i="4"/>
  <c r="H396" i="4" s="1"/>
  <c r="G395" i="4"/>
  <c r="H395" i="4" s="1"/>
  <c r="G394" i="4"/>
  <c r="H394" i="4" s="1"/>
  <c r="G393" i="4"/>
  <c r="H393" i="4" s="1"/>
  <c r="G392" i="4"/>
  <c r="H392" i="4" s="1"/>
  <c r="G391" i="4"/>
  <c r="H391" i="4" s="1"/>
  <c r="G390" i="4"/>
  <c r="H390" i="4" s="1"/>
  <c r="G389" i="4"/>
  <c r="H389" i="4" s="1"/>
  <c r="G388" i="4"/>
  <c r="H388" i="4" s="1"/>
  <c r="G387" i="4"/>
  <c r="H387" i="4" s="1"/>
  <c r="G386" i="4"/>
  <c r="H386" i="4" s="1"/>
  <c r="G385" i="4"/>
  <c r="H385" i="4" s="1"/>
  <c r="G384" i="4"/>
  <c r="H384" i="4" s="1"/>
  <c r="G383" i="4"/>
  <c r="H383" i="4" s="1"/>
  <c r="G382" i="4"/>
  <c r="H382" i="4" s="1"/>
  <c r="G381" i="4"/>
  <c r="H381" i="4" s="1"/>
  <c r="G380" i="4"/>
  <c r="H380" i="4" s="1"/>
  <c r="G379" i="4"/>
  <c r="H379" i="4" s="1"/>
  <c r="G378" i="4"/>
  <c r="H378" i="4" s="1"/>
  <c r="G377" i="4"/>
  <c r="H377" i="4" s="1"/>
  <c r="G376" i="4"/>
  <c r="H376" i="4" s="1"/>
  <c r="G375" i="4"/>
  <c r="H375" i="4" s="1"/>
  <c r="G374" i="4"/>
  <c r="H374" i="4" s="1"/>
  <c r="G373" i="4"/>
  <c r="H373" i="4" s="1"/>
  <c r="G372" i="4"/>
  <c r="H372" i="4" s="1"/>
  <c r="G371" i="4"/>
  <c r="H371" i="4" s="1"/>
  <c r="G370" i="4"/>
  <c r="H370" i="4" s="1"/>
  <c r="G369" i="4"/>
  <c r="H369" i="4" s="1"/>
  <c r="G368" i="4"/>
  <c r="H368" i="4" s="1"/>
  <c r="G367" i="4"/>
  <c r="H367" i="4" s="1"/>
  <c r="G366" i="4"/>
  <c r="H366" i="4" s="1"/>
  <c r="G365" i="4"/>
  <c r="H365" i="4" s="1"/>
  <c r="G364" i="4"/>
  <c r="H364" i="4" s="1"/>
  <c r="G363" i="4"/>
  <c r="H363" i="4" s="1"/>
  <c r="G362" i="4"/>
  <c r="H362" i="4" s="1"/>
  <c r="G361" i="4"/>
  <c r="H361" i="4" s="1"/>
  <c r="G360" i="4"/>
  <c r="H360" i="4" s="1"/>
  <c r="G359" i="4"/>
  <c r="H359" i="4" s="1"/>
  <c r="G358" i="4"/>
  <c r="H358" i="4" s="1"/>
  <c r="G357" i="4"/>
  <c r="H357" i="4" s="1"/>
  <c r="G356" i="4"/>
  <c r="H356" i="4" s="1"/>
  <c r="G355" i="4"/>
  <c r="H355" i="4" s="1"/>
  <c r="G354" i="4"/>
  <c r="H354" i="4" s="1"/>
  <c r="G353" i="4"/>
  <c r="H353" i="4" s="1"/>
  <c r="G352" i="4"/>
  <c r="H352" i="4" s="1"/>
  <c r="G351" i="4"/>
  <c r="H351" i="4" s="1"/>
  <c r="G350" i="4"/>
  <c r="H350" i="4" s="1"/>
  <c r="G349" i="4"/>
  <c r="H349" i="4" s="1"/>
  <c r="G348" i="4"/>
  <c r="H348" i="4" s="1"/>
  <c r="G347" i="4"/>
  <c r="H347" i="4" s="1"/>
  <c r="G346" i="4"/>
  <c r="H346" i="4" s="1"/>
  <c r="G345" i="4"/>
  <c r="H345" i="4" s="1"/>
  <c r="G344" i="4"/>
  <c r="H344" i="4" s="1"/>
  <c r="G343" i="4"/>
  <c r="H343" i="4" s="1"/>
  <c r="G342" i="4"/>
  <c r="H342" i="4" s="1"/>
  <c r="G341" i="4"/>
  <c r="H341" i="4" s="1"/>
  <c r="G340" i="4"/>
  <c r="H340" i="4" s="1"/>
  <c r="G339" i="4"/>
  <c r="H339" i="4" s="1"/>
  <c r="G338" i="4"/>
  <c r="H338" i="4" s="1"/>
  <c r="G337" i="4"/>
  <c r="H337" i="4" s="1"/>
  <c r="G336" i="4"/>
  <c r="H336" i="4" s="1"/>
  <c r="G335" i="4"/>
  <c r="H335" i="4" s="1"/>
  <c r="G334" i="4"/>
  <c r="H334" i="4" s="1"/>
  <c r="G333" i="4"/>
  <c r="H333" i="4" s="1"/>
  <c r="G332" i="4"/>
  <c r="H332" i="4" s="1"/>
  <c r="G331" i="4"/>
  <c r="H331" i="4" s="1"/>
  <c r="G330" i="4"/>
  <c r="H330" i="4" s="1"/>
  <c r="G329" i="4"/>
  <c r="H329" i="4" s="1"/>
  <c r="G328" i="4"/>
  <c r="H328" i="4" s="1"/>
  <c r="G327" i="4"/>
  <c r="H327" i="4" s="1"/>
  <c r="G326" i="4"/>
  <c r="H326" i="4" s="1"/>
  <c r="G325" i="4"/>
  <c r="H325" i="4" s="1"/>
  <c r="G324" i="4"/>
  <c r="H324" i="4" s="1"/>
  <c r="G323" i="4"/>
  <c r="H323" i="4" s="1"/>
  <c r="G322" i="4"/>
  <c r="H322" i="4" s="1"/>
  <c r="G321" i="4"/>
  <c r="H321" i="4" s="1"/>
  <c r="G320" i="4"/>
  <c r="H320" i="4" s="1"/>
  <c r="G319" i="4"/>
  <c r="H319" i="4" s="1"/>
  <c r="G318" i="4"/>
  <c r="H318" i="4" s="1"/>
  <c r="G317" i="4"/>
  <c r="H317" i="4" s="1"/>
  <c r="G316" i="4"/>
  <c r="H316" i="4" s="1"/>
  <c r="G315" i="4"/>
  <c r="H315" i="4" s="1"/>
  <c r="G314" i="4"/>
  <c r="H314" i="4" s="1"/>
  <c r="G313" i="4"/>
  <c r="H313" i="4" s="1"/>
  <c r="G312" i="4"/>
  <c r="H312" i="4" s="1"/>
  <c r="G311" i="4"/>
  <c r="H311" i="4" s="1"/>
  <c r="G310" i="4"/>
  <c r="H310" i="4" s="1"/>
  <c r="G309" i="4"/>
  <c r="H309" i="4" s="1"/>
  <c r="G308" i="4"/>
  <c r="H308" i="4" s="1"/>
  <c r="G307" i="4"/>
  <c r="H307" i="4" s="1"/>
  <c r="G306" i="4"/>
  <c r="H306" i="4" s="1"/>
  <c r="G305" i="4"/>
  <c r="H305" i="4" s="1"/>
  <c r="G304" i="4"/>
  <c r="H304" i="4" s="1"/>
  <c r="G303" i="4"/>
  <c r="H303" i="4" s="1"/>
  <c r="G302" i="4"/>
  <c r="H302" i="4" s="1"/>
  <c r="G301" i="4"/>
  <c r="H301" i="4" s="1"/>
  <c r="G300" i="4"/>
  <c r="H300" i="4" s="1"/>
  <c r="G299" i="4"/>
  <c r="H299" i="4" s="1"/>
  <c r="G298" i="4"/>
  <c r="H298" i="4" s="1"/>
  <c r="G297" i="4"/>
  <c r="H297" i="4" s="1"/>
  <c r="G296" i="4"/>
  <c r="H296" i="4" s="1"/>
  <c r="G295" i="4"/>
  <c r="H295" i="4" s="1"/>
  <c r="G294" i="4"/>
  <c r="H294" i="4" s="1"/>
  <c r="G293" i="4"/>
  <c r="H293" i="4" s="1"/>
  <c r="G292" i="4"/>
  <c r="H292" i="4" s="1"/>
  <c r="G291" i="4"/>
  <c r="H291" i="4" s="1"/>
  <c r="G290" i="4"/>
  <c r="H290" i="4" s="1"/>
  <c r="G289" i="4"/>
  <c r="H289" i="4" s="1"/>
  <c r="G288" i="4"/>
  <c r="H288" i="4" s="1"/>
  <c r="G287" i="4"/>
  <c r="H287" i="4" s="1"/>
  <c r="G286" i="4"/>
  <c r="H286" i="4" s="1"/>
  <c r="G285" i="4"/>
  <c r="H285" i="4" s="1"/>
  <c r="G284" i="4"/>
  <c r="H284" i="4" s="1"/>
  <c r="G283" i="4"/>
  <c r="H283" i="4" s="1"/>
  <c r="G282" i="4"/>
  <c r="H282" i="4" s="1"/>
  <c r="G281" i="4"/>
  <c r="H281" i="4" s="1"/>
  <c r="G280" i="4"/>
  <c r="H280" i="4" s="1"/>
  <c r="G279" i="4"/>
  <c r="H279" i="4" s="1"/>
  <c r="G278" i="4"/>
  <c r="H278" i="4" s="1"/>
  <c r="G277" i="4"/>
  <c r="H277" i="4" s="1"/>
  <c r="G276" i="4"/>
  <c r="H276" i="4" s="1"/>
  <c r="G275" i="4"/>
  <c r="H275" i="4" s="1"/>
  <c r="G274" i="4"/>
  <c r="H274" i="4" s="1"/>
  <c r="G273" i="4"/>
  <c r="H273" i="4" s="1"/>
  <c r="G272" i="4"/>
  <c r="H272" i="4" s="1"/>
  <c r="G271" i="4"/>
  <c r="H271" i="4" s="1"/>
  <c r="G270" i="4"/>
  <c r="H270" i="4" s="1"/>
  <c r="G269" i="4"/>
  <c r="H269" i="4" s="1"/>
  <c r="G268" i="4"/>
  <c r="H268" i="4" s="1"/>
  <c r="G267" i="4"/>
  <c r="H267" i="4" s="1"/>
  <c r="G266" i="4"/>
  <c r="H266" i="4" s="1"/>
  <c r="G265" i="4"/>
  <c r="H265" i="4" s="1"/>
  <c r="G264" i="4"/>
  <c r="H264" i="4" s="1"/>
  <c r="G263" i="4"/>
  <c r="H263" i="4" s="1"/>
  <c r="G262" i="4"/>
  <c r="H262" i="4" s="1"/>
  <c r="G261" i="4"/>
  <c r="H261" i="4" s="1"/>
  <c r="G260" i="4"/>
  <c r="H260" i="4" s="1"/>
  <c r="G259" i="4"/>
  <c r="H259" i="4" s="1"/>
  <c r="G258" i="4"/>
  <c r="H258" i="4" s="1"/>
  <c r="G257" i="4"/>
  <c r="H257" i="4" s="1"/>
  <c r="G256" i="4"/>
  <c r="H256" i="4" s="1"/>
  <c r="G255" i="4"/>
  <c r="H255" i="4" s="1"/>
  <c r="G254" i="4"/>
  <c r="H254" i="4" s="1"/>
  <c r="G253" i="4"/>
  <c r="H253" i="4" s="1"/>
  <c r="G252" i="4"/>
  <c r="H252" i="4" s="1"/>
  <c r="G251" i="4"/>
  <c r="H251" i="4" s="1"/>
  <c r="G250" i="4"/>
  <c r="H250" i="4" s="1"/>
  <c r="G249" i="4"/>
  <c r="H249" i="4" s="1"/>
  <c r="G248" i="4"/>
  <c r="H248" i="4" s="1"/>
  <c r="G247" i="4"/>
  <c r="H247" i="4" s="1"/>
  <c r="G246" i="4"/>
  <c r="H246" i="4" s="1"/>
  <c r="G245" i="4"/>
  <c r="H245" i="4" s="1"/>
  <c r="G244" i="4"/>
  <c r="H244" i="4" s="1"/>
  <c r="G243" i="4"/>
  <c r="H243" i="4" s="1"/>
  <c r="G242" i="4"/>
  <c r="H242" i="4" s="1"/>
  <c r="G241" i="4"/>
  <c r="H241" i="4" s="1"/>
  <c r="G240" i="4"/>
  <c r="H240" i="4" s="1"/>
  <c r="G239" i="4"/>
  <c r="H239" i="4" s="1"/>
  <c r="G238" i="4"/>
  <c r="H238" i="4" s="1"/>
  <c r="G237" i="4"/>
  <c r="H237" i="4" s="1"/>
  <c r="G236" i="4"/>
  <c r="H236" i="4" s="1"/>
  <c r="G235" i="4"/>
  <c r="H235" i="4" s="1"/>
  <c r="G234" i="4"/>
  <c r="H234" i="4" s="1"/>
  <c r="G233" i="4"/>
  <c r="H233" i="4" s="1"/>
  <c r="G232" i="4"/>
  <c r="H232" i="4" s="1"/>
  <c r="G231" i="4"/>
  <c r="H231" i="4" s="1"/>
  <c r="G230" i="4"/>
  <c r="H230" i="4" s="1"/>
  <c r="G229" i="4"/>
  <c r="H229" i="4" s="1"/>
  <c r="G228" i="4"/>
  <c r="H228" i="4" s="1"/>
  <c r="G227" i="4"/>
  <c r="H227" i="4" s="1"/>
  <c r="G226" i="4"/>
  <c r="H226" i="4" s="1"/>
  <c r="G225" i="4"/>
  <c r="H225" i="4" s="1"/>
  <c r="G224" i="4"/>
  <c r="H224" i="4" s="1"/>
  <c r="G223" i="4"/>
  <c r="H223" i="4" s="1"/>
  <c r="G222" i="4"/>
  <c r="H222" i="4" s="1"/>
  <c r="G221" i="4"/>
  <c r="H221" i="4" s="1"/>
  <c r="G220" i="4"/>
  <c r="H220" i="4" s="1"/>
  <c r="G219" i="4"/>
  <c r="H219" i="4" s="1"/>
  <c r="G218" i="4"/>
  <c r="H218" i="4" s="1"/>
  <c r="G217" i="4"/>
  <c r="H217" i="4" s="1"/>
  <c r="G216" i="4"/>
  <c r="H216" i="4" s="1"/>
  <c r="G215" i="4"/>
  <c r="H215" i="4" s="1"/>
  <c r="G214" i="4"/>
  <c r="H214" i="4" s="1"/>
  <c r="G213" i="4"/>
  <c r="H213" i="4" s="1"/>
  <c r="G212" i="4"/>
  <c r="H212" i="4" s="1"/>
  <c r="G211" i="4"/>
  <c r="H211" i="4" s="1"/>
  <c r="G210" i="4"/>
  <c r="H210" i="4" s="1"/>
  <c r="G209" i="4"/>
  <c r="H209" i="4" s="1"/>
  <c r="G208" i="4"/>
  <c r="H208" i="4" s="1"/>
  <c r="G207" i="4"/>
  <c r="H207" i="4" s="1"/>
  <c r="G206" i="4"/>
  <c r="H206" i="4" s="1"/>
  <c r="G205" i="4"/>
  <c r="H205" i="4" s="1"/>
  <c r="G204" i="4"/>
  <c r="H204" i="4" s="1"/>
  <c r="G203" i="4"/>
  <c r="H203" i="4" s="1"/>
  <c r="G202" i="4"/>
  <c r="H202" i="4" s="1"/>
  <c r="G201" i="4"/>
  <c r="H201" i="4" s="1"/>
  <c r="G200" i="4"/>
  <c r="H200" i="4" s="1"/>
  <c r="G199" i="4"/>
  <c r="H199" i="4" s="1"/>
  <c r="G198" i="4"/>
  <c r="H198" i="4" s="1"/>
  <c r="G197" i="4"/>
  <c r="H197" i="4" s="1"/>
  <c r="G196" i="4"/>
  <c r="H196" i="4" s="1"/>
  <c r="G195" i="4"/>
  <c r="H195" i="4" s="1"/>
  <c r="G193" i="4"/>
  <c r="H193" i="4" s="1"/>
  <c r="G192" i="4"/>
  <c r="H192" i="4" s="1"/>
  <c r="G191" i="4"/>
  <c r="H191" i="4" s="1"/>
  <c r="G190" i="4"/>
  <c r="H190" i="4" s="1"/>
  <c r="G189" i="4"/>
  <c r="H189" i="4" s="1"/>
  <c r="G188" i="4"/>
  <c r="H188" i="4" s="1"/>
  <c r="G187" i="4"/>
  <c r="H187" i="4" s="1"/>
  <c r="G186" i="4"/>
  <c r="H186" i="4" s="1"/>
  <c r="G185" i="4"/>
  <c r="H185" i="4" s="1"/>
  <c r="G184" i="4"/>
  <c r="H184" i="4" s="1"/>
  <c r="G183" i="4"/>
  <c r="H183" i="4" s="1"/>
  <c r="G182" i="4"/>
  <c r="H182" i="4" s="1"/>
  <c r="G181" i="4"/>
  <c r="H181" i="4" s="1"/>
  <c r="G180" i="4"/>
  <c r="H180" i="4" s="1"/>
  <c r="G179" i="4"/>
  <c r="H179" i="4" s="1"/>
  <c r="G178" i="4"/>
  <c r="H178" i="4" s="1"/>
  <c r="G177" i="4"/>
  <c r="H177" i="4" s="1"/>
  <c r="G175" i="4"/>
  <c r="H175" i="4" s="1"/>
  <c r="G174" i="4"/>
  <c r="H174" i="4" s="1"/>
  <c r="G173" i="4"/>
  <c r="H173" i="4" s="1"/>
  <c r="G172" i="4"/>
  <c r="H172" i="4" s="1"/>
  <c r="G171" i="4"/>
  <c r="H171" i="4" s="1"/>
  <c r="G170" i="4"/>
  <c r="H170" i="4" s="1"/>
  <c r="G169" i="4"/>
  <c r="H169" i="4" s="1"/>
  <c r="G168" i="4"/>
  <c r="H168" i="4" s="1"/>
  <c r="G167" i="4"/>
  <c r="H167" i="4" s="1"/>
  <c r="G166" i="4"/>
  <c r="H166" i="4" s="1"/>
  <c r="G165" i="4"/>
  <c r="H165" i="4" s="1"/>
  <c r="G164" i="4"/>
  <c r="H164" i="4" s="1"/>
  <c r="G163" i="4"/>
  <c r="H163" i="4" s="1"/>
  <c r="G162" i="4"/>
  <c r="H162" i="4" s="1"/>
  <c r="G161" i="4"/>
  <c r="H161" i="4" s="1"/>
  <c r="G160" i="4"/>
  <c r="H160" i="4" s="1"/>
  <c r="G159" i="4"/>
  <c r="H159" i="4" s="1"/>
  <c r="G158" i="4"/>
  <c r="H158" i="4" s="1"/>
  <c r="G157" i="4"/>
  <c r="H157" i="4" s="1"/>
  <c r="G156" i="4"/>
  <c r="H156" i="4" s="1"/>
  <c r="G155" i="4"/>
  <c r="H155" i="4" s="1"/>
  <c r="G154" i="4"/>
  <c r="H154" i="4" s="1"/>
  <c r="G153" i="4"/>
  <c r="H153" i="4" s="1"/>
  <c r="G152" i="4"/>
  <c r="H152" i="4" s="1"/>
  <c r="G151" i="4"/>
  <c r="H151" i="4" s="1"/>
  <c r="G150" i="4"/>
  <c r="H150" i="4" s="1"/>
  <c r="G149" i="4"/>
  <c r="H149" i="4" s="1"/>
  <c r="G148" i="4"/>
  <c r="H148" i="4" s="1"/>
  <c r="G147" i="4"/>
  <c r="H147" i="4" s="1"/>
  <c r="G146" i="4"/>
  <c r="H146" i="4" s="1"/>
  <c r="G145" i="4"/>
  <c r="H145" i="4" s="1"/>
  <c r="G144" i="4"/>
  <c r="H144" i="4" s="1"/>
  <c r="G143" i="4"/>
  <c r="H143" i="4" s="1"/>
  <c r="G142" i="4"/>
  <c r="H142" i="4" s="1"/>
  <c r="G141" i="4"/>
  <c r="H141" i="4" s="1"/>
  <c r="G140" i="4"/>
  <c r="H140" i="4" s="1"/>
  <c r="G139" i="4"/>
  <c r="H139" i="4" s="1"/>
  <c r="G138" i="4"/>
  <c r="H138" i="4" s="1"/>
  <c r="G137" i="4"/>
  <c r="H137" i="4" s="1"/>
  <c r="G136" i="4"/>
  <c r="H136" i="4" s="1"/>
  <c r="G135" i="4"/>
  <c r="H135" i="4" s="1"/>
  <c r="G134" i="4"/>
  <c r="H134" i="4" s="1"/>
  <c r="G133" i="4"/>
  <c r="H133" i="4" s="1"/>
  <c r="G132" i="4"/>
  <c r="H132" i="4" s="1"/>
  <c r="G131" i="4"/>
  <c r="H131" i="4" s="1"/>
  <c r="G130" i="4"/>
  <c r="H130" i="4" s="1"/>
  <c r="G129" i="4"/>
  <c r="H129" i="4" s="1"/>
  <c r="G128" i="4"/>
  <c r="H128" i="4" s="1"/>
  <c r="G127" i="4"/>
  <c r="H127" i="4" s="1"/>
  <c r="G126" i="4"/>
  <c r="H126" i="4" s="1"/>
  <c r="G125" i="4"/>
  <c r="H125" i="4" s="1"/>
  <c r="G124" i="4"/>
  <c r="H124" i="4" s="1"/>
  <c r="G123" i="4"/>
  <c r="H123" i="4" s="1"/>
  <c r="G122" i="4"/>
  <c r="H122" i="4" s="1"/>
  <c r="G121" i="4"/>
  <c r="H121" i="4" s="1"/>
  <c r="G120" i="4"/>
  <c r="H120" i="4" s="1"/>
  <c r="G119" i="4"/>
  <c r="H119" i="4" s="1"/>
  <c r="G118" i="4"/>
  <c r="H118" i="4" s="1"/>
  <c r="G117" i="4"/>
  <c r="H117" i="4" s="1"/>
  <c r="G116" i="4"/>
  <c r="H116" i="4" s="1"/>
  <c r="G115" i="4"/>
  <c r="H115" i="4" s="1"/>
  <c r="G114" i="4"/>
  <c r="H114" i="4" s="1"/>
  <c r="G113" i="4"/>
  <c r="H113" i="4" s="1"/>
  <c r="G112" i="4"/>
  <c r="H112" i="4" s="1"/>
  <c r="G111" i="4"/>
  <c r="H111" i="4" s="1"/>
  <c r="G110" i="4"/>
  <c r="H110" i="4" s="1"/>
  <c r="G109" i="4"/>
  <c r="H109" i="4" s="1"/>
  <c r="G108" i="4"/>
  <c r="H108" i="4" s="1"/>
  <c r="G107" i="4"/>
  <c r="H107" i="4" s="1"/>
  <c r="G106" i="4"/>
  <c r="H106" i="4" s="1"/>
  <c r="G105" i="4"/>
  <c r="H105" i="4" s="1"/>
  <c r="G104" i="4"/>
  <c r="H104" i="4" s="1"/>
  <c r="G103" i="4"/>
  <c r="H103" i="4" s="1"/>
  <c r="G102" i="4"/>
  <c r="H102" i="4" s="1"/>
  <c r="G101" i="4"/>
  <c r="H101" i="4" s="1"/>
  <c r="G100" i="4"/>
  <c r="H100" i="4" s="1"/>
  <c r="H99" i="4"/>
  <c r="G98" i="4"/>
  <c r="H98" i="4" s="1"/>
  <c r="G97" i="4"/>
  <c r="H97" i="4" s="1"/>
  <c r="G96" i="4"/>
  <c r="H96" i="4" s="1"/>
  <c r="G95" i="4"/>
  <c r="H95" i="4" s="1"/>
  <c r="G94" i="4"/>
  <c r="H94" i="4" s="1"/>
  <c r="G93" i="4"/>
  <c r="H93" i="4" s="1"/>
  <c r="G92" i="4"/>
  <c r="H92" i="4" s="1"/>
  <c r="G91" i="4"/>
  <c r="H91" i="4" s="1"/>
  <c r="G90" i="4"/>
  <c r="H90" i="4" s="1"/>
  <c r="G89" i="4"/>
  <c r="H89" i="4" s="1"/>
  <c r="G88" i="4"/>
  <c r="H88" i="4" s="1"/>
  <c r="G87" i="4"/>
  <c r="H87" i="4" s="1"/>
  <c r="G86" i="4"/>
  <c r="H86" i="4" s="1"/>
  <c r="G85" i="4"/>
  <c r="H85" i="4" s="1"/>
  <c r="G84" i="4"/>
  <c r="H84" i="4" s="1"/>
  <c r="G83" i="4"/>
  <c r="H83" i="4" s="1"/>
  <c r="G82" i="4"/>
  <c r="H82" i="4" s="1"/>
  <c r="G81" i="4"/>
  <c r="H81" i="4" s="1"/>
  <c r="G80" i="4"/>
  <c r="H80" i="4" s="1"/>
  <c r="G79" i="4"/>
  <c r="H79" i="4" s="1"/>
  <c r="G78" i="4"/>
  <c r="H78" i="4" s="1"/>
  <c r="G77" i="4"/>
  <c r="H77" i="4" s="1"/>
  <c r="G76" i="4"/>
  <c r="H76" i="4" s="1"/>
  <c r="G75" i="4"/>
  <c r="H75" i="4" s="1"/>
  <c r="G74" i="4"/>
  <c r="H74" i="4" s="1"/>
  <c r="G73" i="4"/>
  <c r="H73" i="4" s="1"/>
  <c r="G72" i="4"/>
  <c r="H72" i="4" s="1"/>
  <c r="G71" i="4"/>
  <c r="H71" i="4" s="1"/>
  <c r="G70" i="4"/>
  <c r="H70" i="4" s="1"/>
  <c r="G69" i="4"/>
  <c r="H69" i="4" s="1"/>
  <c r="G68" i="4"/>
  <c r="H68" i="4" s="1"/>
  <c r="G67" i="4"/>
  <c r="H67" i="4" s="1"/>
  <c r="G66" i="4"/>
  <c r="H66" i="4" s="1"/>
  <c r="G65" i="4"/>
  <c r="H65" i="4" s="1"/>
  <c r="G64" i="4"/>
  <c r="H64" i="4" s="1"/>
  <c r="G63" i="4"/>
  <c r="H63" i="4" s="1"/>
  <c r="G62" i="4"/>
  <c r="H62" i="4" s="1"/>
  <c r="G61" i="4"/>
  <c r="H61" i="4" s="1"/>
  <c r="G60" i="4"/>
  <c r="H60" i="4" s="1"/>
  <c r="G59" i="4"/>
  <c r="H59" i="4" s="1"/>
  <c r="G58" i="4"/>
  <c r="H58" i="4" s="1"/>
  <c r="G57" i="4"/>
  <c r="H57" i="4" s="1"/>
  <c r="G56" i="4"/>
  <c r="H56" i="4" s="1"/>
  <c r="G55" i="4"/>
  <c r="H55" i="4" s="1"/>
  <c r="G54" i="4"/>
  <c r="H54" i="4" s="1"/>
  <c r="G53" i="4"/>
  <c r="H53" i="4" s="1"/>
  <c r="G52" i="4"/>
  <c r="H52" i="4" s="1"/>
  <c r="G51" i="4"/>
  <c r="H51" i="4" s="1"/>
  <c r="G50" i="4"/>
  <c r="H50" i="4" s="1"/>
  <c r="G49" i="4"/>
  <c r="H49" i="4" s="1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G2" i="4"/>
  <c r="H2" i="4" s="1"/>
  <c r="I1152" i="3"/>
  <c r="H1152" i="3"/>
  <c r="E1152" i="3"/>
  <c r="F1152" i="3" s="1"/>
  <c r="I1151" i="3"/>
  <c r="H1151" i="3"/>
  <c r="E1151" i="3"/>
  <c r="F1151" i="3" s="1"/>
  <c r="I1150" i="3"/>
  <c r="H1150" i="3"/>
  <c r="E1150" i="3"/>
  <c r="F1150" i="3" s="1"/>
  <c r="I1149" i="3"/>
  <c r="H1149" i="3"/>
  <c r="E1149" i="3"/>
  <c r="F1149" i="3" s="1"/>
  <c r="I1148" i="3"/>
  <c r="H1148" i="3"/>
  <c r="E1148" i="3"/>
  <c r="F1148" i="3" s="1"/>
  <c r="I1147" i="3"/>
  <c r="H1147" i="3"/>
  <c r="E1147" i="3"/>
  <c r="F1147" i="3" s="1"/>
  <c r="I1146" i="3"/>
  <c r="H1146" i="3"/>
  <c r="E1146" i="3"/>
  <c r="F1146" i="3" s="1"/>
  <c r="I1145" i="3"/>
  <c r="H1145" i="3"/>
  <c r="E1145" i="3"/>
  <c r="F1145" i="3" s="1"/>
  <c r="I1144" i="3"/>
  <c r="H1144" i="3"/>
  <c r="E1144" i="3"/>
  <c r="F1144" i="3" s="1"/>
  <c r="I1143" i="3"/>
  <c r="H1143" i="3"/>
  <c r="E1143" i="3"/>
  <c r="F1143" i="3" s="1"/>
  <c r="I1142" i="3"/>
  <c r="H1142" i="3"/>
  <c r="E1142" i="3"/>
  <c r="F1142" i="3" s="1"/>
  <c r="I1141" i="3"/>
  <c r="H1141" i="3"/>
  <c r="E1141" i="3"/>
  <c r="F1141" i="3" s="1"/>
  <c r="I1140" i="3"/>
  <c r="H1140" i="3"/>
  <c r="E1140" i="3"/>
  <c r="F1140" i="3" s="1"/>
  <c r="I1139" i="3"/>
  <c r="H1139" i="3"/>
  <c r="E1139" i="3"/>
  <c r="F1139" i="3" s="1"/>
  <c r="I1138" i="3"/>
  <c r="H1138" i="3"/>
  <c r="E1138" i="3"/>
  <c r="F1138" i="3" s="1"/>
  <c r="I1137" i="3"/>
  <c r="H1137" i="3"/>
  <c r="E1137" i="3"/>
  <c r="F1137" i="3" s="1"/>
  <c r="I1136" i="3"/>
  <c r="H1136" i="3"/>
  <c r="E1136" i="3"/>
  <c r="F1136" i="3" s="1"/>
  <c r="I1135" i="3"/>
  <c r="H1135" i="3"/>
  <c r="E1135" i="3"/>
  <c r="F1135" i="3" s="1"/>
  <c r="I1134" i="3"/>
  <c r="H1134" i="3"/>
  <c r="E1134" i="3"/>
  <c r="F1134" i="3" s="1"/>
  <c r="I1133" i="3"/>
  <c r="H1133" i="3"/>
  <c r="E1133" i="3"/>
  <c r="F1133" i="3" s="1"/>
  <c r="I1132" i="3"/>
  <c r="H1132" i="3"/>
  <c r="E1132" i="3"/>
  <c r="F1132" i="3" s="1"/>
  <c r="I1131" i="3"/>
  <c r="H1131" i="3"/>
  <c r="E1131" i="3"/>
  <c r="F1131" i="3" s="1"/>
  <c r="I1130" i="3"/>
  <c r="H1130" i="3"/>
  <c r="E1130" i="3"/>
  <c r="F1130" i="3" s="1"/>
  <c r="I1129" i="3"/>
  <c r="H1129" i="3"/>
  <c r="E1129" i="3"/>
  <c r="F1129" i="3" s="1"/>
  <c r="I1128" i="3"/>
  <c r="H1128" i="3"/>
  <c r="E1128" i="3"/>
  <c r="F1128" i="3" s="1"/>
  <c r="I1127" i="3"/>
  <c r="H1127" i="3"/>
  <c r="E1127" i="3"/>
  <c r="F1127" i="3" s="1"/>
  <c r="I1126" i="3"/>
  <c r="H1126" i="3"/>
  <c r="E1126" i="3"/>
  <c r="F1126" i="3" s="1"/>
  <c r="I1125" i="3"/>
  <c r="H1125" i="3"/>
  <c r="E1125" i="3"/>
  <c r="F1125" i="3" s="1"/>
  <c r="I1124" i="3"/>
  <c r="H1124" i="3"/>
  <c r="E1124" i="3"/>
  <c r="F1124" i="3" s="1"/>
  <c r="I1123" i="3"/>
  <c r="H1123" i="3"/>
  <c r="E1123" i="3"/>
  <c r="F1123" i="3" s="1"/>
  <c r="I1122" i="3"/>
  <c r="H1122" i="3"/>
  <c r="E1122" i="3"/>
  <c r="F1122" i="3" s="1"/>
  <c r="I1121" i="3"/>
  <c r="H1121" i="3"/>
  <c r="E1121" i="3"/>
  <c r="F1121" i="3" s="1"/>
  <c r="I1120" i="3"/>
  <c r="H1120" i="3"/>
  <c r="E1120" i="3"/>
  <c r="F1120" i="3" s="1"/>
  <c r="I1119" i="3"/>
  <c r="H1119" i="3"/>
  <c r="E1119" i="3"/>
  <c r="F1119" i="3" s="1"/>
  <c r="I1118" i="3"/>
  <c r="H1118" i="3"/>
  <c r="E1118" i="3"/>
  <c r="F1118" i="3" s="1"/>
  <c r="I1117" i="3"/>
  <c r="H1117" i="3"/>
  <c r="E1117" i="3"/>
  <c r="F1117" i="3" s="1"/>
  <c r="I1116" i="3"/>
  <c r="H1116" i="3"/>
  <c r="E1116" i="3"/>
  <c r="F1116" i="3" s="1"/>
  <c r="I1115" i="3"/>
  <c r="H1115" i="3"/>
  <c r="E1115" i="3"/>
  <c r="F1115" i="3" s="1"/>
  <c r="I1114" i="3"/>
  <c r="H1114" i="3"/>
  <c r="E1114" i="3"/>
  <c r="F1114" i="3" s="1"/>
  <c r="I1113" i="3"/>
  <c r="H1113" i="3"/>
  <c r="E1113" i="3"/>
  <c r="F1113" i="3" s="1"/>
  <c r="I1112" i="3"/>
  <c r="H1112" i="3"/>
  <c r="E1112" i="3"/>
  <c r="F1112" i="3" s="1"/>
  <c r="I1111" i="3"/>
  <c r="H1111" i="3"/>
  <c r="E1111" i="3"/>
  <c r="F1111" i="3" s="1"/>
  <c r="I1110" i="3"/>
  <c r="H1110" i="3"/>
  <c r="E1110" i="3"/>
  <c r="F1110" i="3" s="1"/>
  <c r="I1109" i="3"/>
  <c r="H1109" i="3"/>
  <c r="E1109" i="3"/>
  <c r="F1109" i="3" s="1"/>
  <c r="I1108" i="3"/>
  <c r="H1108" i="3"/>
  <c r="E1108" i="3"/>
  <c r="F1108" i="3" s="1"/>
  <c r="I1107" i="3"/>
  <c r="H1107" i="3"/>
  <c r="E1107" i="3"/>
  <c r="F1107" i="3" s="1"/>
  <c r="I1106" i="3"/>
  <c r="H1106" i="3"/>
  <c r="E1106" i="3"/>
  <c r="F1106" i="3" s="1"/>
  <c r="I1105" i="3"/>
  <c r="H1105" i="3"/>
  <c r="E1105" i="3"/>
  <c r="F1105" i="3" s="1"/>
  <c r="I1104" i="3"/>
  <c r="H1104" i="3"/>
  <c r="E1104" i="3"/>
  <c r="F1104" i="3" s="1"/>
  <c r="I1103" i="3"/>
  <c r="H1103" i="3"/>
  <c r="E1103" i="3"/>
  <c r="F1103" i="3" s="1"/>
  <c r="I1102" i="3"/>
  <c r="H1102" i="3"/>
  <c r="E1102" i="3"/>
  <c r="F1102" i="3" s="1"/>
  <c r="I1101" i="3"/>
  <c r="H1101" i="3"/>
  <c r="E1101" i="3"/>
  <c r="F1101" i="3" s="1"/>
  <c r="I1100" i="3"/>
  <c r="H1100" i="3"/>
  <c r="E1100" i="3"/>
  <c r="F1100" i="3" s="1"/>
  <c r="I1099" i="3"/>
  <c r="H1099" i="3"/>
  <c r="E1099" i="3"/>
  <c r="F1099" i="3" s="1"/>
  <c r="I1098" i="3"/>
  <c r="H1098" i="3"/>
  <c r="E1098" i="3"/>
  <c r="F1098" i="3" s="1"/>
  <c r="I1097" i="3"/>
  <c r="H1097" i="3"/>
  <c r="E1097" i="3"/>
  <c r="F1097" i="3" s="1"/>
  <c r="I1096" i="3"/>
  <c r="H1096" i="3"/>
  <c r="E1096" i="3"/>
  <c r="F1096" i="3" s="1"/>
  <c r="I1095" i="3"/>
  <c r="H1095" i="3"/>
  <c r="E1095" i="3"/>
  <c r="F1095" i="3" s="1"/>
  <c r="I1094" i="3"/>
  <c r="H1094" i="3"/>
  <c r="E1094" i="3"/>
  <c r="F1094" i="3" s="1"/>
  <c r="I1093" i="3"/>
  <c r="H1093" i="3"/>
  <c r="E1093" i="3"/>
  <c r="F1093" i="3" s="1"/>
  <c r="I1092" i="3"/>
  <c r="H1092" i="3"/>
  <c r="E1092" i="3"/>
  <c r="F1092" i="3" s="1"/>
  <c r="I1091" i="3"/>
  <c r="H1091" i="3"/>
  <c r="E1091" i="3"/>
  <c r="F1091" i="3" s="1"/>
  <c r="I1090" i="3"/>
  <c r="H1090" i="3"/>
  <c r="E1090" i="3"/>
  <c r="F1090" i="3" s="1"/>
  <c r="I1089" i="3"/>
  <c r="H1089" i="3"/>
  <c r="E1089" i="3"/>
  <c r="F1089" i="3" s="1"/>
  <c r="I1088" i="3"/>
  <c r="H1088" i="3"/>
  <c r="E1088" i="3"/>
  <c r="F1088" i="3" s="1"/>
  <c r="I1087" i="3"/>
  <c r="H1087" i="3"/>
  <c r="E1087" i="3"/>
  <c r="F1087" i="3" s="1"/>
  <c r="I1086" i="3"/>
  <c r="H1086" i="3"/>
  <c r="E1086" i="3"/>
  <c r="F1086" i="3" s="1"/>
  <c r="I1085" i="3"/>
  <c r="H1085" i="3"/>
  <c r="E1085" i="3"/>
  <c r="F1085" i="3" s="1"/>
  <c r="I1084" i="3"/>
  <c r="H1084" i="3"/>
  <c r="E1084" i="3"/>
  <c r="F1084" i="3" s="1"/>
  <c r="I1083" i="3"/>
  <c r="H1083" i="3"/>
  <c r="E1083" i="3"/>
  <c r="F1083" i="3" s="1"/>
  <c r="I1082" i="3"/>
  <c r="H1082" i="3"/>
  <c r="E1082" i="3"/>
  <c r="F1082" i="3" s="1"/>
  <c r="I1081" i="3"/>
  <c r="H1081" i="3"/>
  <c r="E1081" i="3"/>
  <c r="F1081" i="3" s="1"/>
  <c r="I1080" i="3"/>
  <c r="H1080" i="3"/>
  <c r="E1080" i="3"/>
  <c r="F1080" i="3" s="1"/>
  <c r="I1079" i="3"/>
  <c r="H1079" i="3"/>
  <c r="E1079" i="3"/>
  <c r="F1079" i="3" s="1"/>
  <c r="I1078" i="3"/>
  <c r="H1078" i="3"/>
  <c r="E1078" i="3"/>
  <c r="F1078" i="3" s="1"/>
  <c r="I1077" i="3"/>
  <c r="H1077" i="3"/>
  <c r="E1077" i="3"/>
  <c r="F1077" i="3" s="1"/>
  <c r="I1076" i="3"/>
  <c r="H1076" i="3"/>
  <c r="E1076" i="3"/>
  <c r="F1076" i="3" s="1"/>
  <c r="I1075" i="3"/>
  <c r="H1075" i="3"/>
  <c r="E1075" i="3"/>
  <c r="F1075" i="3" s="1"/>
  <c r="I1074" i="3"/>
  <c r="H1074" i="3"/>
  <c r="E1074" i="3"/>
  <c r="F1074" i="3" s="1"/>
  <c r="I1073" i="3"/>
  <c r="H1073" i="3"/>
  <c r="E1073" i="3"/>
  <c r="F1073" i="3" s="1"/>
  <c r="I1072" i="3"/>
  <c r="H1072" i="3"/>
  <c r="E1072" i="3"/>
  <c r="F1072" i="3" s="1"/>
  <c r="I1071" i="3"/>
  <c r="H1071" i="3"/>
  <c r="E1071" i="3"/>
  <c r="F1071" i="3" s="1"/>
  <c r="I1070" i="3"/>
  <c r="H1070" i="3"/>
  <c r="E1070" i="3"/>
  <c r="F1070" i="3" s="1"/>
  <c r="I1069" i="3"/>
  <c r="H1069" i="3"/>
  <c r="E1069" i="3"/>
  <c r="F1069" i="3" s="1"/>
  <c r="I1068" i="3"/>
  <c r="H1068" i="3"/>
  <c r="E1068" i="3"/>
  <c r="F1068" i="3" s="1"/>
  <c r="I1067" i="3"/>
  <c r="H1067" i="3"/>
  <c r="E1067" i="3"/>
  <c r="F1067" i="3" s="1"/>
  <c r="I1066" i="3"/>
  <c r="H1066" i="3"/>
  <c r="E1066" i="3"/>
  <c r="F1066" i="3" s="1"/>
  <c r="I1065" i="3"/>
  <c r="H1065" i="3"/>
  <c r="E1065" i="3"/>
  <c r="F1065" i="3" s="1"/>
  <c r="I1064" i="3"/>
  <c r="H1064" i="3"/>
  <c r="E1064" i="3"/>
  <c r="F1064" i="3" s="1"/>
  <c r="I1063" i="3"/>
  <c r="H1063" i="3"/>
  <c r="E1063" i="3"/>
  <c r="F1063" i="3" s="1"/>
  <c r="I1062" i="3"/>
  <c r="H1062" i="3"/>
  <c r="E1062" i="3"/>
  <c r="F1062" i="3" s="1"/>
  <c r="I1061" i="3"/>
  <c r="H1061" i="3"/>
  <c r="E1061" i="3"/>
  <c r="F1061" i="3" s="1"/>
  <c r="I1060" i="3"/>
  <c r="H1060" i="3"/>
  <c r="E1060" i="3"/>
  <c r="F1060" i="3" s="1"/>
  <c r="I1059" i="3"/>
  <c r="H1059" i="3"/>
  <c r="E1059" i="3"/>
  <c r="F1059" i="3" s="1"/>
  <c r="I1058" i="3"/>
  <c r="H1058" i="3"/>
  <c r="E1058" i="3"/>
  <c r="F1058" i="3" s="1"/>
  <c r="I1057" i="3"/>
  <c r="H1057" i="3"/>
  <c r="E1057" i="3"/>
  <c r="F1057" i="3" s="1"/>
  <c r="I1056" i="3"/>
  <c r="H1056" i="3"/>
  <c r="E1056" i="3"/>
  <c r="F1056" i="3" s="1"/>
  <c r="I1055" i="3"/>
  <c r="H1055" i="3"/>
  <c r="E1055" i="3"/>
  <c r="F1055" i="3" s="1"/>
  <c r="I1054" i="3"/>
  <c r="H1054" i="3"/>
  <c r="E1054" i="3"/>
  <c r="F1054" i="3" s="1"/>
  <c r="I1053" i="3"/>
  <c r="H1053" i="3"/>
  <c r="E1053" i="3"/>
  <c r="F1053" i="3" s="1"/>
  <c r="I1052" i="3"/>
  <c r="H1052" i="3"/>
  <c r="E1052" i="3"/>
  <c r="F1052" i="3" s="1"/>
  <c r="I1051" i="3"/>
  <c r="H1051" i="3"/>
  <c r="E1051" i="3"/>
  <c r="F1051" i="3" s="1"/>
  <c r="I1050" i="3"/>
  <c r="H1050" i="3"/>
  <c r="E1050" i="3"/>
  <c r="F1050" i="3" s="1"/>
  <c r="I1049" i="3"/>
  <c r="H1049" i="3"/>
  <c r="E1049" i="3"/>
  <c r="F1049" i="3" s="1"/>
  <c r="I1048" i="3"/>
  <c r="H1048" i="3"/>
  <c r="E1048" i="3"/>
  <c r="F1048" i="3" s="1"/>
  <c r="I1047" i="3"/>
  <c r="H1047" i="3"/>
  <c r="E1047" i="3"/>
  <c r="F1047" i="3" s="1"/>
  <c r="I1046" i="3"/>
  <c r="H1046" i="3"/>
  <c r="E1046" i="3"/>
  <c r="F1046" i="3" s="1"/>
  <c r="I1045" i="3"/>
  <c r="H1045" i="3"/>
  <c r="E1045" i="3"/>
  <c r="F1045" i="3" s="1"/>
  <c r="I1044" i="3"/>
  <c r="H1044" i="3"/>
  <c r="E1044" i="3"/>
  <c r="F1044" i="3" s="1"/>
  <c r="I1043" i="3"/>
  <c r="H1043" i="3"/>
  <c r="E1043" i="3"/>
  <c r="F1043" i="3" s="1"/>
  <c r="I1042" i="3"/>
  <c r="H1042" i="3"/>
  <c r="E1042" i="3"/>
  <c r="F1042" i="3" s="1"/>
  <c r="I1041" i="3"/>
  <c r="H1041" i="3"/>
  <c r="E1041" i="3"/>
  <c r="F1041" i="3" s="1"/>
  <c r="I1040" i="3"/>
  <c r="H1040" i="3"/>
  <c r="E1040" i="3"/>
  <c r="F1040" i="3" s="1"/>
  <c r="I1039" i="3"/>
  <c r="H1039" i="3"/>
  <c r="E1039" i="3"/>
  <c r="F1039" i="3" s="1"/>
  <c r="I1038" i="3"/>
  <c r="H1038" i="3"/>
  <c r="E1038" i="3"/>
  <c r="F1038" i="3" s="1"/>
  <c r="I1037" i="3"/>
  <c r="H1037" i="3"/>
  <c r="E1037" i="3"/>
  <c r="F1037" i="3" s="1"/>
  <c r="I1036" i="3"/>
  <c r="H1036" i="3"/>
  <c r="E1036" i="3"/>
  <c r="F1036" i="3" s="1"/>
  <c r="I1035" i="3"/>
  <c r="H1035" i="3"/>
  <c r="E1035" i="3"/>
  <c r="F1035" i="3" s="1"/>
  <c r="I1034" i="3"/>
  <c r="H1034" i="3"/>
  <c r="E1034" i="3"/>
  <c r="F1034" i="3" s="1"/>
  <c r="I1033" i="3"/>
  <c r="H1033" i="3"/>
  <c r="E1033" i="3"/>
  <c r="F1033" i="3" s="1"/>
  <c r="I1032" i="3"/>
  <c r="H1032" i="3"/>
  <c r="E1032" i="3"/>
  <c r="F1032" i="3" s="1"/>
  <c r="I1031" i="3"/>
  <c r="H1031" i="3"/>
  <c r="E1031" i="3"/>
  <c r="F1031" i="3" s="1"/>
  <c r="I1030" i="3"/>
  <c r="H1030" i="3"/>
  <c r="E1030" i="3"/>
  <c r="F1030" i="3" s="1"/>
  <c r="I1029" i="3"/>
  <c r="H1029" i="3"/>
  <c r="E1029" i="3"/>
  <c r="F1029" i="3" s="1"/>
  <c r="I1028" i="3"/>
  <c r="H1028" i="3"/>
  <c r="E1028" i="3"/>
  <c r="F1028" i="3" s="1"/>
  <c r="I1027" i="3"/>
  <c r="H1027" i="3"/>
  <c r="E1027" i="3"/>
  <c r="F1027" i="3" s="1"/>
  <c r="I1026" i="3"/>
  <c r="H1026" i="3"/>
  <c r="E1026" i="3"/>
  <c r="F1026" i="3" s="1"/>
  <c r="I1025" i="3"/>
  <c r="H1025" i="3"/>
  <c r="E1025" i="3"/>
  <c r="F1025" i="3" s="1"/>
  <c r="I1024" i="3"/>
  <c r="H1024" i="3"/>
  <c r="E1024" i="3"/>
  <c r="F1024" i="3" s="1"/>
  <c r="I1023" i="3"/>
  <c r="H1023" i="3"/>
  <c r="E1023" i="3"/>
  <c r="F1023" i="3" s="1"/>
  <c r="I1022" i="3"/>
  <c r="H1022" i="3"/>
  <c r="E1022" i="3"/>
  <c r="F1022" i="3" s="1"/>
  <c r="I1021" i="3"/>
  <c r="H1021" i="3"/>
  <c r="E1021" i="3"/>
  <c r="F1021" i="3" s="1"/>
  <c r="I1020" i="3"/>
  <c r="H1020" i="3"/>
  <c r="E1020" i="3"/>
  <c r="F1020" i="3" s="1"/>
  <c r="I1019" i="3"/>
  <c r="H1019" i="3"/>
  <c r="E1019" i="3"/>
  <c r="F1019" i="3" s="1"/>
  <c r="I1018" i="3"/>
  <c r="H1018" i="3"/>
  <c r="E1018" i="3"/>
  <c r="F1018" i="3" s="1"/>
  <c r="I1017" i="3"/>
  <c r="H1017" i="3"/>
  <c r="E1017" i="3"/>
  <c r="F1017" i="3" s="1"/>
  <c r="I1016" i="3"/>
  <c r="H1016" i="3"/>
  <c r="E1016" i="3"/>
  <c r="F1016" i="3" s="1"/>
  <c r="I1015" i="3"/>
  <c r="H1015" i="3"/>
  <c r="E1015" i="3"/>
  <c r="F1015" i="3" s="1"/>
  <c r="I1014" i="3"/>
  <c r="H1014" i="3"/>
  <c r="E1014" i="3"/>
  <c r="F1014" i="3" s="1"/>
  <c r="I1013" i="3"/>
  <c r="H1013" i="3"/>
  <c r="E1013" i="3"/>
  <c r="F1013" i="3" s="1"/>
  <c r="I1012" i="3"/>
  <c r="H1012" i="3"/>
  <c r="E1012" i="3"/>
  <c r="F1012" i="3" s="1"/>
  <c r="I1011" i="3"/>
  <c r="H1011" i="3"/>
  <c r="E1011" i="3"/>
  <c r="F1011" i="3" s="1"/>
  <c r="I1010" i="3"/>
  <c r="H1010" i="3"/>
  <c r="E1010" i="3"/>
  <c r="F1010" i="3" s="1"/>
  <c r="I1009" i="3"/>
  <c r="H1009" i="3"/>
  <c r="E1009" i="3"/>
  <c r="F1009" i="3" s="1"/>
  <c r="I1008" i="3"/>
  <c r="H1008" i="3"/>
  <c r="E1008" i="3"/>
  <c r="F1008" i="3" s="1"/>
  <c r="L1007" i="3"/>
  <c r="I1007" i="3"/>
  <c r="H1007" i="3"/>
  <c r="F1007" i="3"/>
  <c r="E1007" i="3"/>
  <c r="I1006" i="3"/>
  <c r="H1006" i="3"/>
  <c r="F1006" i="3"/>
  <c r="E1006" i="3"/>
  <c r="I1005" i="3"/>
  <c r="H1005" i="3"/>
  <c r="F1005" i="3"/>
  <c r="E1005" i="3"/>
  <c r="I1004" i="3"/>
  <c r="H1004" i="3"/>
  <c r="F1004" i="3"/>
  <c r="E1004" i="3"/>
  <c r="I1003" i="3"/>
  <c r="H1003" i="3"/>
  <c r="F1003" i="3"/>
  <c r="E1003" i="3"/>
  <c r="I1002" i="3"/>
  <c r="H1002" i="3"/>
  <c r="F1002" i="3"/>
  <c r="E1002" i="3"/>
  <c r="I1001" i="3"/>
  <c r="H1001" i="3"/>
  <c r="F1001" i="3"/>
  <c r="E1001" i="3"/>
  <c r="I1000" i="3"/>
  <c r="H1000" i="3"/>
  <c r="G1000" i="3"/>
  <c r="F1000" i="3"/>
  <c r="I999" i="3"/>
  <c r="H999" i="3"/>
  <c r="G999" i="3"/>
  <c r="F999" i="3"/>
  <c r="I998" i="3"/>
  <c r="H998" i="3"/>
  <c r="G998" i="3"/>
  <c r="F998" i="3"/>
  <c r="I997" i="3"/>
  <c r="H997" i="3"/>
  <c r="G997" i="3"/>
  <c r="F997" i="3"/>
  <c r="I996" i="3"/>
  <c r="H996" i="3"/>
  <c r="G996" i="3"/>
  <c r="F996" i="3"/>
  <c r="I995" i="3"/>
  <c r="H995" i="3"/>
  <c r="G995" i="3"/>
  <c r="F995" i="3"/>
  <c r="I994" i="3"/>
  <c r="H994" i="3"/>
  <c r="G994" i="3"/>
  <c r="F994" i="3"/>
  <c r="I993" i="3"/>
  <c r="H993" i="3"/>
  <c r="G993" i="3"/>
  <c r="F993" i="3"/>
  <c r="I992" i="3"/>
  <c r="H992" i="3"/>
  <c r="G992" i="3"/>
  <c r="F992" i="3"/>
  <c r="I991" i="3"/>
  <c r="H991" i="3"/>
  <c r="G991" i="3"/>
  <c r="F991" i="3"/>
  <c r="I990" i="3"/>
  <c r="H990" i="3"/>
  <c r="G990" i="3"/>
  <c r="F990" i="3"/>
  <c r="I989" i="3"/>
  <c r="H989" i="3"/>
  <c r="G989" i="3"/>
  <c r="F989" i="3"/>
  <c r="I988" i="3"/>
  <c r="H988" i="3"/>
  <c r="G988" i="3"/>
  <c r="F988" i="3"/>
  <c r="I987" i="3"/>
  <c r="H987" i="3"/>
  <c r="G987" i="3"/>
  <c r="F987" i="3"/>
  <c r="I986" i="3"/>
  <c r="H986" i="3"/>
  <c r="G986" i="3"/>
  <c r="F986" i="3"/>
  <c r="I985" i="3"/>
  <c r="H985" i="3"/>
  <c r="G985" i="3"/>
  <c r="F985" i="3"/>
  <c r="I984" i="3"/>
  <c r="H984" i="3"/>
  <c r="G984" i="3"/>
  <c r="F984" i="3"/>
  <c r="I983" i="3"/>
  <c r="H983" i="3"/>
  <c r="G983" i="3"/>
  <c r="F983" i="3"/>
  <c r="I982" i="3"/>
  <c r="H982" i="3"/>
  <c r="G982" i="3"/>
  <c r="F982" i="3"/>
  <c r="I981" i="3"/>
  <c r="H981" i="3"/>
  <c r="G981" i="3"/>
  <c r="F981" i="3"/>
  <c r="I980" i="3"/>
  <c r="H980" i="3"/>
  <c r="G980" i="3"/>
  <c r="F980" i="3"/>
  <c r="I979" i="3"/>
  <c r="H979" i="3"/>
  <c r="G979" i="3"/>
  <c r="F979" i="3"/>
  <c r="I978" i="3"/>
  <c r="H978" i="3"/>
  <c r="G978" i="3"/>
  <c r="F978" i="3"/>
  <c r="I977" i="3"/>
  <c r="H977" i="3"/>
  <c r="G977" i="3"/>
  <c r="F977" i="3"/>
  <c r="I976" i="3"/>
  <c r="H976" i="3"/>
  <c r="G976" i="3"/>
  <c r="F976" i="3"/>
  <c r="I975" i="3"/>
  <c r="H975" i="3"/>
  <c r="G975" i="3"/>
  <c r="F975" i="3"/>
  <c r="I974" i="3"/>
  <c r="H974" i="3"/>
  <c r="G974" i="3"/>
  <c r="F974" i="3"/>
  <c r="I973" i="3"/>
  <c r="H973" i="3"/>
  <c r="G973" i="3"/>
  <c r="F973" i="3"/>
  <c r="I972" i="3"/>
  <c r="H972" i="3"/>
  <c r="G972" i="3"/>
  <c r="F972" i="3"/>
  <c r="I971" i="3"/>
  <c r="H971" i="3"/>
  <c r="G971" i="3"/>
  <c r="F971" i="3"/>
  <c r="I970" i="3"/>
  <c r="H970" i="3"/>
  <c r="G970" i="3"/>
  <c r="F970" i="3"/>
  <c r="I969" i="3"/>
  <c r="H969" i="3"/>
  <c r="G969" i="3"/>
  <c r="F969" i="3"/>
  <c r="I968" i="3"/>
  <c r="H968" i="3"/>
  <c r="G968" i="3"/>
  <c r="F968" i="3"/>
  <c r="I967" i="3"/>
  <c r="H967" i="3"/>
  <c r="G967" i="3"/>
  <c r="F967" i="3"/>
  <c r="I966" i="3"/>
  <c r="H966" i="3"/>
  <c r="G966" i="3"/>
  <c r="F966" i="3"/>
  <c r="I965" i="3"/>
  <c r="H965" i="3"/>
  <c r="G965" i="3"/>
  <c r="F965" i="3"/>
  <c r="I964" i="3"/>
  <c r="H964" i="3"/>
  <c r="G964" i="3"/>
  <c r="F964" i="3"/>
  <c r="I963" i="3"/>
  <c r="H963" i="3"/>
  <c r="G963" i="3"/>
  <c r="F963" i="3"/>
  <c r="I962" i="3"/>
  <c r="H962" i="3"/>
  <c r="G962" i="3"/>
  <c r="F962" i="3"/>
  <c r="I961" i="3"/>
  <c r="H961" i="3"/>
  <c r="G961" i="3"/>
  <c r="F961" i="3"/>
  <c r="I960" i="3"/>
  <c r="H960" i="3"/>
  <c r="G960" i="3"/>
  <c r="F960" i="3"/>
  <c r="I959" i="3"/>
  <c r="H959" i="3"/>
  <c r="G959" i="3"/>
  <c r="F959" i="3"/>
  <c r="I958" i="3"/>
  <c r="H958" i="3"/>
  <c r="G958" i="3"/>
  <c r="F958" i="3"/>
  <c r="I957" i="3"/>
  <c r="H957" i="3"/>
  <c r="G957" i="3"/>
  <c r="F957" i="3"/>
  <c r="I956" i="3"/>
  <c r="H956" i="3"/>
  <c r="G956" i="3"/>
  <c r="F956" i="3"/>
  <c r="I955" i="3"/>
  <c r="H955" i="3"/>
  <c r="G955" i="3"/>
  <c r="F955" i="3"/>
  <c r="I954" i="3"/>
  <c r="H954" i="3"/>
  <c r="G954" i="3"/>
  <c r="F954" i="3"/>
  <c r="I953" i="3"/>
  <c r="H953" i="3"/>
  <c r="G953" i="3"/>
  <c r="F953" i="3"/>
  <c r="I952" i="3"/>
  <c r="H952" i="3"/>
  <c r="G952" i="3"/>
  <c r="F952" i="3"/>
  <c r="I951" i="3"/>
  <c r="H951" i="3"/>
  <c r="G951" i="3"/>
  <c r="F951" i="3"/>
  <c r="I950" i="3"/>
  <c r="H950" i="3"/>
  <c r="G950" i="3"/>
  <c r="F950" i="3"/>
  <c r="I949" i="3"/>
  <c r="H949" i="3"/>
  <c r="G949" i="3"/>
  <c r="F949" i="3"/>
  <c r="I948" i="3"/>
  <c r="H948" i="3"/>
  <c r="G948" i="3"/>
  <c r="F948" i="3"/>
  <c r="I947" i="3"/>
  <c r="H947" i="3"/>
  <c r="G947" i="3"/>
  <c r="F947" i="3"/>
  <c r="I946" i="3"/>
  <c r="H946" i="3"/>
  <c r="G946" i="3"/>
  <c r="F946" i="3"/>
  <c r="I945" i="3"/>
  <c r="H945" i="3"/>
  <c r="G945" i="3"/>
  <c r="F945" i="3"/>
  <c r="I944" i="3"/>
  <c r="H944" i="3"/>
  <c r="G944" i="3"/>
  <c r="F944" i="3"/>
  <c r="I943" i="3"/>
  <c r="H943" i="3"/>
  <c r="G943" i="3"/>
  <c r="F943" i="3"/>
  <c r="I942" i="3"/>
  <c r="H942" i="3"/>
  <c r="G942" i="3"/>
  <c r="F942" i="3"/>
  <c r="I941" i="3"/>
  <c r="H941" i="3"/>
  <c r="G941" i="3"/>
  <c r="F941" i="3"/>
  <c r="I940" i="3"/>
  <c r="H940" i="3"/>
  <c r="G940" i="3"/>
  <c r="F940" i="3"/>
  <c r="I939" i="3"/>
  <c r="H939" i="3"/>
  <c r="G939" i="3"/>
  <c r="F939" i="3"/>
  <c r="I938" i="3"/>
  <c r="H938" i="3"/>
  <c r="G938" i="3"/>
  <c r="F938" i="3"/>
  <c r="I937" i="3"/>
  <c r="H937" i="3"/>
  <c r="G937" i="3"/>
  <c r="F937" i="3"/>
  <c r="I936" i="3"/>
  <c r="H936" i="3"/>
  <c r="G936" i="3"/>
  <c r="F936" i="3"/>
  <c r="I935" i="3"/>
  <c r="H935" i="3"/>
  <c r="G935" i="3"/>
  <c r="F935" i="3"/>
  <c r="I934" i="3"/>
  <c r="H934" i="3"/>
  <c r="G934" i="3"/>
  <c r="F934" i="3"/>
  <c r="I933" i="3"/>
  <c r="H933" i="3"/>
  <c r="G933" i="3"/>
  <c r="F933" i="3"/>
  <c r="I932" i="3"/>
  <c r="H932" i="3"/>
  <c r="G932" i="3"/>
  <c r="F932" i="3"/>
  <c r="I931" i="3"/>
  <c r="H931" i="3"/>
  <c r="G931" i="3"/>
  <c r="F931" i="3"/>
  <c r="I930" i="3"/>
  <c r="H930" i="3"/>
  <c r="G930" i="3"/>
  <c r="F930" i="3"/>
  <c r="I929" i="3"/>
  <c r="H929" i="3"/>
  <c r="G929" i="3"/>
  <c r="F929" i="3"/>
  <c r="I928" i="3"/>
  <c r="H928" i="3"/>
  <c r="G928" i="3"/>
  <c r="F928" i="3"/>
  <c r="I927" i="3"/>
  <c r="H927" i="3"/>
  <c r="G927" i="3"/>
  <c r="F927" i="3"/>
  <c r="I926" i="3"/>
  <c r="H926" i="3"/>
  <c r="G926" i="3"/>
  <c r="F926" i="3"/>
  <c r="I925" i="3"/>
  <c r="H925" i="3"/>
  <c r="G925" i="3"/>
  <c r="F925" i="3"/>
  <c r="I924" i="3"/>
  <c r="H924" i="3"/>
  <c r="G924" i="3"/>
  <c r="F924" i="3"/>
  <c r="I923" i="3"/>
  <c r="H923" i="3"/>
  <c r="G923" i="3"/>
  <c r="F923" i="3"/>
  <c r="I922" i="3"/>
  <c r="H922" i="3"/>
  <c r="G922" i="3"/>
  <c r="F922" i="3"/>
  <c r="I921" i="3"/>
  <c r="H921" i="3"/>
  <c r="G921" i="3"/>
  <c r="F921" i="3"/>
  <c r="I920" i="3"/>
  <c r="H920" i="3"/>
  <c r="G920" i="3"/>
  <c r="F920" i="3"/>
  <c r="I919" i="3"/>
  <c r="H919" i="3"/>
  <c r="G919" i="3"/>
  <c r="F919" i="3"/>
  <c r="I918" i="3"/>
  <c r="H918" i="3"/>
  <c r="G918" i="3"/>
  <c r="F918" i="3"/>
  <c r="I917" i="3"/>
  <c r="H917" i="3"/>
  <c r="G917" i="3"/>
  <c r="F917" i="3"/>
  <c r="I916" i="3"/>
  <c r="H916" i="3"/>
  <c r="G916" i="3"/>
  <c r="F916" i="3"/>
  <c r="I915" i="3"/>
  <c r="H915" i="3"/>
  <c r="G915" i="3"/>
  <c r="F915" i="3"/>
  <c r="I914" i="3"/>
  <c r="H914" i="3"/>
  <c r="G914" i="3"/>
  <c r="F914" i="3"/>
  <c r="I913" i="3"/>
  <c r="H913" i="3"/>
  <c r="G913" i="3"/>
  <c r="F913" i="3"/>
  <c r="I912" i="3"/>
  <c r="H912" i="3"/>
  <c r="G912" i="3"/>
  <c r="F912" i="3"/>
  <c r="I911" i="3"/>
  <c r="H911" i="3"/>
  <c r="G911" i="3"/>
  <c r="F911" i="3"/>
  <c r="I910" i="3"/>
  <c r="H910" i="3"/>
  <c r="G910" i="3"/>
  <c r="F910" i="3"/>
  <c r="I909" i="3"/>
  <c r="H909" i="3"/>
  <c r="G909" i="3"/>
  <c r="F909" i="3"/>
  <c r="I908" i="3"/>
  <c r="H908" i="3"/>
  <c r="G908" i="3"/>
  <c r="F908" i="3"/>
  <c r="I907" i="3"/>
  <c r="H907" i="3"/>
  <c r="G907" i="3"/>
  <c r="F907" i="3"/>
  <c r="I906" i="3"/>
  <c r="H906" i="3"/>
  <c r="G906" i="3"/>
  <c r="F906" i="3"/>
  <c r="I905" i="3"/>
  <c r="H905" i="3"/>
  <c r="G905" i="3"/>
  <c r="F905" i="3"/>
  <c r="I904" i="3"/>
  <c r="H904" i="3"/>
  <c r="G904" i="3"/>
  <c r="F904" i="3"/>
  <c r="I903" i="3"/>
  <c r="H903" i="3"/>
  <c r="G903" i="3"/>
  <c r="F903" i="3"/>
  <c r="I902" i="3"/>
  <c r="H902" i="3"/>
  <c r="G902" i="3"/>
  <c r="F902" i="3"/>
  <c r="I901" i="3"/>
  <c r="H901" i="3"/>
  <c r="G901" i="3"/>
  <c r="F901" i="3"/>
  <c r="I900" i="3"/>
  <c r="H900" i="3"/>
  <c r="G900" i="3"/>
  <c r="F900" i="3"/>
  <c r="I899" i="3"/>
  <c r="H899" i="3"/>
  <c r="G899" i="3"/>
  <c r="F899" i="3"/>
  <c r="I898" i="3"/>
  <c r="H898" i="3"/>
  <c r="G898" i="3"/>
  <c r="F898" i="3"/>
  <c r="I897" i="3"/>
  <c r="H897" i="3"/>
  <c r="G897" i="3"/>
  <c r="F897" i="3"/>
  <c r="I896" i="3"/>
  <c r="H896" i="3"/>
  <c r="G896" i="3"/>
  <c r="F896" i="3"/>
  <c r="I895" i="3"/>
  <c r="H895" i="3"/>
  <c r="G895" i="3"/>
  <c r="F895" i="3"/>
  <c r="I894" i="3"/>
  <c r="H894" i="3"/>
  <c r="G894" i="3"/>
  <c r="F894" i="3"/>
  <c r="I893" i="3"/>
  <c r="H893" i="3"/>
  <c r="G893" i="3"/>
  <c r="F893" i="3"/>
  <c r="I892" i="3"/>
  <c r="H892" i="3"/>
  <c r="G892" i="3"/>
  <c r="F892" i="3"/>
  <c r="I891" i="3"/>
  <c r="H891" i="3"/>
  <c r="G891" i="3"/>
  <c r="F891" i="3"/>
  <c r="I890" i="3"/>
  <c r="H890" i="3"/>
  <c r="G890" i="3"/>
  <c r="F890" i="3"/>
  <c r="I889" i="3"/>
  <c r="H889" i="3"/>
  <c r="G889" i="3"/>
  <c r="F889" i="3"/>
  <c r="I888" i="3"/>
  <c r="H888" i="3"/>
  <c r="G888" i="3"/>
  <c r="F888" i="3"/>
  <c r="I887" i="3"/>
  <c r="H887" i="3"/>
  <c r="G887" i="3"/>
  <c r="F887" i="3"/>
  <c r="I886" i="3"/>
  <c r="H886" i="3"/>
  <c r="G886" i="3"/>
  <c r="F886" i="3"/>
  <c r="I885" i="3"/>
  <c r="H885" i="3"/>
  <c r="G885" i="3"/>
  <c r="F885" i="3"/>
  <c r="I884" i="3"/>
  <c r="H884" i="3"/>
  <c r="G884" i="3"/>
  <c r="F884" i="3"/>
  <c r="I883" i="3"/>
  <c r="H883" i="3"/>
  <c r="G883" i="3"/>
  <c r="F883" i="3"/>
  <c r="I882" i="3"/>
  <c r="H882" i="3"/>
  <c r="G882" i="3"/>
  <c r="F882" i="3"/>
  <c r="I881" i="3"/>
  <c r="H881" i="3"/>
  <c r="G881" i="3"/>
  <c r="F881" i="3"/>
  <c r="I880" i="3"/>
  <c r="H880" i="3"/>
  <c r="G880" i="3"/>
  <c r="F880" i="3"/>
  <c r="I879" i="3"/>
  <c r="H879" i="3"/>
  <c r="G879" i="3"/>
  <c r="F879" i="3"/>
  <c r="I878" i="3"/>
  <c r="H878" i="3"/>
  <c r="G878" i="3"/>
  <c r="F878" i="3"/>
  <c r="I877" i="3"/>
  <c r="H877" i="3"/>
  <c r="G877" i="3"/>
  <c r="F877" i="3"/>
  <c r="I876" i="3"/>
  <c r="H876" i="3"/>
  <c r="G876" i="3"/>
  <c r="F876" i="3"/>
  <c r="I875" i="3"/>
  <c r="H875" i="3"/>
  <c r="G875" i="3"/>
  <c r="F875" i="3"/>
  <c r="I874" i="3"/>
  <c r="H874" i="3"/>
  <c r="G874" i="3"/>
  <c r="F874" i="3"/>
  <c r="I873" i="3"/>
  <c r="H873" i="3"/>
  <c r="G873" i="3"/>
  <c r="F873" i="3"/>
  <c r="I872" i="3"/>
  <c r="H872" i="3"/>
  <c r="G872" i="3"/>
  <c r="F872" i="3"/>
  <c r="I871" i="3"/>
  <c r="H871" i="3"/>
  <c r="G871" i="3"/>
  <c r="F871" i="3"/>
  <c r="I870" i="3"/>
  <c r="H870" i="3"/>
  <c r="G870" i="3"/>
  <c r="F870" i="3"/>
  <c r="I869" i="3"/>
  <c r="H869" i="3"/>
  <c r="G869" i="3"/>
  <c r="F869" i="3"/>
  <c r="I868" i="3"/>
  <c r="H868" i="3"/>
  <c r="G868" i="3"/>
  <c r="F868" i="3"/>
  <c r="I867" i="3"/>
  <c r="H867" i="3"/>
  <c r="G867" i="3"/>
  <c r="F867" i="3"/>
  <c r="I866" i="3"/>
  <c r="H866" i="3"/>
  <c r="G866" i="3"/>
  <c r="F866" i="3"/>
  <c r="I865" i="3"/>
  <c r="H865" i="3"/>
  <c r="G865" i="3"/>
  <c r="F865" i="3"/>
  <c r="I864" i="3"/>
  <c r="H864" i="3"/>
  <c r="G864" i="3"/>
  <c r="F864" i="3"/>
  <c r="I863" i="3"/>
  <c r="H863" i="3"/>
  <c r="G863" i="3"/>
  <c r="F863" i="3"/>
  <c r="I862" i="3"/>
  <c r="H862" i="3"/>
  <c r="G862" i="3"/>
  <c r="F862" i="3"/>
  <c r="I861" i="3"/>
  <c r="H861" i="3"/>
  <c r="G861" i="3"/>
  <c r="F861" i="3"/>
  <c r="I860" i="3"/>
  <c r="H860" i="3"/>
  <c r="G860" i="3"/>
  <c r="F860" i="3"/>
  <c r="I859" i="3"/>
  <c r="H859" i="3"/>
  <c r="G859" i="3"/>
  <c r="F859" i="3"/>
  <c r="I858" i="3"/>
  <c r="H858" i="3"/>
  <c r="G858" i="3"/>
  <c r="F858" i="3"/>
  <c r="I857" i="3"/>
  <c r="H857" i="3"/>
  <c r="G857" i="3"/>
  <c r="F857" i="3"/>
  <c r="I856" i="3"/>
  <c r="H856" i="3"/>
  <c r="G856" i="3"/>
  <c r="F856" i="3"/>
  <c r="I855" i="3"/>
  <c r="H855" i="3"/>
  <c r="G855" i="3"/>
  <c r="F855" i="3"/>
  <c r="I854" i="3"/>
  <c r="H854" i="3"/>
  <c r="G854" i="3"/>
  <c r="F854" i="3"/>
  <c r="I853" i="3"/>
  <c r="H853" i="3"/>
  <c r="G853" i="3"/>
  <c r="F853" i="3"/>
  <c r="I852" i="3"/>
  <c r="H852" i="3"/>
  <c r="G852" i="3"/>
  <c r="F852" i="3"/>
  <c r="I851" i="3"/>
  <c r="H851" i="3"/>
  <c r="G851" i="3"/>
  <c r="F851" i="3"/>
  <c r="I850" i="3"/>
  <c r="H850" i="3"/>
  <c r="G850" i="3"/>
  <c r="F850" i="3"/>
  <c r="I849" i="3"/>
  <c r="H849" i="3"/>
  <c r="G849" i="3"/>
  <c r="F849" i="3"/>
  <c r="I848" i="3"/>
  <c r="H848" i="3"/>
  <c r="G848" i="3"/>
  <c r="F848" i="3"/>
  <c r="I847" i="3"/>
  <c r="H847" i="3"/>
  <c r="G847" i="3"/>
  <c r="F847" i="3"/>
  <c r="I846" i="3"/>
  <c r="H846" i="3"/>
  <c r="G846" i="3"/>
  <c r="F846" i="3"/>
  <c r="I845" i="3"/>
  <c r="H845" i="3"/>
  <c r="G845" i="3"/>
  <c r="F845" i="3"/>
  <c r="I844" i="3"/>
  <c r="H844" i="3"/>
  <c r="G844" i="3"/>
  <c r="F844" i="3"/>
  <c r="I843" i="3"/>
  <c r="H843" i="3"/>
  <c r="G843" i="3"/>
  <c r="F843" i="3"/>
  <c r="I842" i="3"/>
  <c r="H842" i="3"/>
  <c r="G842" i="3"/>
  <c r="F842" i="3"/>
  <c r="I841" i="3"/>
  <c r="H841" i="3"/>
  <c r="G841" i="3"/>
  <c r="F841" i="3"/>
  <c r="I840" i="3"/>
  <c r="H840" i="3"/>
  <c r="G840" i="3"/>
  <c r="F840" i="3"/>
  <c r="I839" i="3"/>
  <c r="H839" i="3"/>
  <c r="G839" i="3"/>
  <c r="F839" i="3"/>
  <c r="I838" i="3"/>
  <c r="H838" i="3"/>
  <c r="G838" i="3"/>
  <c r="F838" i="3"/>
  <c r="I837" i="3"/>
  <c r="H837" i="3"/>
  <c r="G837" i="3"/>
  <c r="F837" i="3"/>
  <c r="I836" i="3"/>
  <c r="H836" i="3"/>
  <c r="G836" i="3"/>
  <c r="F836" i="3"/>
  <c r="I835" i="3"/>
  <c r="H835" i="3"/>
  <c r="G835" i="3"/>
  <c r="F835" i="3"/>
  <c r="I834" i="3"/>
  <c r="H834" i="3"/>
  <c r="G834" i="3"/>
  <c r="F834" i="3"/>
  <c r="I833" i="3"/>
  <c r="H833" i="3"/>
  <c r="G833" i="3"/>
  <c r="F833" i="3"/>
  <c r="I832" i="3"/>
  <c r="H832" i="3"/>
  <c r="G832" i="3"/>
  <c r="F832" i="3"/>
  <c r="I831" i="3"/>
  <c r="H831" i="3"/>
  <c r="G831" i="3"/>
  <c r="F831" i="3"/>
  <c r="I830" i="3"/>
  <c r="H830" i="3"/>
  <c r="G830" i="3"/>
  <c r="F830" i="3"/>
  <c r="I829" i="3"/>
  <c r="H829" i="3"/>
  <c r="G829" i="3"/>
  <c r="F829" i="3"/>
  <c r="I828" i="3"/>
  <c r="H828" i="3"/>
  <c r="G828" i="3"/>
  <c r="F828" i="3"/>
  <c r="I827" i="3"/>
  <c r="H827" i="3"/>
  <c r="G827" i="3"/>
  <c r="F827" i="3"/>
  <c r="I826" i="3"/>
  <c r="H826" i="3"/>
  <c r="G826" i="3"/>
  <c r="F826" i="3"/>
  <c r="I825" i="3"/>
  <c r="H825" i="3"/>
  <c r="G825" i="3"/>
  <c r="F825" i="3"/>
  <c r="I824" i="3"/>
  <c r="H824" i="3"/>
  <c r="G824" i="3"/>
  <c r="F824" i="3"/>
  <c r="I823" i="3"/>
  <c r="H823" i="3"/>
  <c r="G823" i="3"/>
  <c r="F823" i="3"/>
  <c r="I822" i="3"/>
  <c r="H822" i="3"/>
  <c r="G822" i="3"/>
  <c r="F822" i="3"/>
  <c r="I821" i="3"/>
  <c r="H821" i="3"/>
  <c r="G821" i="3"/>
  <c r="F821" i="3"/>
  <c r="I820" i="3"/>
  <c r="H820" i="3"/>
  <c r="G820" i="3"/>
  <c r="F820" i="3"/>
  <c r="I819" i="3"/>
  <c r="H819" i="3"/>
  <c r="G819" i="3"/>
  <c r="F819" i="3"/>
  <c r="I818" i="3"/>
  <c r="H818" i="3"/>
  <c r="G818" i="3"/>
  <c r="F818" i="3"/>
  <c r="I817" i="3"/>
  <c r="H817" i="3"/>
  <c r="G817" i="3"/>
  <c r="F817" i="3"/>
  <c r="I816" i="3"/>
  <c r="H816" i="3"/>
  <c r="G816" i="3"/>
  <c r="F816" i="3"/>
  <c r="I815" i="3"/>
  <c r="H815" i="3"/>
  <c r="G815" i="3"/>
  <c r="F815" i="3"/>
  <c r="I814" i="3"/>
  <c r="H814" i="3"/>
  <c r="G814" i="3"/>
  <c r="F814" i="3"/>
  <c r="I813" i="3"/>
  <c r="H813" i="3"/>
  <c r="G813" i="3"/>
  <c r="F813" i="3"/>
  <c r="I812" i="3"/>
  <c r="H812" i="3"/>
  <c r="G812" i="3"/>
  <c r="F812" i="3"/>
  <c r="I811" i="3"/>
  <c r="H811" i="3"/>
  <c r="G811" i="3"/>
  <c r="F811" i="3"/>
  <c r="I810" i="3"/>
  <c r="H810" i="3"/>
  <c r="G810" i="3"/>
  <c r="F810" i="3"/>
  <c r="I809" i="3"/>
  <c r="H809" i="3"/>
  <c r="G809" i="3"/>
  <c r="F809" i="3"/>
  <c r="I808" i="3"/>
  <c r="H808" i="3"/>
  <c r="G808" i="3"/>
  <c r="F808" i="3"/>
  <c r="I807" i="3"/>
  <c r="H807" i="3"/>
  <c r="G807" i="3"/>
  <c r="F807" i="3"/>
  <c r="I806" i="3"/>
  <c r="H806" i="3"/>
  <c r="G806" i="3"/>
  <c r="F806" i="3"/>
  <c r="I805" i="3"/>
  <c r="H805" i="3"/>
  <c r="G805" i="3"/>
  <c r="F805" i="3"/>
  <c r="I804" i="3"/>
  <c r="H804" i="3"/>
  <c r="G804" i="3"/>
  <c r="F804" i="3"/>
  <c r="I803" i="3"/>
  <c r="H803" i="3"/>
  <c r="G803" i="3"/>
  <c r="F803" i="3"/>
  <c r="I802" i="3"/>
  <c r="H802" i="3"/>
  <c r="G802" i="3"/>
  <c r="F802" i="3"/>
  <c r="I801" i="3"/>
  <c r="H801" i="3"/>
  <c r="G801" i="3"/>
  <c r="F801" i="3"/>
  <c r="I800" i="3"/>
  <c r="H800" i="3"/>
  <c r="G800" i="3"/>
  <c r="F800" i="3"/>
  <c r="I799" i="3"/>
  <c r="H799" i="3"/>
  <c r="G799" i="3"/>
  <c r="F799" i="3"/>
  <c r="I798" i="3"/>
  <c r="H798" i="3"/>
  <c r="G798" i="3"/>
  <c r="F798" i="3"/>
  <c r="I797" i="3"/>
  <c r="H797" i="3"/>
  <c r="G797" i="3"/>
  <c r="F797" i="3"/>
  <c r="I796" i="3"/>
  <c r="H796" i="3"/>
  <c r="G796" i="3"/>
  <c r="F796" i="3"/>
  <c r="I795" i="3"/>
  <c r="H795" i="3"/>
  <c r="G795" i="3"/>
  <c r="F795" i="3"/>
  <c r="I794" i="3"/>
  <c r="H794" i="3"/>
  <c r="G794" i="3"/>
  <c r="F794" i="3"/>
  <c r="I793" i="3"/>
  <c r="H793" i="3"/>
  <c r="G793" i="3"/>
  <c r="F793" i="3"/>
  <c r="I792" i="3"/>
  <c r="H792" i="3"/>
  <c r="G792" i="3"/>
  <c r="F792" i="3"/>
  <c r="I791" i="3"/>
  <c r="H791" i="3"/>
  <c r="G791" i="3"/>
  <c r="F791" i="3"/>
  <c r="I790" i="3"/>
  <c r="H790" i="3"/>
  <c r="G790" i="3"/>
  <c r="F790" i="3"/>
  <c r="I789" i="3"/>
  <c r="H789" i="3"/>
  <c r="G789" i="3"/>
  <c r="F789" i="3"/>
  <c r="I788" i="3"/>
  <c r="H788" i="3"/>
  <c r="G788" i="3"/>
  <c r="F788" i="3"/>
  <c r="I787" i="3"/>
  <c r="H787" i="3"/>
  <c r="G787" i="3"/>
  <c r="F787" i="3"/>
  <c r="I786" i="3"/>
  <c r="H786" i="3"/>
  <c r="G786" i="3"/>
  <c r="F786" i="3"/>
  <c r="I785" i="3"/>
  <c r="H785" i="3"/>
  <c r="G785" i="3"/>
  <c r="F785" i="3"/>
  <c r="I784" i="3"/>
  <c r="H784" i="3"/>
  <c r="G784" i="3"/>
  <c r="F784" i="3"/>
  <c r="I783" i="3"/>
  <c r="H783" i="3"/>
  <c r="G783" i="3"/>
  <c r="F783" i="3"/>
  <c r="I782" i="3"/>
  <c r="H782" i="3"/>
  <c r="G782" i="3"/>
  <c r="F782" i="3"/>
  <c r="I781" i="3"/>
  <c r="H781" i="3"/>
  <c r="G781" i="3"/>
  <c r="F781" i="3"/>
  <c r="I780" i="3"/>
  <c r="H780" i="3"/>
  <c r="G780" i="3"/>
  <c r="F780" i="3"/>
  <c r="I779" i="3"/>
  <c r="H779" i="3"/>
  <c r="G779" i="3"/>
  <c r="F779" i="3"/>
  <c r="I778" i="3"/>
  <c r="H778" i="3"/>
  <c r="G778" i="3"/>
  <c r="F778" i="3"/>
  <c r="I777" i="3"/>
  <c r="H777" i="3"/>
  <c r="G777" i="3"/>
  <c r="F777" i="3"/>
  <c r="I776" i="3"/>
  <c r="H776" i="3"/>
  <c r="G776" i="3"/>
  <c r="F776" i="3"/>
  <c r="I775" i="3"/>
  <c r="H775" i="3"/>
  <c r="G775" i="3"/>
  <c r="F775" i="3"/>
  <c r="I774" i="3"/>
  <c r="H774" i="3"/>
  <c r="G774" i="3"/>
  <c r="F774" i="3"/>
  <c r="I773" i="3"/>
  <c r="H773" i="3"/>
  <c r="G773" i="3"/>
  <c r="F773" i="3"/>
  <c r="I772" i="3"/>
  <c r="H772" i="3"/>
  <c r="G772" i="3"/>
  <c r="F772" i="3"/>
  <c r="I771" i="3"/>
  <c r="H771" i="3"/>
  <c r="G771" i="3"/>
  <c r="F771" i="3"/>
  <c r="I770" i="3"/>
  <c r="H770" i="3"/>
  <c r="G770" i="3"/>
  <c r="F770" i="3"/>
  <c r="I769" i="3"/>
  <c r="H769" i="3"/>
  <c r="G769" i="3"/>
  <c r="F769" i="3"/>
  <c r="I768" i="3"/>
  <c r="H768" i="3"/>
  <c r="G768" i="3"/>
  <c r="F768" i="3"/>
  <c r="I767" i="3"/>
  <c r="H767" i="3"/>
  <c r="G767" i="3"/>
  <c r="F767" i="3"/>
  <c r="I766" i="3"/>
  <c r="H766" i="3"/>
  <c r="G766" i="3"/>
  <c r="F766" i="3"/>
  <c r="I765" i="3"/>
  <c r="H765" i="3"/>
  <c r="G765" i="3"/>
  <c r="F765" i="3"/>
  <c r="I764" i="3"/>
  <c r="H764" i="3"/>
  <c r="G764" i="3"/>
  <c r="F764" i="3"/>
  <c r="I763" i="3"/>
  <c r="H763" i="3"/>
  <c r="G763" i="3"/>
  <c r="F763" i="3"/>
  <c r="I762" i="3"/>
  <c r="H762" i="3"/>
  <c r="G762" i="3"/>
  <c r="F762" i="3"/>
  <c r="I761" i="3"/>
  <c r="H761" i="3"/>
  <c r="G761" i="3"/>
  <c r="F761" i="3"/>
  <c r="I760" i="3"/>
  <c r="H760" i="3"/>
  <c r="G760" i="3"/>
  <c r="F760" i="3"/>
  <c r="I759" i="3"/>
  <c r="H759" i="3"/>
  <c r="G759" i="3"/>
  <c r="F759" i="3"/>
  <c r="I758" i="3"/>
  <c r="H758" i="3"/>
  <c r="G758" i="3"/>
  <c r="F758" i="3"/>
  <c r="I757" i="3"/>
  <c r="H757" i="3"/>
  <c r="G757" i="3"/>
  <c r="F757" i="3"/>
  <c r="I756" i="3"/>
  <c r="H756" i="3"/>
  <c r="G756" i="3"/>
  <c r="F756" i="3"/>
  <c r="I755" i="3"/>
  <c r="H755" i="3"/>
  <c r="G755" i="3"/>
  <c r="F755" i="3"/>
  <c r="I754" i="3"/>
  <c r="H754" i="3"/>
  <c r="G754" i="3"/>
  <c r="F754" i="3"/>
  <c r="I753" i="3"/>
  <c r="H753" i="3"/>
  <c r="G753" i="3"/>
  <c r="F753" i="3"/>
  <c r="I752" i="3"/>
  <c r="H752" i="3"/>
  <c r="G752" i="3"/>
  <c r="F752" i="3"/>
  <c r="I751" i="3"/>
  <c r="H751" i="3"/>
  <c r="G751" i="3"/>
  <c r="F751" i="3"/>
  <c r="I750" i="3"/>
  <c r="H750" i="3"/>
  <c r="G750" i="3"/>
  <c r="F750" i="3"/>
  <c r="I749" i="3"/>
  <c r="H749" i="3"/>
  <c r="G749" i="3"/>
  <c r="F749" i="3"/>
  <c r="I748" i="3"/>
  <c r="H748" i="3"/>
  <c r="G748" i="3"/>
  <c r="F748" i="3"/>
  <c r="I747" i="3"/>
  <c r="H747" i="3"/>
  <c r="G747" i="3"/>
  <c r="F747" i="3"/>
  <c r="I746" i="3"/>
  <c r="H746" i="3"/>
  <c r="G746" i="3"/>
  <c r="F746" i="3"/>
  <c r="I745" i="3"/>
  <c r="H745" i="3"/>
  <c r="G745" i="3"/>
  <c r="F745" i="3"/>
  <c r="I744" i="3"/>
  <c r="H744" i="3"/>
  <c r="G744" i="3"/>
  <c r="F744" i="3"/>
  <c r="I743" i="3"/>
  <c r="H743" i="3"/>
  <c r="G743" i="3"/>
  <c r="F743" i="3"/>
  <c r="I742" i="3"/>
  <c r="H742" i="3"/>
  <c r="G742" i="3"/>
  <c r="F742" i="3"/>
  <c r="I741" i="3"/>
  <c r="H741" i="3"/>
  <c r="G741" i="3"/>
  <c r="F741" i="3"/>
  <c r="I740" i="3"/>
  <c r="H740" i="3"/>
  <c r="G740" i="3"/>
  <c r="F740" i="3"/>
  <c r="I739" i="3"/>
  <c r="H739" i="3"/>
  <c r="G739" i="3"/>
  <c r="F739" i="3"/>
  <c r="I738" i="3"/>
  <c r="H738" i="3"/>
  <c r="G738" i="3"/>
  <c r="F738" i="3"/>
  <c r="I737" i="3"/>
  <c r="H737" i="3"/>
  <c r="G737" i="3"/>
  <c r="F737" i="3"/>
  <c r="I736" i="3"/>
  <c r="H736" i="3"/>
  <c r="G736" i="3"/>
  <c r="F736" i="3"/>
  <c r="I735" i="3"/>
  <c r="H735" i="3"/>
  <c r="G735" i="3"/>
  <c r="F735" i="3"/>
  <c r="I734" i="3"/>
  <c r="H734" i="3"/>
  <c r="G734" i="3"/>
  <c r="F734" i="3"/>
  <c r="I733" i="3"/>
  <c r="H733" i="3"/>
  <c r="G733" i="3"/>
  <c r="F733" i="3"/>
  <c r="I732" i="3"/>
  <c r="H732" i="3"/>
  <c r="G732" i="3"/>
  <c r="F732" i="3"/>
  <c r="I731" i="3"/>
  <c r="H731" i="3"/>
  <c r="G731" i="3"/>
  <c r="F731" i="3"/>
  <c r="I730" i="3"/>
  <c r="H730" i="3"/>
  <c r="G730" i="3"/>
  <c r="F730" i="3"/>
  <c r="I729" i="3"/>
  <c r="H729" i="3"/>
  <c r="G729" i="3"/>
  <c r="F729" i="3"/>
  <c r="I728" i="3"/>
  <c r="H728" i="3"/>
  <c r="G728" i="3"/>
  <c r="F728" i="3"/>
  <c r="I727" i="3"/>
  <c r="H727" i="3"/>
  <c r="G727" i="3"/>
  <c r="F727" i="3"/>
  <c r="I726" i="3"/>
  <c r="H726" i="3"/>
  <c r="G726" i="3"/>
  <c r="F726" i="3"/>
  <c r="I725" i="3"/>
  <c r="H725" i="3"/>
  <c r="G725" i="3"/>
  <c r="F725" i="3"/>
  <c r="I724" i="3"/>
  <c r="H724" i="3"/>
  <c r="G724" i="3"/>
  <c r="F724" i="3"/>
  <c r="I723" i="3"/>
  <c r="H723" i="3"/>
  <c r="G723" i="3"/>
  <c r="F723" i="3"/>
  <c r="I722" i="3"/>
  <c r="H722" i="3"/>
  <c r="G722" i="3"/>
  <c r="F722" i="3"/>
  <c r="I721" i="3"/>
  <c r="H721" i="3"/>
  <c r="G721" i="3"/>
  <c r="F721" i="3"/>
  <c r="I720" i="3"/>
  <c r="H720" i="3"/>
  <c r="G720" i="3"/>
  <c r="F720" i="3"/>
  <c r="I719" i="3"/>
  <c r="H719" i="3"/>
  <c r="G719" i="3"/>
  <c r="F719" i="3"/>
  <c r="I718" i="3"/>
  <c r="H718" i="3"/>
  <c r="G718" i="3"/>
  <c r="F718" i="3"/>
  <c r="I717" i="3"/>
  <c r="H717" i="3"/>
  <c r="G717" i="3"/>
  <c r="F717" i="3"/>
  <c r="I716" i="3"/>
  <c r="H716" i="3"/>
  <c r="G716" i="3"/>
  <c r="F716" i="3"/>
  <c r="I715" i="3"/>
  <c r="H715" i="3"/>
  <c r="G715" i="3"/>
  <c r="F715" i="3"/>
  <c r="I714" i="3"/>
  <c r="H714" i="3"/>
  <c r="G714" i="3"/>
  <c r="F714" i="3"/>
  <c r="I713" i="3"/>
  <c r="H713" i="3"/>
  <c r="G713" i="3"/>
  <c r="F713" i="3"/>
  <c r="I712" i="3"/>
  <c r="H712" i="3"/>
  <c r="G712" i="3"/>
  <c r="F712" i="3"/>
  <c r="I711" i="3"/>
  <c r="H711" i="3"/>
  <c r="G711" i="3"/>
  <c r="F711" i="3"/>
  <c r="I710" i="3"/>
  <c r="H710" i="3"/>
  <c r="G710" i="3"/>
  <c r="F710" i="3"/>
  <c r="I709" i="3"/>
  <c r="H709" i="3"/>
  <c r="G709" i="3"/>
  <c r="F709" i="3"/>
  <c r="I708" i="3"/>
  <c r="H708" i="3"/>
  <c r="G708" i="3"/>
  <c r="F708" i="3"/>
  <c r="I707" i="3"/>
  <c r="H707" i="3"/>
  <c r="G707" i="3"/>
  <c r="F707" i="3"/>
  <c r="I706" i="3"/>
  <c r="H706" i="3"/>
  <c r="G706" i="3"/>
  <c r="F706" i="3"/>
  <c r="I705" i="3"/>
  <c r="H705" i="3"/>
  <c r="G705" i="3"/>
  <c r="F705" i="3"/>
  <c r="I704" i="3"/>
  <c r="H704" i="3"/>
  <c r="G704" i="3"/>
  <c r="F704" i="3"/>
  <c r="I703" i="3"/>
  <c r="H703" i="3"/>
  <c r="G703" i="3"/>
  <c r="F703" i="3"/>
  <c r="I702" i="3"/>
  <c r="H702" i="3"/>
  <c r="G702" i="3"/>
  <c r="F702" i="3"/>
  <c r="I701" i="3"/>
  <c r="H701" i="3"/>
  <c r="G701" i="3"/>
  <c r="F701" i="3"/>
  <c r="I700" i="3"/>
  <c r="H700" i="3"/>
  <c r="G700" i="3"/>
  <c r="F700" i="3"/>
  <c r="I699" i="3"/>
  <c r="H699" i="3"/>
  <c r="G699" i="3"/>
  <c r="F699" i="3"/>
  <c r="I698" i="3"/>
  <c r="H698" i="3"/>
  <c r="G698" i="3"/>
  <c r="F698" i="3"/>
  <c r="I697" i="3"/>
  <c r="H697" i="3"/>
  <c r="G697" i="3"/>
  <c r="F697" i="3"/>
  <c r="I696" i="3"/>
  <c r="H696" i="3"/>
  <c r="G696" i="3"/>
  <c r="F696" i="3"/>
  <c r="I695" i="3"/>
  <c r="H695" i="3"/>
  <c r="G695" i="3"/>
  <c r="F695" i="3"/>
  <c r="I694" i="3"/>
  <c r="H694" i="3"/>
  <c r="G694" i="3"/>
  <c r="F694" i="3"/>
  <c r="I693" i="3"/>
  <c r="H693" i="3"/>
  <c r="G693" i="3"/>
  <c r="F693" i="3"/>
  <c r="I692" i="3"/>
  <c r="H692" i="3"/>
  <c r="G692" i="3"/>
  <c r="F692" i="3"/>
  <c r="I691" i="3"/>
  <c r="H691" i="3"/>
  <c r="G691" i="3"/>
  <c r="F691" i="3"/>
  <c r="I690" i="3"/>
  <c r="H690" i="3"/>
  <c r="G690" i="3"/>
  <c r="F690" i="3"/>
  <c r="I689" i="3"/>
  <c r="H689" i="3"/>
  <c r="G689" i="3"/>
  <c r="F689" i="3"/>
  <c r="I688" i="3"/>
  <c r="H688" i="3"/>
  <c r="G688" i="3"/>
  <c r="F688" i="3"/>
  <c r="I687" i="3"/>
  <c r="H687" i="3"/>
  <c r="G687" i="3"/>
  <c r="F687" i="3"/>
  <c r="I686" i="3"/>
  <c r="H686" i="3"/>
  <c r="G686" i="3"/>
  <c r="F686" i="3"/>
  <c r="I685" i="3"/>
  <c r="H685" i="3"/>
  <c r="G685" i="3"/>
  <c r="F685" i="3"/>
  <c r="I684" i="3"/>
  <c r="H684" i="3"/>
  <c r="G684" i="3"/>
  <c r="F684" i="3"/>
  <c r="I683" i="3"/>
  <c r="H683" i="3"/>
  <c r="G683" i="3"/>
  <c r="F683" i="3"/>
  <c r="I682" i="3"/>
  <c r="H682" i="3"/>
  <c r="G682" i="3"/>
  <c r="F682" i="3"/>
  <c r="I681" i="3"/>
  <c r="H681" i="3"/>
  <c r="G681" i="3"/>
  <c r="F681" i="3"/>
  <c r="I680" i="3"/>
  <c r="H680" i="3"/>
  <c r="G680" i="3"/>
  <c r="F680" i="3"/>
  <c r="I679" i="3"/>
  <c r="H679" i="3"/>
  <c r="G679" i="3"/>
  <c r="F679" i="3"/>
  <c r="I678" i="3"/>
  <c r="H678" i="3"/>
  <c r="G678" i="3"/>
  <c r="F678" i="3"/>
  <c r="I677" i="3"/>
  <c r="H677" i="3"/>
  <c r="G677" i="3"/>
  <c r="F677" i="3"/>
  <c r="I676" i="3"/>
  <c r="H676" i="3"/>
  <c r="G676" i="3"/>
  <c r="F676" i="3"/>
  <c r="I675" i="3"/>
  <c r="H675" i="3"/>
  <c r="G675" i="3"/>
  <c r="F675" i="3"/>
  <c r="I674" i="3"/>
  <c r="H674" i="3"/>
  <c r="G674" i="3"/>
  <c r="F674" i="3"/>
  <c r="I673" i="3"/>
  <c r="H673" i="3"/>
  <c r="G673" i="3"/>
  <c r="F673" i="3"/>
  <c r="I672" i="3"/>
  <c r="H672" i="3"/>
  <c r="G672" i="3"/>
  <c r="F672" i="3"/>
  <c r="I671" i="3"/>
  <c r="H671" i="3"/>
  <c r="G671" i="3"/>
  <c r="F671" i="3"/>
  <c r="I670" i="3"/>
  <c r="H670" i="3"/>
  <c r="G670" i="3"/>
  <c r="F670" i="3"/>
  <c r="I669" i="3"/>
  <c r="H669" i="3"/>
  <c r="G669" i="3"/>
  <c r="F669" i="3"/>
  <c r="I668" i="3"/>
  <c r="H668" i="3"/>
  <c r="G668" i="3"/>
  <c r="F668" i="3"/>
  <c r="I667" i="3"/>
  <c r="H667" i="3"/>
  <c r="G667" i="3"/>
  <c r="F667" i="3"/>
  <c r="I666" i="3"/>
  <c r="H666" i="3"/>
  <c r="G666" i="3"/>
  <c r="F666" i="3"/>
  <c r="I665" i="3"/>
  <c r="H665" i="3"/>
  <c r="G665" i="3"/>
  <c r="F665" i="3"/>
  <c r="I664" i="3"/>
  <c r="H664" i="3"/>
  <c r="G664" i="3"/>
  <c r="F664" i="3"/>
  <c r="I663" i="3"/>
  <c r="H663" i="3"/>
  <c r="G663" i="3"/>
  <c r="F663" i="3"/>
  <c r="I662" i="3"/>
  <c r="H662" i="3"/>
  <c r="G662" i="3"/>
  <c r="F662" i="3"/>
  <c r="I661" i="3"/>
  <c r="H661" i="3"/>
  <c r="G661" i="3"/>
  <c r="F661" i="3"/>
  <c r="I660" i="3"/>
  <c r="H660" i="3"/>
  <c r="G660" i="3"/>
  <c r="F660" i="3"/>
  <c r="I659" i="3"/>
  <c r="H659" i="3"/>
  <c r="G659" i="3"/>
  <c r="F659" i="3"/>
  <c r="I658" i="3"/>
  <c r="H658" i="3"/>
  <c r="G658" i="3"/>
  <c r="F658" i="3"/>
  <c r="I657" i="3"/>
  <c r="H657" i="3"/>
  <c r="G657" i="3"/>
  <c r="F657" i="3"/>
  <c r="I656" i="3"/>
  <c r="H656" i="3"/>
  <c r="G656" i="3"/>
  <c r="F656" i="3"/>
  <c r="I655" i="3"/>
  <c r="H655" i="3"/>
  <c r="G655" i="3"/>
  <c r="F655" i="3"/>
  <c r="I654" i="3"/>
  <c r="H654" i="3"/>
  <c r="G654" i="3"/>
  <c r="F654" i="3"/>
  <c r="I653" i="3"/>
  <c r="H653" i="3"/>
  <c r="G653" i="3"/>
  <c r="F653" i="3"/>
  <c r="I652" i="3"/>
  <c r="H652" i="3"/>
  <c r="G652" i="3"/>
  <c r="F652" i="3"/>
  <c r="I651" i="3"/>
  <c r="H651" i="3"/>
  <c r="G651" i="3"/>
  <c r="F651" i="3"/>
  <c r="I650" i="3"/>
  <c r="H650" i="3"/>
  <c r="G650" i="3"/>
  <c r="F650" i="3"/>
  <c r="I649" i="3"/>
  <c r="H649" i="3"/>
  <c r="G649" i="3"/>
  <c r="F649" i="3"/>
  <c r="I648" i="3"/>
  <c r="H648" i="3"/>
  <c r="G648" i="3"/>
  <c r="F648" i="3"/>
  <c r="I647" i="3"/>
  <c r="H647" i="3"/>
  <c r="G647" i="3"/>
  <c r="F647" i="3"/>
  <c r="I646" i="3"/>
  <c r="H646" i="3"/>
  <c r="G646" i="3"/>
  <c r="F646" i="3"/>
  <c r="I645" i="3"/>
  <c r="H645" i="3"/>
  <c r="G645" i="3"/>
  <c r="F645" i="3"/>
  <c r="I644" i="3"/>
  <c r="H644" i="3"/>
  <c r="G644" i="3"/>
  <c r="F644" i="3"/>
  <c r="I643" i="3"/>
  <c r="H643" i="3"/>
  <c r="G643" i="3"/>
  <c r="F643" i="3"/>
  <c r="I642" i="3"/>
  <c r="H642" i="3"/>
  <c r="G642" i="3"/>
  <c r="F642" i="3"/>
  <c r="I641" i="3"/>
  <c r="H641" i="3"/>
  <c r="G641" i="3"/>
  <c r="F641" i="3"/>
  <c r="I640" i="3"/>
  <c r="H640" i="3"/>
  <c r="G640" i="3"/>
  <c r="F640" i="3"/>
  <c r="I639" i="3"/>
  <c r="H639" i="3"/>
  <c r="G639" i="3"/>
  <c r="F639" i="3"/>
  <c r="I638" i="3"/>
  <c r="H638" i="3"/>
  <c r="G638" i="3"/>
  <c r="F638" i="3"/>
  <c r="I637" i="3"/>
  <c r="H637" i="3"/>
  <c r="G637" i="3"/>
  <c r="F637" i="3"/>
  <c r="I636" i="3"/>
  <c r="H636" i="3"/>
  <c r="G636" i="3"/>
  <c r="F636" i="3"/>
  <c r="I635" i="3"/>
  <c r="H635" i="3"/>
  <c r="G635" i="3"/>
  <c r="F635" i="3"/>
  <c r="I634" i="3"/>
  <c r="H634" i="3"/>
  <c r="G634" i="3"/>
  <c r="F634" i="3"/>
  <c r="I633" i="3"/>
  <c r="H633" i="3"/>
  <c r="G633" i="3"/>
  <c r="F633" i="3"/>
  <c r="I632" i="3"/>
  <c r="H632" i="3"/>
  <c r="G632" i="3"/>
  <c r="F632" i="3"/>
  <c r="I631" i="3"/>
  <c r="H631" i="3"/>
  <c r="G631" i="3"/>
  <c r="F631" i="3"/>
  <c r="I630" i="3"/>
  <c r="H630" i="3"/>
  <c r="G630" i="3"/>
  <c r="F630" i="3"/>
  <c r="I629" i="3"/>
  <c r="H629" i="3"/>
  <c r="G629" i="3"/>
  <c r="F629" i="3"/>
  <c r="I628" i="3"/>
  <c r="H628" i="3"/>
  <c r="G628" i="3"/>
  <c r="F628" i="3"/>
  <c r="I627" i="3"/>
  <c r="H627" i="3"/>
  <c r="G627" i="3"/>
  <c r="F627" i="3"/>
  <c r="I626" i="3"/>
  <c r="H626" i="3"/>
  <c r="G626" i="3"/>
  <c r="F626" i="3"/>
  <c r="I625" i="3"/>
  <c r="H625" i="3"/>
  <c r="G625" i="3"/>
  <c r="F625" i="3"/>
  <c r="I624" i="3"/>
  <c r="H624" i="3"/>
  <c r="G624" i="3"/>
  <c r="F624" i="3"/>
  <c r="I623" i="3"/>
  <c r="H623" i="3"/>
  <c r="G623" i="3"/>
  <c r="F623" i="3"/>
  <c r="I622" i="3"/>
  <c r="H622" i="3"/>
  <c r="G622" i="3"/>
  <c r="F622" i="3"/>
  <c r="I621" i="3"/>
  <c r="H621" i="3"/>
  <c r="G621" i="3"/>
  <c r="F621" i="3"/>
  <c r="I620" i="3"/>
  <c r="H620" i="3"/>
  <c r="G620" i="3"/>
  <c r="F620" i="3"/>
  <c r="I619" i="3"/>
  <c r="H619" i="3"/>
  <c r="G619" i="3"/>
  <c r="F619" i="3"/>
  <c r="I618" i="3"/>
  <c r="H618" i="3"/>
  <c r="G618" i="3"/>
  <c r="F618" i="3"/>
  <c r="I617" i="3"/>
  <c r="H617" i="3"/>
  <c r="G617" i="3"/>
  <c r="F617" i="3"/>
  <c r="I616" i="3"/>
  <c r="H616" i="3"/>
  <c r="G616" i="3"/>
  <c r="F616" i="3"/>
  <c r="I615" i="3"/>
  <c r="H615" i="3"/>
  <c r="G615" i="3"/>
  <c r="F615" i="3"/>
  <c r="I614" i="3"/>
  <c r="H614" i="3"/>
  <c r="G614" i="3"/>
  <c r="F614" i="3"/>
  <c r="I613" i="3"/>
  <c r="H613" i="3"/>
  <c r="G613" i="3"/>
  <c r="F613" i="3"/>
  <c r="I612" i="3"/>
  <c r="H612" i="3"/>
  <c r="G612" i="3"/>
  <c r="F612" i="3"/>
  <c r="I611" i="3"/>
  <c r="H611" i="3"/>
  <c r="G611" i="3"/>
  <c r="F611" i="3"/>
  <c r="I610" i="3"/>
  <c r="H610" i="3"/>
  <c r="G610" i="3"/>
  <c r="F610" i="3"/>
  <c r="I609" i="3"/>
  <c r="H609" i="3"/>
  <c r="G609" i="3"/>
  <c r="F609" i="3"/>
  <c r="I608" i="3"/>
  <c r="H608" i="3"/>
  <c r="G608" i="3"/>
  <c r="F608" i="3"/>
  <c r="I607" i="3"/>
  <c r="H607" i="3"/>
  <c r="G607" i="3"/>
  <c r="F607" i="3"/>
  <c r="I606" i="3"/>
  <c r="H606" i="3"/>
  <c r="G606" i="3"/>
  <c r="F606" i="3"/>
  <c r="I605" i="3"/>
  <c r="H605" i="3"/>
  <c r="G605" i="3"/>
  <c r="F605" i="3"/>
  <c r="I604" i="3"/>
  <c r="H604" i="3"/>
  <c r="G604" i="3"/>
  <c r="F604" i="3"/>
  <c r="I603" i="3"/>
  <c r="H603" i="3"/>
  <c r="G603" i="3"/>
  <c r="F603" i="3"/>
  <c r="I602" i="3"/>
  <c r="H602" i="3"/>
  <c r="G602" i="3"/>
  <c r="F602" i="3"/>
  <c r="I601" i="3"/>
  <c r="H601" i="3"/>
  <c r="G601" i="3"/>
  <c r="F601" i="3"/>
  <c r="I600" i="3"/>
  <c r="H600" i="3"/>
  <c r="G600" i="3"/>
  <c r="F600" i="3"/>
  <c r="I599" i="3"/>
  <c r="H599" i="3"/>
  <c r="G599" i="3"/>
  <c r="F599" i="3"/>
  <c r="I598" i="3"/>
  <c r="H598" i="3"/>
  <c r="G598" i="3"/>
  <c r="F598" i="3"/>
  <c r="I597" i="3"/>
  <c r="H597" i="3"/>
  <c r="G597" i="3"/>
  <c r="F597" i="3"/>
  <c r="I596" i="3"/>
  <c r="H596" i="3"/>
  <c r="G596" i="3"/>
  <c r="F596" i="3"/>
  <c r="I595" i="3"/>
  <c r="H595" i="3"/>
  <c r="G595" i="3"/>
  <c r="F595" i="3"/>
  <c r="I594" i="3"/>
  <c r="H594" i="3"/>
  <c r="G594" i="3"/>
  <c r="F594" i="3"/>
  <c r="I593" i="3"/>
  <c r="H593" i="3"/>
  <c r="G593" i="3"/>
  <c r="F593" i="3"/>
  <c r="I592" i="3"/>
  <c r="H592" i="3"/>
  <c r="G592" i="3"/>
  <c r="F592" i="3"/>
  <c r="I591" i="3"/>
  <c r="H591" i="3"/>
  <c r="G591" i="3"/>
  <c r="F591" i="3"/>
  <c r="I590" i="3"/>
  <c r="H590" i="3"/>
  <c r="G590" i="3"/>
  <c r="F590" i="3"/>
  <c r="I589" i="3"/>
  <c r="H589" i="3"/>
  <c r="G589" i="3"/>
  <c r="F589" i="3"/>
  <c r="I588" i="3"/>
  <c r="H588" i="3"/>
  <c r="G588" i="3"/>
  <c r="F588" i="3"/>
  <c r="I587" i="3"/>
  <c r="H587" i="3"/>
  <c r="G587" i="3"/>
  <c r="F587" i="3"/>
  <c r="I586" i="3"/>
  <c r="H586" i="3"/>
  <c r="G586" i="3"/>
  <c r="F586" i="3"/>
  <c r="I585" i="3"/>
  <c r="H585" i="3"/>
  <c r="G585" i="3"/>
  <c r="F585" i="3"/>
  <c r="I584" i="3"/>
  <c r="H584" i="3"/>
  <c r="G584" i="3"/>
  <c r="F584" i="3"/>
  <c r="I583" i="3"/>
  <c r="H583" i="3"/>
  <c r="G583" i="3"/>
  <c r="F583" i="3"/>
  <c r="I582" i="3"/>
  <c r="H582" i="3"/>
  <c r="G582" i="3"/>
  <c r="F582" i="3"/>
  <c r="I581" i="3"/>
  <c r="H581" i="3"/>
  <c r="G581" i="3"/>
  <c r="F581" i="3"/>
  <c r="I580" i="3"/>
  <c r="H580" i="3"/>
  <c r="G580" i="3"/>
  <c r="F580" i="3"/>
  <c r="I579" i="3"/>
  <c r="H579" i="3"/>
  <c r="G579" i="3"/>
  <c r="F579" i="3"/>
  <c r="I578" i="3"/>
  <c r="H578" i="3"/>
  <c r="G578" i="3"/>
  <c r="F578" i="3"/>
  <c r="I577" i="3"/>
  <c r="H577" i="3"/>
  <c r="G577" i="3"/>
  <c r="F577" i="3"/>
  <c r="I576" i="3"/>
  <c r="H576" i="3"/>
  <c r="G576" i="3"/>
  <c r="F576" i="3"/>
  <c r="I575" i="3"/>
  <c r="H575" i="3"/>
  <c r="G575" i="3"/>
  <c r="F575" i="3"/>
  <c r="I574" i="3"/>
  <c r="H574" i="3"/>
  <c r="G574" i="3"/>
  <c r="F574" i="3"/>
  <c r="I573" i="3"/>
  <c r="H573" i="3"/>
  <c r="G573" i="3"/>
  <c r="F573" i="3"/>
  <c r="I572" i="3"/>
  <c r="H572" i="3"/>
  <c r="G572" i="3"/>
  <c r="F572" i="3"/>
  <c r="I571" i="3"/>
  <c r="H571" i="3"/>
  <c r="G571" i="3"/>
  <c r="F571" i="3"/>
  <c r="I570" i="3"/>
  <c r="H570" i="3"/>
  <c r="G570" i="3"/>
  <c r="F570" i="3"/>
  <c r="I569" i="3"/>
  <c r="H569" i="3"/>
  <c r="G569" i="3"/>
  <c r="F569" i="3"/>
  <c r="I568" i="3"/>
  <c r="H568" i="3"/>
  <c r="G568" i="3"/>
  <c r="F568" i="3"/>
  <c r="I567" i="3"/>
  <c r="H567" i="3"/>
  <c r="G567" i="3"/>
  <c r="F567" i="3"/>
  <c r="I566" i="3"/>
  <c r="H566" i="3"/>
  <c r="G566" i="3"/>
  <c r="F566" i="3"/>
  <c r="I565" i="3"/>
  <c r="H565" i="3"/>
  <c r="G565" i="3"/>
  <c r="F565" i="3"/>
  <c r="I564" i="3"/>
  <c r="H564" i="3"/>
  <c r="G564" i="3"/>
  <c r="F564" i="3"/>
  <c r="I563" i="3"/>
  <c r="H563" i="3"/>
  <c r="G563" i="3"/>
  <c r="F563" i="3"/>
  <c r="I562" i="3"/>
  <c r="H562" i="3"/>
  <c r="G562" i="3"/>
  <c r="F562" i="3"/>
  <c r="I561" i="3"/>
  <c r="H561" i="3"/>
  <c r="G561" i="3"/>
  <c r="F561" i="3"/>
  <c r="I560" i="3"/>
  <c r="H560" i="3"/>
  <c r="G560" i="3"/>
  <c r="F560" i="3"/>
  <c r="I559" i="3"/>
  <c r="H559" i="3"/>
  <c r="G559" i="3"/>
  <c r="F559" i="3"/>
  <c r="I558" i="3"/>
  <c r="H558" i="3"/>
  <c r="G558" i="3"/>
  <c r="F558" i="3"/>
  <c r="I557" i="3"/>
  <c r="H557" i="3"/>
  <c r="G557" i="3"/>
  <c r="F557" i="3"/>
  <c r="I556" i="3"/>
  <c r="H556" i="3"/>
  <c r="G556" i="3"/>
  <c r="F556" i="3"/>
  <c r="I555" i="3"/>
  <c r="H555" i="3"/>
  <c r="G555" i="3"/>
  <c r="F555" i="3"/>
  <c r="I554" i="3"/>
  <c r="H554" i="3"/>
  <c r="G554" i="3"/>
  <c r="F554" i="3"/>
  <c r="I553" i="3"/>
  <c r="H553" i="3"/>
  <c r="G553" i="3"/>
  <c r="F553" i="3"/>
  <c r="I552" i="3"/>
  <c r="H552" i="3"/>
  <c r="G552" i="3"/>
  <c r="F552" i="3"/>
  <c r="I551" i="3"/>
  <c r="H551" i="3"/>
  <c r="G551" i="3"/>
  <c r="F551" i="3"/>
  <c r="I550" i="3"/>
  <c r="H550" i="3"/>
  <c r="G550" i="3"/>
  <c r="F550" i="3"/>
  <c r="I549" i="3"/>
  <c r="H549" i="3"/>
  <c r="G549" i="3"/>
  <c r="F549" i="3"/>
  <c r="I548" i="3"/>
  <c r="H548" i="3"/>
  <c r="G548" i="3"/>
  <c r="F548" i="3"/>
  <c r="I547" i="3"/>
  <c r="H547" i="3"/>
  <c r="G547" i="3"/>
  <c r="F547" i="3"/>
  <c r="I546" i="3"/>
  <c r="H546" i="3"/>
  <c r="G546" i="3"/>
  <c r="F546" i="3"/>
  <c r="I545" i="3"/>
  <c r="H545" i="3"/>
  <c r="G545" i="3"/>
  <c r="F545" i="3"/>
  <c r="I544" i="3"/>
  <c r="H544" i="3"/>
  <c r="G544" i="3"/>
  <c r="F544" i="3"/>
  <c r="I543" i="3"/>
  <c r="H543" i="3"/>
  <c r="G543" i="3"/>
  <c r="F543" i="3"/>
  <c r="I542" i="3"/>
  <c r="H542" i="3"/>
  <c r="G542" i="3"/>
  <c r="F542" i="3"/>
  <c r="I541" i="3"/>
  <c r="H541" i="3"/>
  <c r="G541" i="3"/>
  <c r="F541" i="3"/>
  <c r="I540" i="3"/>
  <c r="H540" i="3"/>
  <c r="G540" i="3"/>
  <c r="F540" i="3"/>
  <c r="I539" i="3"/>
  <c r="H539" i="3"/>
  <c r="G539" i="3"/>
  <c r="F539" i="3"/>
  <c r="I538" i="3"/>
  <c r="H538" i="3"/>
  <c r="G538" i="3"/>
  <c r="F538" i="3"/>
  <c r="I537" i="3"/>
  <c r="H537" i="3"/>
  <c r="G537" i="3"/>
  <c r="F537" i="3"/>
  <c r="I536" i="3"/>
  <c r="H536" i="3"/>
  <c r="G536" i="3"/>
  <c r="F536" i="3"/>
  <c r="I535" i="3"/>
  <c r="H535" i="3"/>
  <c r="G535" i="3"/>
  <c r="F535" i="3"/>
  <c r="I534" i="3"/>
  <c r="H534" i="3"/>
  <c r="G534" i="3"/>
  <c r="F534" i="3"/>
  <c r="I533" i="3"/>
  <c r="H533" i="3"/>
  <c r="G533" i="3"/>
  <c r="F533" i="3"/>
  <c r="I532" i="3"/>
  <c r="H532" i="3"/>
  <c r="G532" i="3"/>
  <c r="F532" i="3"/>
  <c r="I531" i="3"/>
  <c r="H531" i="3"/>
  <c r="G531" i="3"/>
  <c r="F531" i="3"/>
  <c r="I530" i="3"/>
  <c r="H530" i="3"/>
  <c r="G530" i="3"/>
  <c r="F530" i="3"/>
  <c r="I529" i="3"/>
  <c r="H529" i="3"/>
  <c r="G529" i="3"/>
  <c r="F529" i="3"/>
  <c r="I528" i="3"/>
  <c r="H528" i="3"/>
  <c r="G528" i="3"/>
  <c r="F528" i="3"/>
  <c r="I527" i="3"/>
  <c r="H527" i="3"/>
  <c r="G527" i="3"/>
  <c r="F527" i="3"/>
  <c r="I526" i="3"/>
  <c r="H526" i="3"/>
  <c r="G526" i="3"/>
  <c r="F526" i="3"/>
  <c r="I525" i="3"/>
  <c r="H525" i="3"/>
  <c r="G525" i="3"/>
  <c r="F525" i="3"/>
  <c r="I524" i="3"/>
  <c r="H524" i="3"/>
  <c r="G524" i="3"/>
  <c r="F524" i="3"/>
  <c r="I523" i="3"/>
  <c r="H523" i="3"/>
  <c r="G523" i="3"/>
  <c r="F523" i="3"/>
  <c r="I522" i="3"/>
  <c r="H522" i="3"/>
  <c r="G522" i="3"/>
  <c r="F522" i="3"/>
  <c r="I521" i="3"/>
  <c r="H521" i="3"/>
  <c r="G521" i="3"/>
  <c r="F521" i="3"/>
  <c r="I520" i="3"/>
  <c r="H520" i="3"/>
  <c r="G520" i="3"/>
  <c r="F520" i="3"/>
  <c r="I519" i="3"/>
  <c r="H519" i="3"/>
  <c r="G519" i="3"/>
  <c r="F519" i="3"/>
  <c r="I518" i="3"/>
  <c r="H518" i="3"/>
  <c r="G518" i="3"/>
  <c r="F518" i="3"/>
  <c r="I517" i="3"/>
  <c r="H517" i="3"/>
  <c r="G517" i="3"/>
  <c r="F517" i="3"/>
  <c r="I516" i="3"/>
  <c r="H516" i="3"/>
  <c r="G516" i="3"/>
  <c r="F516" i="3"/>
  <c r="I515" i="3"/>
  <c r="H515" i="3"/>
  <c r="G515" i="3"/>
  <c r="F515" i="3"/>
  <c r="I514" i="3"/>
  <c r="H514" i="3"/>
  <c r="G514" i="3"/>
  <c r="F514" i="3"/>
  <c r="I513" i="3"/>
  <c r="H513" i="3"/>
  <c r="G513" i="3"/>
  <c r="F513" i="3"/>
  <c r="I512" i="3"/>
  <c r="H512" i="3"/>
  <c r="G512" i="3"/>
  <c r="F512" i="3"/>
  <c r="I511" i="3"/>
  <c r="H511" i="3"/>
  <c r="G511" i="3"/>
  <c r="F511" i="3"/>
  <c r="I510" i="3"/>
  <c r="H510" i="3"/>
  <c r="G510" i="3"/>
  <c r="F510" i="3"/>
  <c r="I509" i="3"/>
  <c r="H509" i="3"/>
  <c r="G509" i="3"/>
  <c r="F509" i="3"/>
  <c r="I508" i="3"/>
  <c r="H508" i="3"/>
  <c r="G508" i="3"/>
  <c r="F508" i="3"/>
  <c r="I507" i="3"/>
  <c r="H507" i="3"/>
  <c r="G507" i="3"/>
  <c r="F507" i="3"/>
  <c r="I506" i="3"/>
  <c r="H506" i="3"/>
  <c r="G506" i="3"/>
  <c r="F506" i="3"/>
  <c r="I505" i="3"/>
  <c r="H505" i="3"/>
  <c r="G505" i="3"/>
  <c r="F505" i="3"/>
  <c r="I504" i="3"/>
  <c r="H504" i="3"/>
  <c r="G504" i="3"/>
  <c r="F504" i="3"/>
  <c r="I503" i="3"/>
  <c r="H503" i="3"/>
  <c r="G503" i="3"/>
  <c r="F503" i="3"/>
  <c r="I502" i="3"/>
  <c r="H502" i="3"/>
  <c r="G502" i="3"/>
  <c r="F502" i="3"/>
  <c r="I501" i="3"/>
  <c r="H501" i="3"/>
  <c r="G501" i="3"/>
  <c r="F501" i="3"/>
  <c r="I500" i="3"/>
  <c r="H500" i="3"/>
  <c r="G500" i="3"/>
  <c r="F500" i="3"/>
  <c r="I499" i="3"/>
  <c r="H499" i="3"/>
  <c r="G499" i="3"/>
  <c r="F499" i="3"/>
  <c r="I498" i="3"/>
  <c r="H498" i="3"/>
  <c r="G498" i="3"/>
  <c r="F498" i="3"/>
  <c r="I497" i="3"/>
  <c r="H497" i="3"/>
  <c r="G497" i="3"/>
  <c r="F497" i="3"/>
  <c r="I496" i="3"/>
  <c r="H496" i="3"/>
  <c r="G496" i="3"/>
  <c r="F496" i="3"/>
  <c r="I495" i="3"/>
  <c r="H495" i="3"/>
  <c r="G495" i="3"/>
  <c r="F495" i="3"/>
  <c r="I494" i="3"/>
  <c r="H494" i="3"/>
  <c r="G494" i="3"/>
  <c r="F494" i="3"/>
  <c r="I493" i="3"/>
  <c r="H493" i="3"/>
  <c r="G493" i="3"/>
  <c r="F493" i="3"/>
  <c r="I492" i="3"/>
  <c r="H492" i="3"/>
  <c r="G492" i="3"/>
  <c r="F492" i="3"/>
  <c r="I491" i="3"/>
  <c r="H491" i="3"/>
  <c r="G491" i="3"/>
  <c r="F491" i="3"/>
  <c r="I490" i="3"/>
  <c r="H490" i="3"/>
  <c r="G490" i="3"/>
  <c r="F490" i="3"/>
  <c r="I489" i="3"/>
  <c r="H489" i="3"/>
  <c r="G489" i="3"/>
  <c r="F489" i="3"/>
  <c r="I488" i="3"/>
  <c r="H488" i="3"/>
  <c r="G488" i="3"/>
  <c r="F488" i="3"/>
  <c r="I487" i="3"/>
  <c r="H487" i="3"/>
  <c r="G487" i="3"/>
  <c r="F487" i="3"/>
  <c r="I486" i="3"/>
  <c r="H486" i="3"/>
  <c r="G486" i="3"/>
  <c r="F486" i="3"/>
  <c r="I485" i="3"/>
  <c r="H485" i="3"/>
  <c r="G485" i="3"/>
  <c r="F485" i="3"/>
  <c r="I484" i="3"/>
  <c r="H484" i="3"/>
  <c r="G484" i="3"/>
  <c r="F484" i="3"/>
  <c r="I483" i="3"/>
  <c r="H483" i="3"/>
  <c r="G483" i="3"/>
  <c r="F483" i="3"/>
  <c r="I482" i="3"/>
  <c r="H482" i="3"/>
  <c r="G482" i="3"/>
  <c r="F482" i="3"/>
  <c r="I481" i="3"/>
  <c r="H481" i="3"/>
  <c r="G481" i="3"/>
  <c r="F481" i="3"/>
  <c r="I480" i="3"/>
  <c r="H480" i="3"/>
  <c r="G480" i="3"/>
  <c r="F480" i="3"/>
  <c r="I479" i="3"/>
  <c r="H479" i="3"/>
  <c r="G479" i="3"/>
  <c r="F479" i="3"/>
  <c r="I478" i="3"/>
  <c r="H478" i="3"/>
  <c r="G478" i="3"/>
  <c r="F478" i="3"/>
  <c r="I477" i="3"/>
  <c r="H477" i="3"/>
  <c r="G477" i="3"/>
  <c r="F477" i="3"/>
  <c r="I476" i="3"/>
  <c r="H476" i="3"/>
  <c r="G476" i="3"/>
  <c r="F476" i="3"/>
  <c r="I475" i="3"/>
  <c r="H475" i="3"/>
  <c r="G475" i="3"/>
  <c r="F475" i="3"/>
  <c r="I474" i="3"/>
  <c r="H474" i="3"/>
  <c r="G474" i="3"/>
  <c r="F474" i="3"/>
  <c r="I473" i="3"/>
  <c r="H473" i="3"/>
  <c r="G473" i="3"/>
  <c r="F473" i="3"/>
  <c r="I472" i="3"/>
  <c r="H472" i="3"/>
  <c r="G472" i="3"/>
  <c r="F472" i="3"/>
  <c r="I471" i="3"/>
  <c r="H471" i="3"/>
  <c r="G471" i="3"/>
  <c r="F471" i="3"/>
  <c r="I470" i="3"/>
  <c r="H470" i="3"/>
  <c r="G470" i="3"/>
  <c r="F470" i="3"/>
  <c r="I469" i="3"/>
  <c r="H469" i="3"/>
  <c r="G469" i="3"/>
  <c r="F469" i="3"/>
  <c r="I468" i="3"/>
  <c r="H468" i="3"/>
  <c r="G468" i="3"/>
  <c r="F468" i="3"/>
  <c r="I467" i="3"/>
  <c r="H467" i="3"/>
  <c r="G467" i="3"/>
  <c r="F467" i="3"/>
  <c r="I466" i="3"/>
  <c r="H466" i="3"/>
  <c r="G466" i="3"/>
  <c r="F466" i="3"/>
  <c r="I465" i="3"/>
  <c r="H465" i="3"/>
  <c r="G465" i="3"/>
  <c r="F465" i="3"/>
  <c r="I464" i="3"/>
  <c r="H464" i="3"/>
  <c r="G464" i="3"/>
  <c r="F464" i="3"/>
  <c r="I463" i="3"/>
  <c r="H463" i="3"/>
  <c r="G463" i="3"/>
  <c r="F463" i="3"/>
  <c r="I462" i="3"/>
  <c r="H462" i="3"/>
  <c r="G462" i="3"/>
  <c r="F462" i="3"/>
  <c r="I461" i="3"/>
  <c r="H461" i="3"/>
  <c r="G461" i="3"/>
  <c r="F461" i="3"/>
  <c r="I460" i="3"/>
  <c r="H460" i="3"/>
  <c r="G460" i="3"/>
  <c r="F460" i="3"/>
  <c r="I459" i="3"/>
  <c r="H459" i="3"/>
  <c r="G459" i="3"/>
  <c r="F459" i="3"/>
  <c r="I458" i="3"/>
  <c r="H458" i="3"/>
  <c r="G458" i="3"/>
  <c r="F458" i="3"/>
  <c r="I457" i="3"/>
  <c r="H457" i="3"/>
  <c r="G457" i="3"/>
  <c r="F457" i="3"/>
  <c r="I456" i="3"/>
  <c r="H456" i="3"/>
  <c r="G456" i="3"/>
  <c r="F456" i="3"/>
  <c r="I455" i="3"/>
  <c r="H455" i="3"/>
  <c r="G455" i="3"/>
  <c r="F455" i="3"/>
  <c r="I454" i="3"/>
  <c r="H454" i="3"/>
  <c r="G454" i="3"/>
  <c r="F454" i="3"/>
  <c r="I453" i="3"/>
  <c r="H453" i="3"/>
  <c r="G453" i="3"/>
  <c r="F453" i="3"/>
  <c r="I452" i="3"/>
  <c r="H452" i="3"/>
  <c r="G452" i="3"/>
  <c r="F452" i="3"/>
  <c r="I451" i="3"/>
  <c r="H451" i="3"/>
  <c r="G451" i="3"/>
  <c r="F451" i="3"/>
  <c r="I450" i="3"/>
  <c r="H450" i="3"/>
  <c r="G450" i="3"/>
  <c r="F450" i="3"/>
  <c r="I449" i="3"/>
  <c r="H449" i="3"/>
  <c r="G449" i="3"/>
  <c r="F449" i="3"/>
  <c r="I448" i="3"/>
  <c r="H448" i="3"/>
  <c r="G448" i="3"/>
  <c r="F448" i="3"/>
  <c r="I447" i="3"/>
  <c r="H447" i="3"/>
  <c r="G447" i="3"/>
  <c r="F447" i="3"/>
  <c r="I446" i="3"/>
  <c r="H446" i="3"/>
  <c r="G446" i="3"/>
  <c r="F446" i="3"/>
  <c r="I445" i="3"/>
  <c r="H445" i="3"/>
  <c r="G445" i="3"/>
  <c r="F445" i="3"/>
  <c r="I444" i="3"/>
  <c r="H444" i="3"/>
  <c r="G444" i="3"/>
  <c r="F444" i="3"/>
  <c r="I443" i="3"/>
  <c r="H443" i="3"/>
  <c r="G443" i="3"/>
  <c r="F443" i="3"/>
  <c r="I442" i="3"/>
  <c r="H442" i="3"/>
  <c r="G442" i="3"/>
  <c r="F442" i="3"/>
  <c r="I441" i="3"/>
  <c r="H441" i="3"/>
  <c r="G441" i="3"/>
  <c r="F441" i="3"/>
  <c r="I440" i="3"/>
  <c r="H440" i="3"/>
  <c r="G440" i="3"/>
  <c r="F440" i="3"/>
  <c r="I439" i="3"/>
  <c r="H439" i="3"/>
  <c r="G439" i="3"/>
  <c r="F439" i="3"/>
  <c r="I438" i="3"/>
  <c r="H438" i="3"/>
  <c r="G438" i="3"/>
  <c r="F438" i="3"/>
  <c r="I437" i="3"/>
  <c r="H437" i="3"/>
  <c r="G437" i="3"/>
  <c r="F437" i="3"/>
  <c r="I436" i="3"/>
  <c r="H436" i="3"/>
  <c r="G436" i="3"/>
  <c r="F436" i="3"/>
  <c r="I435" i="3"/>
  <c r="H435" i="3"/>
  <c r="G435" i="3"/>
  <c r="F435" i="3"/>
  <c r="I434" i="3"/>
  <c r="H434" i="3"/>
  <c r="G434" i="3"/>
  <c r="F434" i="3"/>
  <c r="I433" i="3"/>
  <c r="H433" i="3"/>
  <c r="G433" i="3"/>
  <c r="F433" i="3"/>
  <c r="I432" i="3"/>
  <c r="H432" i="3"/>
  <c r="G432" i="3"/>
  <c r="F432" i="3"/>
  <c r="I431" i="3"/>
  <c r="H431" i="3"/>
  <c r="G431" i="3"/>
  <c r="F431" i="3"/>
  <c r="I430" i="3"/>
  <c r="H430" i="3"/>
  <c r="G430" i="3"/>
  <c r="F430" i="3"/>
  <c r="I429" i="3"/>
  <c r="H429" i="3"/>
  <c r="G429" i="3"/>
  <c r="F429" i="3"/>
  <c r="I428" i="3"/>
  <c r="H428" i="3"/>
  <c r="G428" i="3"/>
  <c r="F428" i="3"/>
  <c r="I427" i="3"/>
  <c r="H427" i="3"/>
  <c r="G427" i="3"/>
  <c r="F427" i="3"/>
  <c r="I426" i="3"/>
  <c r="H426" i="3"/>
  <c r="G426" i="3"/>
  <c r="F426" i="3"/>
  <c r="I425" i="3"/>
  <c r="H425" i="3"/>
  <c r="G425" i="3"/>
  <c r="F425" i="3"/>
  <c r="I424" i="3"/>
  <c r="H424" i="3"/>
  <c r="G424" i="3"/>
  <c r="F424" i="3"/>
  <c r="I423" i="3"/>
  <c r="H423" i="3"/>
  <c r="G423" i="3"/>
  <c r="F423" i="3"/>
  <c r="I422" i="3"/>
  <c r="H422" i="3"/>
  <c r="G422" i="3"/>
  <c r="F422" i="3"/>
  <c r="I421" i="3"/>
  <c r="H421" i="3"/>
  <c r="G421" i="3"/>
  <c r="F421" i="3"/>
  <c r="I420" i="3"/>
  <c r="H420" i="3"/>
  <c r="G420" i="3"/>
  <c r="F420" i="3"/>
  <c r="I419" i="3"/>
  <c r="H419" i="3"/>
  <c r="G419" i="3"/>
  <c r="F419" i="3"/>
  <c r="I418" i="3"/>
  <c r="H418" i="3"/>
  <c r="G418" i="3"/>
  <c r="F418" i="3"/>
  <c r="I417" i="3"/>
  <c r="H417" i="3"/>
  <c r="G417" i="3"/>
  <c r="F417" i="3"/>
  <c r="I416" i="3"/>
  <c r="H416" i="3"/>
  <c r="G416" i="3"/>
  <c r="F416" i="3"/>
  <c r="I415" i="3"/>
  <c r="H415" i="3"/>
  <c r="G415" i="3"/>
  <c r="F415" i="3"/>
  <c r="I414" i="3"/>
  <c r="H414" i="3"/>
  <c r="G414" i="3"/>
  <c r="F414" i="3"/>
  <c r="I413" i="3"/>
  <c r="H413" i="3"/>
  <c r="G413" i="3"/>
  <c r="F413" i="3"/>
  <c r="I412" i="3"/>
  <c r="H412" i="3"/>
  <c r="G412" i="3"/>
  <c r="F412" i="3"/>
  <c r="I411" i="3"/>
  <c r="H411" i="3"/>
  <c r="G411" i="3"/>
  <c r="F411" i="3"/>
  <c r="I410" i="3"/>
  <c r="H410" i="3"/>
  <c r="G410" i="3"/>
  <c r="F410" i="3"/>
  <c r="I409" i="3"/>
  <c r="H409" i="3"/>
  <c r="G409" i="3"/>
  <c r="F409" i="3"/>
  <c r="I408" i="3"/>
  <c r="H408" i="3"/>
  <c r="G408" i="3"/>
  <c r="F408" i="3"/>
  <c r="I407" i="3"/>
  <c r="H407" i="3"/>
  <c r="G407" i="3"/>
  <c r="F407" i="3"/>
  <c r="I406" i="3"/>
  <c r="H406" i="3"/>
  <c r="G406" i="3"/>
  <c r="F406" i="3"/>
  <c r="I405" i="3"/>
  <c r="H405" i="3"/>
  <c r="G405" i="3"/>
  <c r="F405" i="3"/>
  <c r="I404" i="3"/>
  <c r="H404" i="3"/>
  <c r="G404" i="3"/>
  <c r="F404" i="3"/>
  <c r="I403" i="3"/>
  <c r="H403" i="3"/>
  <c r="G403" i="3"/>
  <c r="F403" i="3"/>
  <c r="I402" i="3"/>
  <c r="H402" i="3"/>
  <c r="G402" i="3"/>
  <c r="F402" i="3"/>
  <c r="I401" i="3"/>
  <c r="H401" i="3"/>
  <c r="G401" i="3"/>
  <c r="F401" i="3"/>
  <c r="I400" i="3"/>
  <c r="H400" i="3"/>
  <c r="G400" i="3"/>
  <c r="F400" i="3"/>
  <c r="I399" i="3"/>
  <c r="H399" i="3"/>
  <c r="G399" i="3"/>
  <c r="F399" i="3"/>
  <c r="I398" i="3"/>
  <c r="H398" i="3"/>
  <c r="G398" i="3"/>
  <c r="F398" i="3"/>
  <c r="I397" i="3"/>
  <c r="H397" i="3"/>
  <c r="G397" i="3"/>
  <c r="F397" i="3"/>
  <c r="I396" i="3"/>
  <c r="H396" i="3"/>
  <c r="G396" i="3"/>
  <c r="F396" i="3"/>
  <c r="I395" i="3"/>
  <c r="H395" i="3"/>
  <c r="G395" i="3"/>
  <c r="F395" i="3"/>
  <c r="I394" i="3"/>
  <c r="H394" i="3"/>
  <c r="G394" i="3"/>
  <c r="F394" i="3"/>
  <c r="I393" i="3"/>
  <c r="H393" i="3"/>
  <c r="G393" i="3"/>
  <c r="F393" i="3"/>
  <c r="I392" i="3"/>
  <c r="H392" i="3"/>
  <c r="G392" i="3"/>
  <c r="F392" i="3"/>
  <c r="I391" i="3"/>
  <c r="H391" i="3"/>
  <c r="G391" i="3"/>
  <c r="F391" i="3"/>
  <c r="I390" i="3"/>
  <c r="H390" i="3"/>
  <c r="G390" i="3"/>
  <c r="F390" i="3"/>
  <c r="I389" i="3"/>
  <c r="H389" i="3"/>
  <c r="G389" i="3"/>
  <c r="F389" i="3"/>
  <c r="I388" i="3"/>
  <c r="H388" i="3"/>
  <c r="G388" i="3"/>
  <c r="F388" i="3"/>
  <c r="I387" i="3"/>
  <c r="H387" i="3"/>
  <c r="G387" i="3"/>
  <c r="F387" i="3"/>
  <c r="I386" i="3"/>
  <c r="H386" i="3"/>
  <c r="G386" i="3"/>
  <c r="F386" i="3"/>
  <c r="I385" i="3"/>
  <c r="H385" i="3"/>
  <c r="G385" i="3"/>
  <c r="F385" i="3"/>
  <c r="I384" i="3"/>
  <c r="H384" i="3"/>
  <c r="G384" i="3"/>
  <c r="F384" i="3"/>
  <c r="I383" i="3"/>
  <c r="H383" i="3"/>
  <c r="G383" i="3"/>
  <c r="F383" i="3"/>
  <c r="I382" i="3"/>
  <c r="H382" i="3"/>
  <c r="G382" i="3"/>
  <c r="F382" i="3"/>
  <c r="I381" i="3"/>
  <c r="H381" i="3"/>
  <c r="G381" i="3"/>
  <c r="F381" i="3"/>
  <c r="I380" i="3"/>
  <c r="H380" i="3"/>
  <c r="G380" i="3"/>
  <c r="F380" i="3"/>
  <c r="I379" i="3"/>
  <c r="H379" i="3"/>
  <c r="G379" i="3"/>
  <c r="F379" i="3"/>
  <c r="I378" i="3"/>
  <c r="H378" i="3"/>
  <c r="G378" i="3"/>
  <c r="F378" i="3"/>
  <c r="I377" i="3"/>
  <c r="H377" i="3"/>
  <c r="G377" i="3"/>
  <c r="F377" i="3"/>
  <c r="I376" i="3"/>
  <c r="H376" i="3"/>
  <c r="G376" i="3"/>
  <c r="F376" i="3"/>
  <c r="I375" i="3"/>
  <c r="H375" i="3"/>
  <c r="G375" i="3"/>
  <c r="F375" i="3"/>
  <c r="I374" i="3"/>
  <c r="H374" i="3"/>
  <c r="G374" i="3"/>
  <c r="F374" i="3"/>
  <c r="I373" i="3"/>
  <c r="H373" i="3"/>
  <c r="G373" i="3"/>
  <c r="F373" i="3"/>
  <c r="I372" i="3"/>
  <c r="H372" i="3"/>
  <c r="G372" i="3"/>
  <c r="F372" i="3"/>
  <c r="I371" i="3"/>
  <c r="H371" i="3"/>
  <c r="G371" i="3"/>
  <c r="F371" i="3"/>
  <c r="I370" i="3"/>
  <c r="H370" i="3"/>
  <c r="G370" i="3"/>
  <c r="F370" i="3"/>
  <c r="I369" i="3"/>
  <c r="H369" i="3"/>
  <c r="G369" i="3"/>
  <c r="F369" i="3"/>
  <c r="I368" i="3"/>
  <c r="H368" i="3"/>
  <c r="G368" i="3"/>
  <c r="F368" i="3"/>
  <c r="I367" i="3"/>
  <c r="H367" i="3"/>
  <c r="G367" i="3"/>
  <c r="F367" i="3"/>
  <c r="I366" i="3"/>
  <c r="H366" i="3"/>
  <c r="G366" i="3"/>
  <c r="F366" i="3"/>
  <c r="I365" i="3"/>
  <c r="H365" i="3"/>
  <c r="G365" i="3"/>
  <c r="F365" i="3"/>
  <c r="I364" i="3"/>
  <c r="H364" i="3"/>
  <c r="G364" i="3"/>
  <c r="F364" i="3"/>
  <c r="I363" i="3"/>
  <c r="H363" i="3"/>
  <c r="G363" i="3"/>
  <c r="F363" i="3"/>
  <c r="I362" i="3"/>
  <c r="H362" i="3"/>
  <c r="G362" i="3"/>
  <c r="F362" i="3"/>
  <c r="I361" i="3"/>
  <c r="H361" i="3"/>
  <c r="G361" i="3"/>
  <c r="F361" i="3"/>
  <c r="I360" i="3"/>
  <c r="H360" i="3"/>
  <c r="G360" i="3"/>
  <c r="F360" i="3"/>
  <c r="I359" i="3"/>
  <c r="H359" i="3"/>
  <c r="G359" i="3"/>
  <c r="F359" i="3"/>
  <c r="I358" i="3"/>
  <c r="H358" i="3"/>
  <c r="G358" i="3"/>
  <c r="F358" i="3"/>
  <c r="I357" i="3"/>
  <c r="H357" i="3"/>
  <c r="G357" i="3"/>
  <c r="F357" i="3"/>
  <c r="I356" i="3"/>
  <c r="H356" i="3"/>
  <c r="G356" i="3"/>
  <c r="F356" i="3"/>
  <c r="I355" i="3"/>
  <c r="H355" i="3"/>
  <c r="G355" i="3"/>
  <c r="F355" i="3"/>
  <c r="I354" i="3"/>
  <c r="H354" i="3"/>
  <c r="G354" i="3"/>
  <c r="F354" i="3"/>
  <c r="I353" i="3"/>
  <c r="H353" i="3"/>
  <c r="G353" i="3"/>
  <c r="F353" i="3"/>
  <c r="I352" i="3"/>
  <c r="H352" i="3"/>
  <c r="G352" i="3"/>
  <c r="F352" i="3"/>
  <c r="I351" i="3"/>
  <c r="H351" i="3"/>
  <c r="G351" i="3"/>
  <c r="F351" i="3"/>
  <c r="I350" i="3"/>
  <c r="H350" i="3"/>
  <c r="G350" i="3"/>
  <c r="F350" i="3"/>
  <c r="I349" i="3"/>
  <c r="H349" i="3"/>
  <c r="G349" i="3"/>
  <c r="F349" i="3"/>
  <c r="I348" i="3"/>
  <c r="H348" i="3"/>
  <c r="G348" i="3"/>
  <c r="F348" i="3"/>
  <c r="I347" i="3"/>
  <c r="H347" i="3"/>
  <c r="G347" i="3"/>
  <c r="F347" i="3"/>
  <c r="I346" i="3"/>
  <c r="H346" i="3"/>
  <c r="G346" i="3"/>
  <c r="F346" i="3"/>
  <c r="I345" i="3"/>
  <c r="H345" i="3"/>
  <c r="G345" i="3"/>
  <c r="F345" i="3"/>
  <c r="I344" i="3"/>
  <c r="H344" i="3"/>
  <c r="G344" i="3"/>
  <c r="F344" i="3"/>
  <c r="I343" i="3"/>
  <c r="H343" i="3"/>
  <c r="G343" i="3"/>
  <c r="F343" i="3"/>
  <c r="I342" i="3"/>
  <c r="H342" i="3"/>
  <c r="G342" i="3"/>
  <c r="F342" i="3"/>
  <c r="I341" i="3"/>
  <c r="H341" i="3"/>
  <c r="G341" i="3"/>
  <c r="F341" i="3"/>
  <c r="I340" i="3"/>
  <c r="H340" i="3"/>
  <c r="G340" i="3"/>
  <c r="F340" i="3"/>
  <c r="I339" i="3"/>
  <c r="H339" i="3"/>
  <c r="G339" i="3"/>
  <c r="F339" i="3"/>
  <c r="I338" i="3"/>
  <c r="H338" i="3"/>
  <c r="G338" i="3"/>
  <c r="F338" i="3"/>
  <c r="I337" i="3"/>
  <c r="H337" i="3"/>
  <c r="G337" i="3"/>
  <c r="F337" i="3"/>
  <c r="I336" i="3"/>
  <c r="H336" i="3"/>
  <c r="G336" i="3"/>
  <c r="F336" i="3"/>
  <c r="I335" i="3"/>
  <c r="H335" i="3"/>
  <c r="G335" i="3"/>
  <c r="F335" i="3"/>
  <c r="I334" i="3"/>
  <c r="H334" i="3"/>
  <c r="G334" i="3"/>
  <c r="F334" i="3"/>
  <c r="I333" i="3"/>
  <c r="H333" i="3"/>
  <c r="G333" i="3"/>
  <c r="F333" i="3"/>
  <c r="I332" i="3"/>
  <c r="H332" i="3"/>
  <c r="G332" i="3"/>
  <c r="F332" i="3"/>
  <c r="I331" i="3"/>
  <c r="H331" i="3"/>
  <c r="G331" i="3"/>
  <c r="F331" i="3"/>
  <c r="I330" i="3"/>
  <c r="H330" i="3"/>
  <c r="G330" i="3"/>
  <c r="F330" i="3"/>
  <c r="I329" i="3"/>
  <c r="H329" i="3"/>
  <c r="G329" i="3"/>
  <c r="F329" i="3"/>
  <c r="I328" i="3"/>
  <c r="H328" i="3"/>
  <c r="G328" i="3"/>
  <c r="F328" i="3"/>
  <c r="I327" i="3"/>
  <c r="H327" i="3"/>
  <c r="G327" i="3"/>
  <c r="F327" i="3"/>
  <c r="I326" i="3"/>
  <c r="H326" i="3"/>
  <c r="G326" i="3"/>
  <c r="F326" i="3"/>
  <c r="I325" i="3"/>
  <c r="H325" i="3"/>
  <c r="G325" i="3"/>
  <c r="F325" i="3"/>
  <c r="I324" i="3"/>
  <c r="H324" i="3"/>
  <c r="G324" i="3"/>
  <c r="F324" i="3"/>
  <c r="I323" i="3"/>
  <c r="H323" i="3"/>
  <c r="G323" i="3"/>
  <c r="F323" i="3"/>
  <c r="I322" i="3"/>
  <c r="H322" i="3"/>
  <c r="G322" i="3"/>
  <c r="F322" i="3"/>
  <c r="I321" i="3"/>
  <c r="H321" i="3"/>
  <c r="G321" i="3"/>
  <c r="F321" i="3"/>
  <c r="I320" i="3"/>
  <c r="H320" i="3"/>
  <c r="G320" i="3"/>
  <c r="F320" i="3"/>
  <c r="I319" i="3"/>
  <c r="H319" i="3"/>
  <c r="G319" i="3"/>
  <c r="F319" i="3"/>
  <c r="I318" i="3"/>
  <c r="H318" i="3"/>
  <c r="G318" i="3"/>
  <c r="F318" i="3"/>
  <c r="I317" i="3"/>
  <c r="H317" i="3"/>
  <c r="G317" i="3"/>
  <c r="F317" i="3"/>
  <c r="I316" i="3"/>
  <c r="H316" i="3"/>
  <c r="G316" i="3"/>
  <c r="F316" i="3"/>
  <c r="I315" i="3"/>
  <c r="H315" i="3"/>
  <c r="G315" i="3"/>
  <c r="F315" i="3"/>
  <c r="I314" i="3"/>
  <c r="H314" i="3"/>
  <c r="G314" i="3"/>
  <c r="F314" i="3"/>
  <c r="I313" i="3"/>
  <c r="H313" i="3"/>
  <c r="G313" i="3"/>
  <c r="F313" i="3"/>
  <c r="I312" i="3"/>
  <c r="H312" i="3"/>
  <c r="G312" i="3"/>
  <c r="F312" i="3"/>
  <c r="I311" i="3"/>
  <c r="H311" i="3"/>
  <c r="G311" i="3"/>
  <c r="F311" i="3"/>
  <c r="I310" i="3"/>
  <c r="H310" i="3"/>
  <c r="G310" i="3"/>
  <c r="F310" i="3"/>
  <c r="I309" i="3"/>
  <c r="H309" i="3"/>
  <c r="G309" i="3"/>
  <c r="F309" i="3"/>
  <c r="I308" i="3"/>
  <c r="H308" i="3"/>
  <c r="G308" i="3"/>
  <c r="F308" i="3"/>
  <c r="I307" i="3"/>
  <c r="H307" i="3"/>
  <c r="G307" i="3"/>
  <c r="F307" i="3"/>
  <c r="I306" i="3"/>
  <c r="H306" i="3"/>
  <c r="G306" i="3"/>
  <c r="F306" i="3"/>
  <c r="I305" i="3"/>
  <c r="H305" i="3"/>
  <c r="G305" i="3"/>
  <c r="F305" i="3"/>
  <c r="I304" i="3"/>
  <c r="H304" i="3"/>
  <c r="G304" i="3"/>
  <c r="F304" i="3"/>
  <c r="I303" i="3"/>
  <c r="H303" i="3"/>
  <c r="G303" i="3"/>
  <c r="F303" i="3"/>
  <c r="I302" i="3"/>
  <c r="H302" i="3"/>
  <c r="G302" i="3"/>
  <c r="F302" i="3"/>
  <c r="I301" i="3"/>
  <c r="H301" i="3"/>
  <c r="G301" i="3"/>
  <c r="F301" i="3"/>
  <c r="I300" i="3"/>
  <c r="H300" i="3"/>
  <c r="G300" i="3"/>
  <c r="F300" i="3"/>
  <c r="I299" i="3"/>
  <c r="H299" i="3"/>
  <c r="G299" i="3"/>
  <c r="F299" i="3"/>
  <c r="I298" i="3"/>
  <c r="H298" i="3"/>
  <c r="G298" i="3"/>
  <c r="F298" i="3"/>
  <c r="I297" i="3"/>
  <c r="H297" i="3"/>
  <c r="G297" i="3"/>
  <c r="F297" i="3"/>
  <c r="I296" i="3"/>
  <c r="H296" i="3"/>
  <c r="G296" i="3"/>
  <c r="F296" i="3"/>
  <c r="I295" i="3"/>
  <c r="H295" i="3"/>
  <c r="G295" i="3"/>
  <c r="F295" i="3"/>
  <c r="I294" i="3"/>
  <c r="H294" i="3"/>
  <c r="G294" i="3"/>
  <c r="F294" i="3"/>
  <c r="I293" i="3"/>
  <c r="H293" i="3"/>
  <c r="G293" i="3"/>
  <c r="F293" i="3"/>
  <c r="I292" i="3"/>
  <c r="H292" i="3"/>
  <c r="G292" i="3"/>
  <c r="F292" i="3"/>
  <c r="I291" i="3"/>
  <c r="H291" i="3"/>
  <c r="G291" i="3"/>
  <c r="F291" i="3"/>
  <c r="I290" i="3"/>
  <c r="H290" i="3"/>
  <c r="G290" i="3"/>
  <c r="F290" i="3"/>
  <c r="I289" i="3"/>
  <c r="H289" i="3"/>
  <c r="G289" i="3"/>
  <c r="F289" i="3"/>
  <c r="I288" i="3"/>
  <c r="H288" i="3"/>
  <c r="G288" i="3"/>
  <c r="F288" i="3"/>
  <c r="I287" i="3"/>
  <c r="H287" i="3"/>
  <c r="G287" i="3"/>
  <c r="F287" i="3"/>
  <c r="I286" i="3"/>
  <c r="H286" i="3"/>
  <c r="G286" i="3"/>
  <c r="F286" i="3"/>
  <c r="I285" i="3"/>
  <c r="H285" i="3"/>
  <c r="G285" i="3"/>
  <c r="F285" i="3"/>
  <c r="I284" i="3"/>
  <c r="H284" i="3"/>
  <c r="G284" i="3"/>
  <c r="F284" i="3"/>
  <c r="I283" i="3"/>
  <c r="H283" i="3"/>
  <c r="G283" i="3"/>
  <c r="F283" i="3"/>
  <c r="I282" i="3"/>
  <c r="H282" i="3"/>
  <c r="G282" i="3"/>
  <c r="F282" i="3"/>
  <c r="I281" i="3"/>
  <c r="H281" i="3"/>
  <c r="G281" i="3"/>
  <c r="F281" i="3"/>
  <c r="I280" i="3"/>
  <c r="H280" i="3"/>
  <c r="G280" i="3"/>
  <c r="F280" i="3"/>
  <c r="I279" i="3"/>
  <c r="H279" i="3"/>
  <c r="G279" i="3"/>
  <c r="F279" i="3"/>
  <c r="I278" i="3"/>
  <c r="H278" i="3"/>
  <c r="G278" i="3"/>
  <c r="F278" i="3"/>
  <c r="I277" i="3"/>
  <c r="H277" i="3"/>
  <c r="G277" i="3"/>
  <c r="F277" i="3"/>
  <c r="I276" i="3"/>
  <c r="H276" i="3"/>
  <c r="G276" i="3"/>
  <c r="F276" i="3"/>
  <c r="I275" i="3"/>
  <c r="H275" i="3"/>
  <c r="G275" i="3"/>
  <c r="F275" i="3"/>
  <c r="I274" i="3"/>
  <c r="H274" i="3"/>
  <c r="G274" i="3"/>
  <c r="F274" i="3"/>
  <c r="I273" i="3"/>
  <c r="H273" i="3"/>
  <c r="G273" i="3"/>
  <c r="F273" i="3"/>
  <c r="I272" i="3"/>
  <c r="H272" i="3"/>
  <c r="G272" i="3"/>
  <c r="F272" i="3"/>
  <c r="I271" i="3"/>
  <c r="H271" i="3"/>
  <c r="G271" i="3"/>
  <c r="F271" i="3"/>
  <c r="I270" i="3"/>
  <c r="H270" i="3"/>
  <c r="G270" i="3"/>
  <c r="F270" i="3"/>
  <c r="I269" i="3"/>
  <c r="H269" i="3"/>
  <c r="G269" i="3"/>
  <c r="F269" i="3"/>
  <c r="I268" i="3"/>
  <c r="H268" i="3"/>
  <c r="G268" i="3"/>
  <c r="F268" i="3"/>
  <c r="I267" i="3"/>
  <c r="H267" i="3"/>
  <c r="G267" i="3"/>
  <c r="F267" i="3"/>
  <c r="I266" i="3"/>
  <c r="H266" i="3"/>
  <c r="G266" i="3"/>
  <c r="F266" i="3"/>
  <c r="I265" i="3"/>
  <c r="H265" i="3"/>
  <c r="G265" i="3"/>
  <c r="F265" i="3"/>
  <c r="I264" i="3"/>
  <c r="H264" i="3"/>
  <c r="G264" i="3"/>
  <c r="F264" i="3"/>
  <c r="I263" i="3"/>
  <c r="H263" i="3"/>
  <c r="G263" i="3"/>
  <c r="F263" i="3"/>
  <c r="I262" i="3"/>
  <c r="H262" i="3"/>
  <c r="G262" i="3"/>
  <c r="F262" i="3"/>
  <c r="I261" i="3"/>
  <c r="H261" i="3"/>
  <c r="G261" i="3"/>
  <c r="F261" i="3"/>
  <c r="I260" i="3"/>
  <c r="H260" i="3"/>
  <c r="G260" i="3"/>
  <c r="F260" i="3"/>
  <c r="I259" i="3"/>
  <c r="H259" i="3"/>
  <c r="G259" i="3"/>
  <c r="F259" i="3"/>
  <c r="I258" i="3"/>
  <c r="H258" i="3"/>
  <c r="G258" i="3"/>
  <c r="F258" i="3"/>
  <c r="I257" i="3"/>
  <c r="H257" i="3"/>
  <c r="G257" i="3"/>
  <c r="F257" i="3"/>
  <c r="I256" i="3"/>
  <c r="H256" i="3"/>
  <c r="G256" i="3"/>
  <c r="F256" i="3"/>
  <c r="I255" i="3"/>
  <c r="H255" i="3"/>
  <c r="G255" i="3"/>
  <c r="F255" i="3"/>
  <c r="I254" i="3"/>
  <c r="H254" i="3"/>
  <c r="G254" i="3"/>
  <c r="F254" i="3"/>
  <c r="I253" i="3"/>
  <c r="H253" i="3"/>
  <c r="G253" i="3"/>
  <c r="F253" i="3"/>
  <c r="I252" i="3"/>
  <c r="H252" i="3"/>
  <c r="G252" i="3"/>
  <c r="F252" i="3"/>
  <c r="I251" i="3"/>
  <c r="H251" i="3"/>
  <c r="G251" i="3"/>
  <c r="F251" i="3"/>
  <c r="I250" i="3"/>
  <c r="H250" i="3"/>
  <c r="G250" i="3"/>
  <c r="F250" i="3"/>
  <c r="I249" i="3"/>
  <c r="H249" i="3"/>
  <c r="G249" i="3"/>
  <c r="F249" i="3"/>
  <c r="I248" i="3"/>
  <c r="H248" i="3"/>
  <c r="G248" i="3"/>
  <c r="F248" i="3"/>
  <c r="I247" i="3"/>
  <c r="H247" i="3"/>
  <c r="G247" i="3"/>
  <c r="F247" i="3"/>
  <c r="I246" i="3"/>
  <c r="H246" i="3"/>
  <c r="G246" i="3"/>
  <c r="F246" i="3"/>
  <c r="I245" i="3"/>
  <c r="H245" i="3"/>
  <c r="G245" i="3"/>
  <c r="F245" i="3"/>
  <c r="I244" i="3"/>
  <c r="H244" i="3"/>
  <c r="G244" i="3"/>
  <c r="F244" i="3"/>
  <c r="I243" i="3"/>
  <c r="H243" i="3"/>
  <c r="G243" i="3"/>
  <c r="F243" i="3"/>
  <c r="I242" i="3"/>
  <c r="H242" i="3"/>
  <c r="G242" i="3"/>
  <c r="F242" i="3"/>
  <c r="I241" i="3"/>
  <c r="H241" i="3"/>
  <c r="G241" i="3"/>
  <c r="F241" i="3"/>
  <c r="I240" i="3"/>
  <c r="H240" i="3"/>
  <c r="G240" i="3"/>
  <c r="F240" i="3"/>
  <c r="I239" i="3"/>
  <c r="H239" i="3"/>
  <c r="G239" i="3"/>
  <c r="F239" i="3"/>
  <c r="I238" i="3"/>
  <c r="H238" i="3"/>
  <c r="G238" i="3"/>
  <c r="F238" i="3"/>
  <c r="I237" i="3"/>
  <c r="H237" i="3"/>
  <c r="G237" i="3"/>
  <c r="F237" i="3"/>
  <c r="I236" i="3"/>
  <c r="H236" i="3"/>
  <c r="G236" i="3"/>
  <c r="F236" i="3"/>
  <c r="I235" i="3"/>
  <c r="H235" i="3"/>
  <c r="G235" i="3"/>
  <c r="F235" i="3"/>
  <c r="I234" i="3"/>
  <c r="H234" i="3"/>
  <c r="G234" i="3"/>
  <c r="F234" i="3"/>
  <c r="I233" i="3"/>
  <c r="H233" i="3"/>
  <c r="G233" i="3"/>
  <c r="F233" i="3"/>
  <c r="I232" i="3"/>
  <c r="H232" i="3"/>
  <c r="G232" i="3"/>
  <c r="F232" i="3"/>
  <c r="I231" i="3"/>
  <c r="H231" i="3"/>
  <c r="G231" i="3"/>
  <c r="F231" i="3"/>
  <c r="I230" i="3"/>
  <c r="H230" i="3"/>
  <c r="G230" i="3"/>
  <c r="F230" i="3"/>
  <c r="I229" i="3"/>
  <c r="H229" i="3"/>
  <c r="G229" i="3"/>
  <c r="F229" i="3"/>
  <c r="I228" i="3"/>
  <c r="H228" i="3"/>
  <c r="G228" i="3"/>
  <c r="F228" i="3"/>
  <c r="I227" i="3"/>
  <c r="H227" i="3"/>
  <c r="G227" i="3"/>
  <c r="F227" i="3"/>
  <c r="I226" i="3"/>
  <c r="H226" i="3"/>
  <c r="G226" i="3"/>
  <c r="F226" i="3"/>
  <c r="I225" i="3"/>
  <c r="H225" i="3"/>
  <c r="G225" i="3"/>
  <c r="F225" i="3"/>
  <c r="I224" i="3"/>
  <c r="H224" i="3"/>
  <c r="G224" i="3"/>
  <c r="F224" i="3"/>
  <c r="I223" i="3"/>
  <c r="H223" i="3"/>
  <c r="G223" i="3"/>
  <c r="F223" i="3"/>
  <c r="I222" i="3"/>
  <c r="H222" i="3"/>
  <c r="G222" i="3"/>
  <c r="F222" i="3"/>
  <c r="I221" i="3"/>
  <c r="H221" i="3"/>
  <c r="G221" i="3"/>
  <c r="F221" i="3"/>
  <c r="I220" i="3"/>
  <c r="H220" i="3"/>
  <c r="G220" i="3"/>
  <c r="F220" i="3"/>
  <c r="I219" i="3"/>
  <c r="H219" i="3"/>
  <c r="G219" i="3"/>
  <c r="F219" i="3"/>
  <c r="I218" i="3"/>
  <c r="H218" i="3"/>
  <c r="G218" i="3"/>
  <c r="F218" i="3"/>
  <c r="I217" i="3"/>
  <c r="H217" i="3"/>
  <c r="G217" i="3"/>
  <c r="F217" i="3"/>
  <c r="I216" i="3"/>
  <c r="H216" i="3"/>
  <c r="G216" i="3"/>
  <c r="F216" i="3"/>
  <c r="I215" i="3"/>
  <c r="H215" i="3"/>
  <c r="G215" i="3"/>
  <c r="F215" i="3"/>
  <c r="I214" i="3"/>
  <c r="H214" i="3"/>
  <c r="G214" i="3"/>
  <c r="F214" i="3"/>
  <c r="I213" i="3"/>
  <c r="H213" i="3"/>
  <c r="G213" i="3"/>
  <c r="F213" i="3"/>
  <c r="I212" i="3"/>
  <c r="H212" i="3"/>
  <c r="G212" i="3"/>
  <c r="F212" i="3"/>
  <c r="I211" i="3"/>
  <c r="H211" i="3"/>
  <c r="G211" i="3"/>
  <c r="F211" i="3"/>
  <c r="I210" i="3"/>
  <c r="H210" i="3"/>
  <c r="G210" i="3"/>
  <c r="F210" i="3"/>
  <c r="I209" i="3"/>
  <c r="H209" i="3"/>
  <c r="G209" i="3"/>
  <c r="F209" i="3"/>
  <c r="I208" i="3"/>
  <c r="H208" i="3"/>
  <c r="G208" i="3"/>
  <c r="F208" i="3"/>
  <c r="I207" i="3"/>
  <c r="H207" i="3"/>
  <c r="G207" i="3"/>
  <c r="F207" i="3"/>
  <c r="I206" i="3"/>
  <c r="H206" i="3"/>
  <c r="G206" i="3"/>
  <c r="F206" i="3"/>
  <c r="I205" i="3"/>
  <c r="H205" i="3"/>
  <c r="G205" i="3"/>
  <c r="F205" i="3"/>
  <c r="I204" i="3"/>
  <c r="H204" i="3"/>
  <c r="G204" i="3"/>
  <c r="F204" i="3"/>
  <c r="I203" i="3"/>
  <c r="H203" i="3"/>
  <c r="G203" i="3"/>
  <c r="F203" i="3"/>
  <c r="I202" i="3"/>
  <c r="H202" i="3"/>
  <c r="G202" i="3"/>
  <c r="F202" i="3"/>
  <c r="I201" i="3"/>
  <c r="H201" i="3"/>
  <c r="G201" i="3"/>
  <c r="F201" i="3"/>
  <c r="I200" i="3"/>
  <c r="H200" i="3"/>
  <c r="G200" i="3"/>
  <c r="F200" i="3"/>
  <c r="I199" i="3"/>
  <c r="H199" i="3"/>
  <c r="G199" i="3"/>
  <c r="F199" i="3"/>
  <c r="I198" i="3"/>
  <c r="H198" i="3"/>
  <c r="G198" i="3"/>
  <c r="F198" i="3"/>
  <c r="I197" i="3"/>
  <c r="H197" i="3"/>
  <c r="G197" i="3"/>
  <c r="F197" i="3"/>
  <c r="I196" i="3"/>
  <c r="H196" i="3"/>
  <c r="G196" i="3"/>
  <c r="F196" i="3"/>
  <c r="I195" i="3"/>
  <c r="H195" i="3"/>
  <c r="G195" i="3"/>
  <c r="F195" i="3"/>
  <c r="I194" i="3"/>
  <c r="H194" i="3"/>
  <c r="G194" i="3"/>
  <c r="F194" i="3"/>
  <c r="I193" i="3"/>
  <c r="H193" i="3"/>
  <c r="G193" i="3"/>
  <c r="F193" i="3"/>
  <c r="I192" i="3"/>
  <c r="H192" i="3"/>
  <c r="G192" i="3"/>
  <c r="F192" i="3"/>
  <c r="I191" i="3"/>
  <c r="H191" i="3"/>
  <c r="G191" i="3"/>
  <c r="F191" i="3"/>
  <c r="I190" i="3"/>
  <c r="H190" i="3"/>
  <c r="G190" i="3"/>
  <c r="F190" i="3"/>
  <c r="I189" i="3"/>
  <c r="H189" i="3"/>
  <c r="G189" i="3"/>
  <c r="F189" i="3"/>
  <c r="I188" i="3"/>
  <c r="H188" i="3"/>
  <c r="G188" i="3"/>
  <c r="F188" i="3"/>
  <c r="I187" i="3"/>
  <c r="H187" i="3"/>
  <c r="G187" i="3"/>
  <c r="F187" i="3"/>
  <c r="I186" i="3"/>
  <c r="H186" i="3"/>
  <c r="G186" i="3"/>
  <c r="F186" i="3"/>
  <c r="I185" i="3"/>
  <c r="H185" i="3"/>
  <c r="G185" i="3"/>
  <c r="F185" i="3"/>
  <c r="I184" i="3"/>
  <c r="H184" i="3"/>
  <c r="G184" i="3"/>
  <c r="F184" i="3"/>
  <c r="I183" i="3"/>
  <c r="H183" i="3"/>
  <c r="G183" i="3"/>
  <c r="F183" i="3"/>
  <c r="I182" i="3"/>
  <c r="H182" i="3"/>
  <c r="G182" i="3"/>
  <c r="F182" i="3"/>
  <c r="I181" i="3"/>
  <c r="H181" i="3"/>
  <c r="G181" i="3"/>
  <c r="F181" i="3"/>
  <c r="I180" i="3"/>
  <c r="H180" i="3"/>
  <c r="G180" i="3"/>
  <c r="F180" i="3"/>
  <c r="I179" i="3"/>
  <c r="H179" i="3"/>
  <c r="G179" i="3"/>
  <c r="F179" i="3"/>
  <c r="I178" i="3"/>
  <c r="H178" i="3"/>
  <c r="G178" i="3"/>
  <c r="F178" i="3"/>
  <c r="I177" i="3"/>
  <c r="H177" i="3"/>
  <c r="G177" i="3"/>
  <c r="F177" i="3"/>
  <c r="I176" i="3"/>
  <c r="H176" i="3"/>
  <c r="G176" i="3"/>
  <c r="F176" i="3"/>
  <c r="I175" i="3"/>
  <c r="H175" i="3"/>
  <c r="G175" i="3"/>
  <c r="F175" i="3"/>
  <c r="I174" i="3"/>
  <c r="H174" i="3"/>
  <c r="G174" i="3"/>
  <c r="F174" i="3"/>
  <c r="I173" i="3"/>
  <c r="H173" i="3"/>
  <c r="G173" i="3"/>
  <c r="F173" i="3"/>
  <c r="I172" i="3"/>
  <c r="H172" i="3"/>
  <c r="G172" i="3"/>
  <c r="F172" i="3"/>
  <c r="I171" i="3"/>
  <c r="H171" i="3"/>
  <c r="G171" i="3"/>
  <c r="F171" i="3"/>
  <c r="I170" i="3"/>
  <c r="H170" i="3"/>
  <c r="G170" i="3"/>
  <c r="F170" i="3"/>
  <c r="I169" i="3"/>
  <c r="H169" i="3"/>
  <c r="G169" i="3"/>
  <c r="F169" i="3"/>
  <c r="I168" i="3"/>
  <c r="H168" i="3"/>
  <c r="G168" i="3"/>
  <c r="F168" i="3"/>
  <c r="I167" i="3"/>
  <c r="H167" i="3"/>
  <c r="G167" i="3"/>
  <c r="F167" i="3"/>
  <c r="I166" i="3"/>
  <c r="H166" i="3"/>
  <c r="G166" i="3"/>
  <c r="F166" i="3"/>
  <c r="I165" i="3"/>
  <c r="H165" i="3"/>
  <c r="G165" i="3"/>
  <c r="F165" i="3"/>
  <c r="I164" i="3"/>
  <c r="H164" i="3"/>
  <c r="G164" i="3"/>
  <c r="F164" i="3"/>
  <c r="I163" i="3"/>
  <c r="H163" i="3"/>
  <c r="G163" i="3"/>
  <c r="F163" i="3"/>
  <c r="I162" i="3"/>
  <c r="H162" i="3"/>
  <c r="G162" i="3"/>
  <c r="F162" i="3"/>
  <c r="I161" i="3"/>
  <c r="H161" i="3"/>
  <c r="G161" i="3"/>
  <c r="F161" i="3"/>
  <c r="I160" i="3"/>
  <c r="H160" i="3"/>
  <c r="G160" i="3"/>
  <c r="F160" i="3"/>
  <c r="I159" i="3"/>
  <c r="H159" i="3"/>
  <c r="G159" i="3"/>
  <c r="F159" i="3"/>
  <c r="I158" i="3"/>
  <c r="H158" i="3"/>
  <c r="G158" i="3"/>
  <c r="F158" i="3"/>
  <c r="I157" i="3"/>
  <c r="H157" i="3"/>
  <c r="G157" i="3"/>
  <c r="F157" i="3"/>
  <c r="I156" i="3"/>
  <c r="H156" i="3"/>
  <c r="G156" i="3"/>
  <c r="F156" i="3"/>
  <c r="I155" i="3"/>
  <c r="H155" i="3"/>
  <c r="G155" i="3"/>
  <c r="F155" i="3"/>
  <c r="I154" i="3"/>
  <c r="H154" i="3"/>
  <c r="G154" i="3"/>
  <c r="F154" i="3"/>
  <c r="I153" i="3"/>
  <c r="H153" i="3"/>
  <c r="G153" i="3"/>
  <c r="F153" i="3"/>
  <c r="I152" i="3"/>
  <c r="H152" i="3"/>
  <c r="G152" i="3"/>
  <c r="F152" i="3"/>
  <c r="I151" i="3"/>
  <c r="H151" i="3"/>
  <c r="G151" i="3"/>
  <c r="F151" i="3"/>
  <c r="I150" i="3"/>
  <c r="H150" i="3"/>
  <c r="G150" i="3"/>
  <c r="F150" i="3"/>
  <c r="I149" i="3"/>
  <c r="H149" i="3"/>
  <c r="G149" i="3"/>
  <c r="F149" i="3"/>
  <c r="I148" i="3"/>
  <c r="H148" i="3"/>
  <c r="G148" i="3"/>
  <c r="F148" i="3"/>
  <c r="I147" i="3"/>
  <c r="H147" i="3"/>
  <c r="G147" i="3"/>
  <c r="F147" i="3"/>
  <c r="I146" i="3"/>
  <c r="H146" i="3"/>
  <c r="G146" i="3"/>
  <c r="F146" i="3"/>
  <c r="I145" i="3"/>
  <c r="H145" i="3"/>
  <c r="G145" i="3"/>
  <c r="F145" i="3"/>
  <c r="I144" i="3"/>
  <c r="H144" i="3"/>
  <c r="G144" i="3"/>
  <c r="F144" i="3"/>
  <c r="I143" i="3"/>
  <c r="H143" i="3"/>
  <c r="G143" i="3"/>
  <c r="F143" i="3"/>
  <c r="I142" i="3"/>
  <c r="H142" i="3"/>
  <c r="G142" i="3"/>
  <c r="F142" i="3"/>
  <c r="I141" i="3"/>
  <c r="H141" i="3"/>
  <c r="G141" i="3"/>
  <c r="F141" i="3"/>
  <c r="I140" i="3"/>
  <c r="H140" i="3"/>
  <c r="G140" i="3"/>
  <c r="F140" i="3"/>
  <c r="I139" i="3"/>
  <c r="H139" i="3"/>
  <c r="G139" i="3"/>
  <c r="F139" i="3"/>
  <c r="I138" i="3"/>
  <c r="H138" i="3"/>
  <c r="G138" i="3"/>
  <c r="F138" i="3"/>
  <c r="I137" i="3"/>
  <c r="H137" i="3"/>
  <c r="G137" i="3"/>
  <c r="F137" i="3"/>
  <c r="I136" i="3"/>
  <c r="H136" i="3"/>
  <c r="F136" i="3"/>
  <c r="G136" i="3" s="1"/>
  <c r="N135" i="3"/>
  <c r="N136" i="3" s="1"/>
  <c r="I135" i="3"/>
  <c r="H135" i="3"/>
  <c r="F135" i="3"/>
  <c r="G135" i="3" s="1"/>
  <c r="I134" i="3"/>
  <c r="H134" i="3"/>
  <c r="F134" i="3"/>
  <c r="G134" i="3" s="1"/>
  <c r="I133" i="3"/>
  <c r="H133" i="3"/>
  <c r="F133" i="3"/>
  <c r="G133" i="3" s="1"/>
  <c r="I132" i="3"/>
  <c r="H132" i="3"/>
  <c r="F132" i="3"/>
  <c r="G132" i="3" s="1"/>
  <c r="I131" i="3"/>
  <c r="H131" i="3"/>
  <c r="F131" i="3"/>
  <c r="G131" i="3" s="1"/>
  <c r="I130" i="3"/>
  <c r="H130" i="3"/>
  <c r="F130" i="3"/>
  <c r="G130" i="3" s="1"/>
  <c r="I129" i="3"/>
  <c r="H129" i="3"/>
  <c r="F129" i="3"/>
  <c r="G129" i="3" s="1"/>
  <c r="I128" i="3"/>
  <c r="H128" i="3"/>
  <c r="F128" i="3"/>
  <c r="G128" i="3" s="1"/>
  <c r="I127" i="3"/>
  <c r="H127" i="3"/>
  <c r="F127" i="3"/>
  <c r="G127" i="3" s="1"/>
  <c r="I126" i="3"/>
  <c r="H126" i="3"/>
  <c r="F126" i="3"/>
  <c r="G126" i="3" s="1"/>
  <c r="I125" i="3"/>
  <c r="H125" i="3"/>
  <c r="F125" i="3"/>
  <c r="G125" i="3" s="1"/>
  <c r="I124" i="3"/>
  <c r="H124" i="3"/>
  <c r="F124" i="3"/>
  <c r="G124" i="3" s="1"/>
  <c r="I123" i="3"/>
  <c r="H123" i="3"/>
  <c r="F123" i="3"/>
  <c r="G123" i="3" s="1"/>
  <c r="I122" i="3"/>
  <c r="H122" i="3"/>
  <c r="F122" i="3"/>
  <c r="G122" i="3" s="1"/>
  <c r="I121" i="3"/>
  <c r="H121" i="3"/>
  <c r="F121" i="3"/>
  <c r="G121" i="3" s="1"/>
  <c r="I120" i="3"/>
  <c r="H120" i="3"/>
  <c r="F120" i="3"/>
  <c r="G120" i="3" s="1"/>
  <c r="I119" i="3"/>
  <c r="H119" i="3"/>
  <c r="F119" i="3"/>
  <c r="G119" i="3" s="1"/>
  <c r="I118" i="3"/>
  <c r="H118" i="3"/>
  <c r="F118" i="3"/>
  <c r="G118" i="3" s="1"/>
  <c r="I117" i="3"/>
  <c r="H117" i="3"/>
  <c r="F117" i="3"/>
  <c r="G117" i="3" s="1"/>
  <c r="I116" i="3"/>
  <c r="H116" i="3"/>
  <c r="F116" i="3"/>
  <c r="G116" i="3" s="1"/>
  <c r="I115" i="3"/>
  <c r="H115" i="3"/>
  <c r="F115" i="3"/>
  <c r="G115" i="3" s="1"/>
  <c r="I114" i="3"/>
  <c r="H114" i="3"/>
  <c r="F114" i="3"/>
  <c r="G114" i="3" s="1"/>
  <c r="I113" i="3"/>
  <c r="H113" i="3"/>
  <c r="F113" i="3"/>
  <c r="G113" i="3" s="1"/>
  <c r="I112" i="3"/>
  <c r="H112" i="3"/>
  <c r="F112" i="3"/>
  <c r="G112" i="3" s="1"/>
  <c r="I111" i="3"/>
  <c r="H111" i="3"/>
  <c r="F111" i="3"/>
  <c r="G111" i="3" s="1"/>
  <c r="I110" i="3"/>
  <c r="H110" i="3"/>
  <c r="F110" i="3"/>
  <c r="G110" i="3" s="1"/>
  <c r="I109" i="3"/>
  <c r="H109" i="3"/>
  <c r="F109" i="3"/>
  <c r="G109" i="3" s="1"/>
  <c r="I108" i="3"/>
  <c r="H108" i="3"/>
  <c r="F108" i="3"/>
  <c r="G108" i="3" s="1"/>
  <c r="I107" i="3"/>
  <c r="H107" i="3"/>
  <c r="F107" i="3"/>
  <c r="G107" i="3" s="1"/>
  <c r="I106" i="3"/>
  <c r="H106" i="3"/>
  <c r="F106" i="3"/>
  <c r="G106" i="3" s="1"/>
  <c r="I105" i="3"/>
  <c r="H105" i="3"/>
  <c r="F105" i="3"/>
  <c r="G105" i="3" s="1"/>
  <c r="I104" i="3"/>
  <c r="H104" i="3"/>
  <c r="F104" i="3"/>
  <c r="G104" i="3" s="1"/>
  <c r="I103" i="3"/>
  <c r="H103" i="3"/>
  <c r="F103" i="3"/>
  <c r="G103" i="3" s="1"/>
  <c r="I102" i="3"/>
  <c r="H102" i="3"/>
  <c r="F102" i="3"/>
  <c r="G102" i="3" s="1"/>
  <c r="I101" i="3"/>
  <c r="H101" i="3"/>
  <c r="F101" i="3"/>
  <c r="G101" i="3" s="1"/>
  <c r="I100" i="3"/>
  <c r="H100" i="3"/>
  <c r="F100" i="3"/>
  <c r="G100" i="3" s="1"/>
  <c r="I99" i="3"/>
  <c r="H99" i="3"/>
  <c r="F99" i="3"/>
  <c r="G99" i="3" s="1"/>
  <c r="I98" i="3"/>
  <c r="H98" i="3"/>
  <c r="F98" i="3"/>
  <c r="G98" i="3" s="1"/>
  <c r="I97" i="3"/>
  <c r="H97" i="3"/>
  <c r="F97" i="3"/>
  <c r="G97" i="3" s="1"/>
  <c r="I96" i="3"/>
  <c r="H96" i="3"/>
  <c r="F96" i="3"/>
  <c r="G96" i="3" s="1"/>
  <c r="I95" i="3"/>
  <c r="H95" i="3"/>
  <c r="F95" i="3"/>
  <c r="G95" i="3" s="1"/>
  <c r="I94" i="3"/>
  <c r="H94" i="3"/>
  <c r="F94" i="3"/>
  <c r="G94" i="3" s="1"/>
  <c r="I93" i="3"/>
  <c r="H93" i="3"/>
  <c r="F93" i="3"/>
  <c r="G93" i="3" s="1"/>
  <c r="I92" i="3"/>
  <c r="H92" i="3"/>
  <c r="F92" i="3"/>
  <c r="G92" i="3" s="1"/>
  <c r="I91" i="3"/>
  <c r="H91" i="3"/>
  <c r="F91" i="3"/>
  <c r="G91" i="3" s="1"/>
  <c r="I90" i="3"/>
  <c r="H90" i="3"/>
  <c r="F90" i="3"/>
  <c r="G90" i="3" s="1"/>
  <c r="I89" i="3"/>
  <c r="H89" i="3"/>
  <c r="F89" i="3"/>
  <c r="G89" i="3" s="1"/>
  <c r="I88" i="3"/>
  <c r="H88" i="3"/>
  <c r="F88" i="3"/>
  <c r="G88" i="3" s="1"/>
  <c r="I87" i="3"/>
  <c r="H87" i="3"/>
  <c r="F87" i="3"/>
  <c r="G87" i="3" s="1"/>
  <c r="I86" i="3"/>
  <c r="H86" i="3"/>
  <c r="F86" i="3"/>
  <c r="G86" i="3" s="1"/>
  <c r="I85" i="3"/>
  <c r="H85" i="3"/>
  <c r="F85" i="3"/>
  <c r="G85" i="3" s="1"/>
  <c r="I84" i="3"/>
  <c r="H84" i="3"/>
  <c r="F84" i="3"/>
  <c r="G84" i="3" s="1"/>
  <c r="I83" i="3"/>
  <c r="H83" i="3"/>
  <c r="F83" i="3"/>
  <c r="G83" i="3" s="1"/>
  <c r="I82" i="3"/>
  <c r="H82" i="3"/>
  <c r="F82" i="3"/>
  <c r="G82" i="3" s="1"/>
  <c r="I81" i="3"/>
  <c r="H81" i="3"/>
  <c r="F81" i="3"/>
  <c r="G81" i="3" s="1"/>
  <c r="I80" i="3"/>
  <c r="H80" i="3"/>
  <c r="F80" i="3"/>
  <c r="G80" i="3" s="1"/>
  <c r="I79" i="3"/>
  <c r="H79" i="3"/>
  <c r="F79" i="3"/>
  <c r="G79" i="3" s="1"/>
  <c r="I78" i="3"/>
  <c r="H78" i="3"/>
  <c r="F78" i="3"/>
  <c r="G78" i="3" s="1"/>
  <c r="I77" i="3"/>
  <c r="H77" i="3"/>
  <c r="F77" i="3"/>
  <c r="G77" i="3" s="1"/>
  <c r="I76" i="3"/>
  <c r="H76" i="3"/>
  <c r="F76" i="3"/>
  <c r="G76" i="3" s="1"/>
  <c r="I75" i="3"/>
  <c r="H75" i="3"/>
  <c r="F75" i="3"/>
  <c r="G75" i="3" s="1"/>
  <c r="I74" i="3"/>
  <c r="H74" i="3"/>
  <c r="F74" i="3"/>
  <c r="G74" i="3" s="1"/>
  <c r="I73" i="3"/>
  <c r="H73" i="3"/>
  <c r="F73" i="3"/>
  <c r="G73" i="3" s="1"/>
  <c r="I72" i="3"/>
  <c r="H72" i="3"/>
  <c r="F72" i="3"/>
  <c r="G72" i="3" s="1"/>
  <c r="I71" i="3"/>
  <c r="H71" i="3"/>
  <c r="F71" i="3"/>
  <c r="G71" i="3" s="1"/>
  <c r="I70" i="3"/>
  <c r="H70" i="3"/>
  <c r="F70" i="3"/>
  <c r="G70" i="3" s="1"/>
  <c r="I69" i="3"/>
  <c r="H69" i="3"/>
  <c r="F69" i="3"/>
  <c r="G69" i="3" s="1"/>
  <c r="I68" i="3"/>
  <c r="H68" i="3"/>
  <c r="F68" i="3"/>
  <c r="G68" i="3" s="1"/>
  <c r="I67" i="3"/>
  <c r="H67" i="3"/>
  <c r="F67" i="3"/>
  <c r="G67" i="3" s="1"/>
  <c r="I66" i="3"/>
  <c r="H66" i="3"/>
  <c r="F66" i="3"/>
  <c r="G66" i="3" s="1"/>
  <c r="I65" i="3"/>
  <c r="H65" i="3"/>
  <c r="F65" i="3"/>
  <c r="G65" i="3" s="1"/>
  <c r="I64" i="3"/>
  <c r="H64" i="3"/>
  <c r="F64" i="3"/>
  <c r="G64" i="3" s="1"/>
  <c r="I63" i="3"/>
  <c r="H63" i="3"/>
  <c r="F63" i="3"/>
  <c r="G63" i="3" s="1"/>
  <c r="I62" i="3"/>
  <c r="H62" i="3"/>
  <c r="F62" i="3"/>
  <c r="G62" i="3" s="1"/>
  <c r="I61" i="3"/>
  <c r="H61" i="3"/>
  <c r="F61" i="3"/>
  <c r="G61" i="3" s="1"/>
  <c r="I60" i="3"/>
  <c r="H60" i="3"/>
  <c r="F60" i="3"/>
  <c r="G60" i="3" s="1"/>
  <c r="I59" i="3"/>
  <c r="H59" i="3"/>
  <c r="F59" i="3"/>
  <c r="G59" i="3" s="1"/>
  <c r="I58" i="3"/>
  <c r="H58" i="3"/>
  <c r="F58" i="3"/>
  <c r="G58" i="3" s="1"/>
  <c r="I57" i="3"/>
  <c r="H57" i="3"/>
  <c r="F57" i="3"/>
  <c r="G57" i="3" s="1"/>
  <c r="I56" i="3"/>
  <c r="H56" i="3"/>
  <c r="F56" i="3"/>
  <c r="G56" i="3" s="1"/>
  <c r="I55" i="3"/>
  <c r="H55" i="3"/>
  <c r="F55" i="3"/>
  <c r="G55" i="3" s="1"/>
  <c r="I54" i="3"/>
  <c r="H54" i="3"/>
  <c r="F54" i="3"/>
  <c r="G54" i="3" s="1"/>
  <c r="I53" i="3"/>
  <c r="H53" i="3"/>
  <c r="F53" i="3"/>
  <c r="G53" i="3" s="1"/>
  <c r="I52" i="3"/>
  <c r="H52" i="3"/>
  <c r="G52" i="3"/>
  <c r="F52" i="3"/>
  <c r="I51" i="3"/>
  <c r="H51" i="3"/>
  <c r="G51" i="3"/>
  <c r="F51" i="3"/>
  <c r="I50" i="3"/>
  <c r="H50" i="3"/>
  <c r="G50" i="3"/>
  <c r="F50" i="3"/>
  <c r="I49" i="3"/>
  <c r="H49" i="3"/>
  <c r="G49" i="3"/>
  <c r="F49" i="3"/>
  <c r="I48" i="3"/>
  <c r="H48" i="3"/>
  <c r="G48" i="3"/>
  <c r="F48" i="3"/>
  <c r="I47" i="3"/>
  <c r="H47" i="3"/>
  <c r="G47" i="3"/>
  <c r="F47" i="3"/>
  <c r="I46" i="3"/>
  <c r="H46" i="3"/>
  <c r="G46" i="3"/>
  <c r="F46" i="3"/>
  <c r="I45" i="3"/>
  <c r="H45" i="3"/>
  <c r="G45" i="3"/>
  <c r="F45" i="3"/>
  <c r="I44" i="3"/>
  <c r="H44" i="3"/>
  <c r="G44" i="3"/>
  <c r="F44" i="3"/>
  <c r="I43" i="3"/>
  <c r="H43" i="3"/>
  <c r="G43" i="3"/>
  <c r="F43" i="3"/>
  <c r="I42" i="3"/>
  <c r="H42" i="3"/>
  <c r="G42" i="3"/>
  <c r="F42" i="3"/>
  <c r="I41" i="3"/>
  <c r="H41" i="3"/>
  <c r="G41" i="3"/>
  <c r="F41" i="3"/>
  <c r="I40" i="3"/>
  <c r="H40" i="3"/>
  <c r="G40" i="3"/>
  <c r="F40" i="3"/>
  <c r="I39" i="3"/>
  <c r="H39" i="3"/>
  <c r="G39" i="3"/>
  <c r="F39" i="3"/>
  <c r="I38" i="3"/>
  <c r="H38" i="3"/>
  <c r="G38" i="3"/>
  <c r="F38" i="3"/>
  <c r="I37" i="3"/>
  <c r="H37" i="3"/>
  <c r="G37" i="3"/>
  <c r="F37" i="3"/>
  <c r="I36" i="3"/>
  <c r="H36" i="3"/>
  <c r="G36" i="3"/>
  <c r="F36" i="3"/>
  <c r="L35" i="3"/>
  <c r="I35" i="3"/>
  <c r="H35" i="3"/>
  <c r="F35" i="3"/>
  <c r="G35" i="3" s="1"/>
  <c r="I34" i="3"/>
  <c r="H34" i="3"/>
  <c r="F34" i="3"/>
  <c r="G34" i="3" s="1"/>
  <c r="I33" i="3"/>
  <c r="H33" i="3"/>
  <c r="F33" i="3"/>
  <c r="G33" i="3" s="1"/>
  <c r="I32" i="3"/>
  <c r="H32" i="3"/>
  <c r="F32" i="3"/>
  <c r="G32" i="3" s="1"/>
  <c r="I31" i="3"/>
  <c r="H31" i="3"/>
  <c r="F31" i="3"/>
  <c r="G31" i="3" s="1"/>
  <c r="I30" i="3"/>
  <c r="H30" i="3"/>
  <c r="F30" i="3"/>
  <c r="G30" i="3" s="1"/>
  <c r="I29" i="3"/>
  <c r="H29" i="3"/>
  <c r="F29" i="3"/>
  <c r="G29" i="3" s="1"/>
  <c r="I28" i="3"/>
  <c r="H28" i="3"/>
  <c r="F28" i="3"/>
  <c r="G28" i="3" s="1"/>
  <c r="I27" i="3"/>
  <c r="H27" i="3"/>
  <c r="F27" i="3"/>
  <c r="G27" i="3" s="1"/>
  <c r="I26" i="3"/>
  <c r="H26" i="3"/>
  <c r="F26" i="3"/>
  <c r="G26" i="3" s="1"/>
  <c r="I25" i="3"/>
  <c r="H25" i="3"/>
  <c r="F25" i="3"/>
  <c r="G25" i="3" s="1"/>
  <c r="I24" i="3"/>
  <c r="H24" i="3"/>
  <c r="F24" i="3"/>
  <c r="G24" i="3" s="1"/>
  <c r="I23" i="3"/>
  <c r="H23" i="3"/>
  <c r="F23" i="3"/>
  <c r="I22" i="3"/>
  <c r="H22" i="3"/>
  <c r="G22" i="3"/>
  <c r="F22" i="3"/>
  <c r="I21" i="3"/>
  <c r="H21" i="3"/>
  <c r="G21" i="3"/>
  <c r="F21" i="3"/>
  <c r="I20" i="3"/>
  <c r="H20" i="3"/>
  <c r="G20" i="3"/>
  <c r="F20" i="3"/>
  <c r="I19" i="3"/>
  <c r="H19" i="3"/>
  <c r="G19" i="3"/>
  <c r="F19" i="3"/>
  <c r="I18" i="3"/>
  <c r="H18" i="3"/>
  <c r="G18" i="3"/>
  <c r="F18" i="3"/>
  <c r="I17" i="3"/>
  <c r="H17" i="3"/>
  <c r="G17" i="3"/>
  <c r="F17" i="3"/>
  <c r="I16" i="3"/>
  <c r="H16" i="3"/>
  <c r="G16" i="3"/>
  <c r="F16" i="3"/>
  <c r="I15" i="3"/>
  <c r="H15" i="3"/>
  <c r="G15" i="3"/>
  <c r="F15" i="3"/>
  <c r="I14" i="3"/>
  <c r="H14" i="3"/>
  <c r="G14" i="3"/>
  <c r="F14" i="3"/>
  <c r="I13" i="3"/>
  <c r="H13" i="3"/>
  <c r="G13" i="3"/>
  <c r="F13" i="3"/>
  <c r="I12" i="3"/>
  <c r="H12" i="3"/>
  <c r="G12" i="3"/>
  <c r="F12" i="3"/>
  <c r="I11" i="3"/>
  <c r="H11" i="3"/>
  <c r="G11" i="3"/>
  <c r="F11" i="3"/>
  <c r="I10" i="3"/>
  <c r="H10" i="3"/>
  <c r="G10" i="3"/>
  <c r="F10" i="3"/>
  <c r="I9" i="3"/>
  <c r="H9" i="3"/>
  <c r="G9" i="3"/>
  <c r="F9" i="3"/>
  <c r="P8" i="3"/>
  <c r="O8" i="3"/>
  <c r="I8" i="3"/>
  <c r="H8" i="3"/>
  <c r="P7" i="3"/>
  <c r="O7" i="3"/>
  <c r="I7" i="3"/>
  <c r="H7" i="3"/>
  <c r="P6" i="3"/>
  <c r="O6" i="3"/>
  <c r="I6" i="3"/>
  <c r="H6" i="3"/>
  <c r="P5" i="3"/>
  <c r="O5" i="3"/>
  <c r="K5" i="3"/>
  <c r="I5" i="3"/>
  <c r="H5" i="3"/>
  <c r="O4" i="3"/>
  <c r="P4" i="3" s="1"/>
  <c r="I4" i="3"/>
  <c r="H4" i="3"/>
  <c r="O3" i="3"/>
  <c r="P3" i="3" s="1"/>
  <c r="I3" i="3"/>
  <c r="H3" i="3"/>
  <c r="O2" i="3"/>
  <c r="P2" i="3" s="1"/>
  <c r="R3" i="3" s="1"/>
  <c r="I2" i="3"/>
  <c r="H2" i="3"/>
  <c r="F37" i="6" l="1" a="1"/>
  <c r="F37" i="6" s="1"/>
  <c r="E49" i="6" a="1"/>
  <c r="E49" i="6" s="1"/>
  <c r="E34" i="6" a="1"/>
  <c r="E34" i="6" s="1"/>
  <c r="F35" i="6" a="1"/>
  <c r="F35" i="6" s="1"/>
  <c r="F43" i="6" a="1"/>
  <c r="F43" i="6" s="1"/>
  <c r="E46" i="6" a="1"/>
  <c r="E46" i="6" s="1"/>
  <c r="F47" i="6" a="1"/>
  <c r="F47" i="6" s="1"/>
  <c r="E36" i="6" a="1"/>
  <c r="E36" i="6" s="1"/>
  <c r="F40" i="6" a="1"/>
  <c r="F40" i="6" s="1"/>
  <c r="E40" i="6" a="1"/>
  <c r="E40" i="6" s="1"/>
  <c r="E37" i="6" a="1"/>
  <c r="E37" i="6" s="1"/>
  <c r="F42" i="6" a="1"/>
  <c r="F42" i="6" s="1"/>
  <c r="E39" i="6" a="1"/>
  <c r="E39" i="6" s="1"/>
  <c r="F50" i="6" a="1"/>
  <c r="F50" i="6" s="1"/>
  <c r="E45" i="6" a="1"/>
  <c r="E45" i="6" s="1"/>
  <c r="E47" i="6" a="1"/>
  <c r="E47" i="6" s="1"/>
  <c r="F34" i="6" a="1"/>
  <c r="F34" i="6" s="1"/>
  <c r="E35" i="6" a="1"/>
  <c r="E35" i="6" s="1"/>
  <c r="F38" i="6" a="1"/>
  <c r="F38" i="6" s="1"/>
  <c r="F39" i="6" a="1"/>
  <c r="F39" i="6" s="1"/>
  <c r="E41" i="6" a="1"/>
  <c r="E41" i="6" s="1"/>
  <c r="F44" i="6" a="1"/>
  <c r="F44" i="6" s="1"/>
  <c r="F48" i="6" a="1"/>
  <c r="F48" i="6" s="1"/>
  <c r="E42" i="6" a="1"/>
  <c r="E42" i="6" s="1"/>
  <c r="F45" i="6" a="1"/>
  <c r="F45" i="6" s="1"/>
  <c r="F36" i="6" a="1"/>
  <c r="F36" i="6" s="1"/>
  <c r="E38" i="6" a="1"/>
  <c r="E38" i="6" s="1"/>
  <c r="F41" i="6" a="1"/>
  <c r="F41" i="6" s="1"/>
  <c r="E43" i="6" a="1"/>
  <c r="E43" i="6" s="1"/>
  <c r="E44" i="6" a="1"/>
  <c r="E44" i="6" s="1"/>
  <c r="F46" i="6" a="1"/>
  <c r="F46" i="6" s="1"/>
  <c r="E48" i="6" a="1"/>
  <c r="E48" i="6" s="1"/>
  <c r="C3" i="6"/>
  <c r="F3" i="6" s="1" a="1"/>
  <c r="F3" i="6" s="1"/>
  <c r="D32" i="6"/>
  <c r="C32" i="6"/>
  <c r="D25" i="6"/>
  <c r="C25" i="6"/>
  <c r="D28" i="6"/>
  <c r="C28" i="6"/>
  <c r="D13" i="6"/>
  <c r="C13" i="6"/>
  <c r="D22" i="6"/>
  <c r="C22" i="6"/>
  <c r="D6" i="6"/>
  <c r="C6" i="6"/>
  <c r="D9" i="6"/>
  <c r="C9" i="6"/>
  <c r="D12" i="6"/>
  <c r="C12" i="6"/>
  <c r="D29" i="6"/>
  <c r="C29" i="6"/>
  <c r="D16" i="6"/>
  <c r="C16" i="6"/>
  <c r="D18" i="6"/>
  <c r="C18" i="6"/>
  <c r="J11" i="5"/>
  <c r="K11" i="5"/>
  <c r="E11" i="5"/>
  <c r="F11" i="5" s="1"/>
  <c r="I11" i="5"/>
  <c r="D2" i="6"/>
  <c r="C2" i="6"/>
  <c r="D4" i="6"/>
  <c r="C4" i="6"/>
  <c r="D10" i="6"/>
  <c r="C10" i="6"/>
  <c r="D17" i="6"/>
  <c r="C17" i="6"/>
  <c r="D20" i="6"/>
  <c r="C20" i="6"/>
  <c r="D26" i="6"/>
  <c r="C26" i="6"/>
  <c r="E33" i="6" a="1"/>
  <c r="E33" i="6" s="1"/>
  <c r="F33" i="6" a="1"/>
  <c r="F33" i="6" s="1"/>
  <c r="D5" i="6"/>
  <c r="C5" i="6"/>
  <c r="D8" i="6"/>
  <c r="C8" i="6"/>
  <c r="D14" i="6"/>
  <c r="C14" i="6"/>
  <c r="D21" i="6"/>
  <c r="C21" i="6"/>
  <c r="D24" i="6"/>
  <c r="C24" i="6"/>
  <c r="D30" i="6"/>
  <c r="C30" i="6"/>
  <c r="D7" i="6"/>
  <c r="C7" i="6"/>
  <c r="D11" i="6"/>
  <c r="C11" i="6"/>
  <c r="D15" i="6"/>
  <c r="C15" i="6"/>
  <c r="D19" i="6"/>
  <c r="C19" i="6"/>
  <c r="D23" i="6"/>
  <c r="C23" i="6"/>
  <c r="D27" i="6"/>
  <c r="C27" i="6"/>
  <c r="D31" i="6"/>
  <c r="C31" i="6"/>
  <c r="F49" i="6" a="1"/>
  <c r="F49" i="6" s="1"/>
  <c r="E50" i="6" a="1"/>
  <c r="E50" i="6" s="1"/>
  <c r="E3" i="6" l="1" a="1"/>
  <c r="E3" i="6" s="1"/>
  <c r="F31" i="6" a="1"/>
  <c r="F31" i="6" s="1"/>
  <c r="E31" i="6" a="1"/>
  <c r="E31" i="6" s="1"/>
  <c r="F23" i="6" a="1"/>
  <c r="F23" i="6" s="1"/>
  <c r="E23" i="6" a="1"/>
  <c r="E23" i="6" s="1"/>
  <c r="F15" i="6" a="1"/>
  <c r="F15" i="6" s="1"/>
  <c r="E15" i="6" a="1"/>
  <c r="E15" i="6" s="1"/>
  <c r="F7" i="6" a="1"/>
  <c r="F7" i="6" s="1"/>
  <c r="E7" i="6" a="1"/>
  <c r="E7" i="6" s="1"/>
  <c r="F24" i="6" a="1"/>
  <c r="F24" i="6" s="1"/>
  <c r="E24" i="6" a="1"/>
  <c r="E24" i="6" s="1"/>
  <c r="F14" i="6" a="1"/>
  <c r="F14" i="6" s="1"/>
  <c r="E14" i="6" a="1"/>
  <c r="E14" i="6" s="1"/>
  <c r="F5" i="6" a="1"/>
  <c r="F5" i="6" s="1"/>
  <c r="E5" i="6" a="1"/>
  <c r="E5" i="6" s="1"/>
  <c r="F26" i="6" a="1"/>
  <c r="F26" i="6" s="1"/>
  <c r="E26" i="6" a="1"/>
  <c r="E26" i="6" s="1"/>
  <c r="F17" i="6" a="1"/>
  <c r="F17" i="6" s="1"/>
  <c r="E17" i="6" a="1"/>
  <c r="E17" i="6" s="1"/>
  <c r="F4" i="6" a="1"/>
  <c r="F4" i="6" s="1"/>
  <c r="E4" i="6" a="1"/>
  <c r="E4" i="6" s="1"/>
  <c r="F16" i="6" a="1"/>
  <c r="F16" i="6" s="1"/>
  <c r="E16" i="6" a="1"/>
  <c r="E16" i="6" s="1"/>
  <c r="F12" i="6" a="1"/>
  <c r="F12" i="6" s="1"/>
  <c r="E12" i="6" a="1"/>
  <c r="E12" i="6" s="1"/>
  <c r="F6" i="6" a="1"/>
  <c r="F6" i="6" s="1"/>
  <c r="E6" i="6" a="1"/>
  <c r="E6" i="6" s="1"/>
  <c r="F13" i="6" a="1"/>
  <c r="F13" i="6" s="1"/>
  <c r="E13" i="6" a="1"/>
  <c r="E13" i="6" s="1"/>
  <c r="F27" i="6" a="1"/>
  <c r="F27" i="6" s="1"/>
  <c r="E27" i="6" a="1"/>
  <c r="E27" i="6" s="1"/>
  <c r="F19" i="6" a="1"/>
  <c r="F19" i="6" s="1"/>
  <c r="E19" i="6" a="1"/>
  <c r="E19" i="6" s="1"/>
  <c r="F11" i="6" a="1"/>
  <c r="F11" i="6" s="1"/>
  <c r="E11" i="6" a="1"/>
  <c r="E11" i="6" s="1"/>
  <c r="F30" i="6" a="1"/>
  <c r="F30" i="6" s="1"/>
  <c r="E30" i="6" a="1"/>
  <c r="E30" i="6" s="1"/>
  <c r="F21" i="6" a="1"/>
  <c r="F21" i="6" s="1"/>
  <c r="E21" i="6" a="1"/>
  <c r="E21" i="6" s="1"/>
  <c r="F8" i="6" a="1"/>
  <c r="F8" i="6" s="1"/>
  <c r="E8" i="6" a="1"/>
  <c r="E8" i="6" s="1"/>
  <c r="F20" i="6" a="1"/>
  <c r="F20" i="6" s="1"/>
  <c r="E20" i="6" a="1"/>
  <c r="E20" i="6" s="1"/>
  <c r="F10" i="6" a="1"/>
  <c r="F10" i="6" s="1"/>
  <c r="E10" i="6" a="1"/>
  <c r="E10" i="6" s="1"/>
  <c r="F2" i="6" a="1"/>
  <c r="F2" i="6" s="1"/>
  <c r="E2" i="6" a="1"/>
  <c r="E2" i="6" s="1"/>
  <c r="F18" i="6" a="1"/>
  <c r="F18" i="6" s="1"/>
  <c r="E18" i="6" a="1"/>
  <c r="E18" i="6" s="1"/>
  <c r="F29" i="6" a="1"/>
  <c r="F29" i="6" s="1"/>
  <c r="E29" i="6" a="1"/>
  <c r="E29" i="6" s="1"/>
  <c r="F9" i="6" a="1"/>
  <c r="F9" i="6" s="1"/>
  <c r="E9" i="6" a="1"/>
  <c r="E9" i="6" s="1"/>
  <c r="F22" i="6" a="1"/>
  <c r="F22" i="6" s="1"/>
  <c r="E22" i="6" a="1"/>
  <c r="E22" i="6" s="1"/>
  <c r="F28" i="6" a="1"/>
  <c r="F28" i="6" s="1"/>
  <c r="E28" i="6" a="1"/>
  <c r="E28" i="6" s="1"/>
  <c r="F25" i="6" a="1"/>
  <c r="F25" i="6" s="1"/>
  <c r="E25" i="6" a="1"/>
  <c r="E25" i="6" s="1"/>
  <c r="F32" i="6" a="1"/>
  <c r="F32" i="6" s="1"/>
  <c r="E32" i="6" a="1"/>
  <c r="E32" i="6" s="1"/>
  <c r="H3" i="6" l="1"/>
</calcChain>
</file>

<file path=xl/sharedStrings.xml><?xml version="1.0" encoding="utf-8"?>
<sst xmlns="http://schemas.openxmlformats.org/spreadsheetml/2006/main" count="6176" uniqueCount="1668">
  <si>
    <t>Fecha</t>
  </si>
  <si>
    <t>Producto</t>
  </si>
  <si>
    <t>Documento</t>
  </si>
  <si>
    <t>N° Documento</t>
  </si>
  <si>
    <t>Neto</t>
  </si>
  <si>
    <t>IVA</t>
  </si>
  <si>
    <t>Total</t>
  </si>
  <si>
    <t>Mes</t>
  </si>
  <si>
    <t>Año</t>
  </si>
  <si>
    <t>Estado</t>
  </si>
  <si>
    <t>Venta</t>
  </si>
  <si>
    <t>Dominio cl</t>
  </si>
  <si>
    <t>Factura</t>
  </si>
  <si>
    <t>Importadora y exportadora coreapartes (Kixx)</t>
  </si>
  <si>
    <t>CRL Mobil</t>
  </si>
  <si>
    <t>El Castillo</t>
  </si>
  <si>
    <t>Mining Parts SpA</t>
  </si>
  <si>
    <t>Angie SpA</t>
  </si>
  <si>
    <t>Mobil Special 20w-50 4L</t>
  </si>
  <si>
    <t>Mobilube HD Plus 80w-90 1L</t>
  </si>
  <si>
    <t>Piola embrague Partner 1.9 2006</t>
  </si>
  <si>
    <t>Faroles traseros Peugeot 206</t>
  </si>
  <si>
    <t>Starken</t>
  </si>
  <si>
    <t>Compra Autotec SA</t>
  </si>
  <si>
    <t>Luces H4 R11 12000 lm</t>
  </si>
  <si>
    <t>Luces H7 y H11 C6 5500 lm</t>
  </si>
  <si>
    <t>Luces H4 C6 5500 lm</t>
  </si>
  <si>
    <t>Ma. Soto-Tapabarro y ópticos</t>
  </si>
  <si>
    <t>Varmontt</t>
  </si>
  <si>
    <t>Repuesto Fiat Uno</t>
  </si>
  <si>
    <t>Filtros petróleo - aire L200</t>
  </si>
  <si>
    <t>Ópticos Hyundai Accent 2010 alt</t>
  </si>
  <si>
    <t>Ópticos Hyundai Accent 2009 alt + Pastillas morning 2016</t>
  </si>
  <si>
    <t>Alarmas Nemesis Gold</t>
  </si>
  <si>
    <t>Luces H4, H7, H11 C6S</t>
  </si>
  <si>
    <t>Papel térmico</t>
  </si>
  <si>
    <t>Luces H4, H11 CS6</t>
  </si>
  <si>
    <t>Par focos led neblineros</t>
  </si>
  <si>
    <t>Filtros Ssangyong - Santelices</t>
  </si>
  <si>
    <t>Boleta</t>
  </si>
  <si>
    <t>Filtros Catalán</t>
  </si>
  <si>
    <t>Nota Crédito</t>
  </si>
  <si>
    <t>Filtro Suzuki An 125</t>
  </si>
  <si>
    <t>Luces Led H4 R11</t>
  </si>
  <si>
    <t>Amortiguadores portalón Sportage 2005</t>
  </si>
  <si>
    <t>Envío amortiguadores</t>
  </si>
  <si>
    <t>Luces Led H7 R11</t>
  </si>
  <si>
    <t>Foco trasero y neblinero Dmax 2010</t>
  </si>
  <si>
    <t>Luces Led H11,H1,H3 R11</t>
  </si>
  <si>
    <t>Leces led H4 R11</t>
  </si>
  <si>
    <t>Luces led H4 C6S</t>
  </si>
  <si>
    <t>Aceite CVT-J4 Mitsubishi</t>
  </si>
  <si>
    <t>Foco trasero izquierdo Tercel 95</t>
  </si>
  <si>
    <t>Filtro caja automática ASX</t>
  </si>
  <si>
    <t>Envio filtro caja</t>
  </si>
  <si>
    <t>F29 Mayo</t>
  </si>
  <si>
    <t>Cierre centralizado</t>
  </si>
  <si>
    <t>Envío cierre</t>
  </si>
  <si>
    <t>Luces R11 y F2</t>
  </si>
  <si>
    <t>Mobil 1 Catalán</t>
  </si>
  <si>
    <t>Luces tapabarro hyundai accent</t>
  </si>
  <si>
    <t>Luces H1 y H4</t>
  </si>
  <si>
    <t>Transporte luces</t>
  </si>
  <si>
    <t>Luces Led H4 y H11</t>
  </si>
  <si>
    <t>2 x Barra led 50 cm</t>
  </si>
  <si>
    <t>Transporte barra</t>
  </si>
  <si>
    <t>Led H4 R11 28000</t>
  </si>
  <si>
    <t>Luces H4 y H11 R11</t>
  </si>
  <si>
    <t>Automarco</t>
  </si>
  <si>
    <t>ojo con monto</t>
  </si>
  <si>
    <t>Empaquetadura tapa válvula spark lt 2007</t>
  </si>
  <si>
    <t>Envío empaquetadura</t>
  </si>
  <si>
    <t>Cables bujía mando spark lt</t>
  </si>
  <si>
    <t>Envío cables</t>
  </si>
  <si>
    <t>Amortiguadores y pastillas freno mando spark lt</t>
  </si>
  <si>
    <t>Barra led 34 cm</t>
  </si>
  <si>
    <t>Envio barra led 34 cm</t>
  </si>
  <si>
    <t>Sticker zócalo Nissan</t>
  </si>
  <si>
    <t>Envío sticker Nissan</t>
  </si>
  <si>
    <t>Compra Autoplanet</t>
  </si>
  <si>
    <t>Varmontt pedido automarco</t>
  </si>
  <si>
    <t>Pisos de goma Nissan</t>
  </si>
  <si>
    <t>Barra led 54 cm</t>
  </si>
  <si>
    <t>Foco reversa derecho Spark lt</t>
  </si>
  <si>
    <t>Sensor de oxígeno Bosch</t>
  </si>
  <si>
    <t>Compra en Catalán</t>
  </si>
  <si>
    <t>Amortiguadores Tercel 95</t>
  </si>
  <si>
    <t>Recibido</t>
  </si>
  <si>
    <t>Bandejas y terminales Tercel 95</t>
  </si>
  <si>
    <t>Repuestos María Soto</t>
  </si>
  <si>
    <t>Varmontt amortiguadores</t>
  </si>
  <si>
    <t>Transvalle</t>
  </si>
  <si>
    <t>Varmontt Maria Soto</t>
  </si>
  <si>
    <t>Varmontt Automarco</t>
  </si>
  <si>
    <t>Sumup</t>
  </si>
  <si>
    <t>Autoplanet</t>
  </si>
  <si>
    <t>Compraqui</t>
  </si>
  <si>
    <t>Luces H4, H11 y H3</t>
  </si>
  <si>
    <t>Radio Nakamichi</t>
  </si>
  <si>
    <t>Conector Kia</t>
  </si>
  <si>
    <t>Maria Soto Kia Rio</t>
  </si>
  <si>
    <t>Porta Filtro de Aire Spark</t>
  </si>
  <si>
    <t>Disco de freno VW Bora 2012</t>
  </si>
  <si>
    <t>Autotec</t>
  </si>
  <si>
    <t>lo transferido</t>
  </si>
  <si>
    <t>Sensor de oxígeno NTK Nissan V16</t>
  </si>
  <si>
    <t>Filtro W68/85</t>
  </si>
  <si>
    <t>Batería 12V/7Ah</t>
  </si>
  <si>
    <t>Pastillas de freno Auris</t>
  </si>
  <si>
    <t>Led H4 R11 12000</t>
  </si>
  <si>
    <t>Rótulas Tercel 95</t>
  </si>
  <si>
    <t>Filtro HU6006z Autoplanet</t>
  </si>
  <si>
    <t>Filtros HU6006z y CU1919 Catalán</t>
  </si>
  <si>
    <t>Ménsula parachoque Kia Morning 2016</t>
  </si>
  <si>
    <t>Varmontt ménsula</t>
  </si>
  <si>
    <t>Filtro aire montana</t>
  </si>
  <si>
    <t xml:space="preserve">Filtro w75/2 Mann </t>
  </si>
  <si>
    <t>Filtro aire renault e ignis</t>
  </si>
  <si>
    <t>Luces Led H7, H4, 9005 R11</t>
  </si>
  <si>
    <t>Luces R11 28000 lm</t>
  </si>
  <si>
    <t>Golillas</t>
  </si>
  <si>
    <t>Soquetes varios</t>
  </si>
  <si>
    <t>Filtros en catalán vw bora</t>
  </si>
  <si>
    <t>Filtros Autotec</t>
  </si>
  <si>
    <t>Foco punta V16</t>
  </si>
  <si>
    <t>Empaquetadura carter caja de cambios chev aveo</t>
  </si>
  <si>
    <t>Soquetes t10</t>
  </si>
  <si>
    <t>Led H11 y 9005 28000 lm</t>
  </si>
  <si>
    <t>Led H1 y 9005 12000 lm</t>
  </si>
  <si>
    <t>Termostato Nissan v16</t>
  </si>
  <si>
    <t>Led H11 y H7 28000 lm</t>
  </si>
  <si>
    <t>Autoplanet Valvoline y desengrasante</t>
  </si>
  <si>
    <t>Barra Led 65 cm</t>
  </si>
  <si>
    <t>Envío Mercadolibre</t>
  </si>
  <si>
    <t>CRL Mobil (mobil 1)</t>
  </si>
  <si>
    <t>Catalán Filtro sportage y super 3000</t>
  </si>
  <si>
    <t>Ópticos Nissan V16</t>
  </si>
  <si>
    <t>CRL Mobil (ATF D/M III)</t>
  </si>
  <si>
    <t>Barra led 300W 100 led 130 cm</t>
  </si>
  <si>
    <t>Led H4, H7, 9006, 881 R11</t>
  </si>
  <si>
    <t>Correas Gates Automarco</t>
  </si>
  <si>
    <t>Filtro aire L200 catalán</t>
  </si>
  <si>
    <t>Luces Led R11</t>
  </si>
  <si>
    <t>Mobil Delvac MX Catalán</t>
  </si>
  <si>
    <t>Castrol Magnatec 10w-40 Catalán</t>
  </si>
  <si>
    <t>Foco trasero izquierdo Spark LT</t>
  </si>
  <si>
    <t>Base de termostato Peugeot 206</t>
  </si>
  <si>
    <t>Espejo izquierdo Peugeot 206 2008</t>
  </si>
  <si>
    <t>flujo de caja en febrero</t>
  </si>
  <si>
    <t>Led K9 28000 lm</t>
  </si>
  <si>
    <t>Bujías NGK Bora</t>
  </si>
  <si>
    <t>Automarco Correas Gates</t>
  </si>
  <si>
    <t xml:space="preserve">Catalán castrol </t>
  </si>
  <si>
    <t>Shell 10w-40 4L</t>
  </si>
  <si>
    <t>Autotec Filtros</t>
  </si>
  <si>
    <t>Led H4 R11</t>
  </si>
  <si>
    <t>Filtro Kendall Mazda 2</t>
  </si>
  <si>
    <t>Catalán filtro polen y repelente</t>
  </si>
  <si>
    <t>Plumillas automarco</t>
  </si>
  <si>
    <t>Catalán filtros y aceite luv</t>
  </si>
  <si>
    <t>Kit de embrague Morning 1.0</t>
  </si>
  <si>
    <t>Led K9 28000 lm H1 y H3</t>
  </si>
  <si>
    <t>Retén cigüeñal Morning 1.0</t>
  </si>
  <si>
    <t>Piola embrague Morning 1.0 Korea</t>
  </si>
  <si>
    <t>José Díaz: Filtro polen Corsa 2010</t>
  </si>
  <si>
    <t>Catalán filtro de polen mazda 3</t>
  </si>
  <si>
    <t>Lioren</t>
  </si>
  <si>
    <t>Bota agua accent rb</t>
  </si>
  <si>
    <t>Cubre tablero trasero accent rb</t>
  </si>
  <si>
    <t>Led K9 H4 28000 lm</t>
  </si>
  <si>
    <t>Espejos luv 2.8 2002</t>
  </si>
  <si>
    <t>Bujías y Filtro Changan CS1</t>
  </si>
  <si>
    <t>Catalán Special 1L</t>
  </si>
  <si>
    <t>Catalán filtro y huaipe</t>
  </si>
  <si>
    <t>Catalán filtros aceite y petroleo</t>
  </si>
  <si>
    <t>Luces K9</t>
  </si>
  <si>
    <t>CRL mobil</t>
  </si>
  <si>
    <t>Automarco plumillas</t>
  </si>
  <si>
    <t>Espejo izquierdo Luv</t>
  </si>
  <si>
    <t>Autotec filtros</t>
  </si>
  <si>
    <t>2 facturas</t>
  </si>
  <si>
    <t>Led H4 K9</t>
  </si>
  <si>
    <t>Faroles de punta Luv 2002</t>
  </si>
  <si>
    <t>Crédito</t>
  </si>
  <si>
    <t>Ópticos Luv 2002</t>
  </si>
  <si>
    <t>Ópticos Kia Rio JB 2008</t>
  </si>
  <si>
    <t>Bota aguas Francisco Vidal</t>
  </si>
  <si>
    <t>Transporte bota aguas bull express</t>
  </si>
  <si>
    <t>Bujías NGK Toyota Hilux 94</t>
  </si>
  <si>
    <t>Kit de embrague Vitara 92</t>
  </si>
  <si>
    <t xml:space="preserve">Catalan Aceite transmision 75w-90 </t>
  </si>
  <si>
    <t>Pago F29 mayo</t>
  </si>
  <si>
    <t>Manilla interior Hyundai Accent</t>
  </si>
  <si>
    <t>Optico izq luv y rod de embrague suzuki g16a</t>
  </si>
  <si>
    <t>Factura Servicios MELI</t>
  </si>
  <si>
    <t>Compra Sodimac</t>
  </si>
  <si>
    <t>Optico der luv</t>
  </si>
  <si>
    <t>Comisión compraqui</t>
  </si>
  <si>
    <t>Cables y bujías autoplanet</t>
  </si>
  <si>
    <t>Transporte bull</t>
  </si>
  <si>
    <t>Silicona Sodimac</t>
  </si>
  <si>
    <t xml:space="preserve">Manillas y alzavidrios luv </t>
  </si>
  <si>
    <t>Red Global SA (compraqui)</t>
  </si>
  <si>
    <t>Banco de Chile</t>
  </si>
  <si>
    <t>F29 Junio</t>
  </si>
  <si>
    <t>Bujía incandescente Luv</t>
  </si>
  <si>
    <t>Super 3000 2L</t>
  </si>
  <si>
    <t>F29 julio</t>
  </si>
  <si>
    <t>Catalan Correa</t>
  </si>
  <si>
    <t>Jose diaz correa</t>
  </si>
  <si>
    <t>Filtro aire Vento + huaipe</t>
  </si>
  <si>
    <t>Mecánico factura 5</t>
  </si>
  <si>
    <t>Dercoparts</t>
  </si>
  <si>
    <t>Automarco Plumillas</t>
  </si>
  <si>
    <t>Pedido automarco</t>
  </si>
  <si>
    <t>Metales Tercel</t>
  </si>
  <si>
    <t>Rodamiento distrib Tercel</t>
  </si>
  <si>
    <t>Filtro Pu835x Catalan</t>
  </si>
  <si>
    <t>WK612 stp y w67/81 mann catalan</t>
  </si>
  <si>
    <t>Carparts spa</t>
  </si>
  <si>
    <t>Filtros sin fact</t>
  </si>
  <si>
    <t>**</t>
  </si>
  <si>
    <t>Luces H4 K9</t>
  </si>
  <si>
    <t>Luces 9004 K9</t>
  </si>
  <si>
    <t>POS compraqui</t>
  </si>
  <si>
    <t>Jose diaz</t>
  </si>
  <si>
    <t>Filtro aire C24400 Ecban</t>
  </si>
  <si>
    <t>Wk962/7 Rodamientos Sta Cruz</t>
  </si>
  <si>
    <t>Filtro Comercial León</t>
  </si>
  <si>
    <t>Farol parachoques delanteros l200</t>
  </si>
  <si>
    <t>Filtro de petroleo P926/8x Arana</t>
  </si>
  <si>
    <t>Radios Aiwa con parlantes</t>
  </si>
  <si>
    <t>Soquetes t5</t>
  </si>
  <si>
    <t>Pastillas freno autoplanet</t>
  </si>
  <si>
    <t>Balatas tercel</t>
  </si>
  <si>
    <t>U chile</t>
  </si>
  <si>
    <t>Catalan</t>
  </si>
  <si>
    <t>Catalan hernan</t>
  </si>
  <si>
    <t>Kit distribución v16 2006</t>
  </si>
  <si>
    <t>Bobinas SM7</t>
  </si>
  <si>
    <t>Deposito limpiaparabrisas</t>
  </si>
  <si>
    <t>Envio deposito</t>
  </si>
  <si>
    <t>Bujias Autoplanet</t>
  </si>
  <si>
    <t>Kit de embrague RFC Yaris 2003</t>
  </si>
  <si>
    <t>Kit embrague tercel 95 Valeo</t>
  </si>
  <si>
    <t>Led K9</t>
  </si>
  <si>
    <t>Filtro de petroleo PU835x</t>
  </si>
  <si>
    <t>Shell catalan</t>
  </si>
  <si>
    <t>Correa y filtro bencina catalan</t>
  </si>
  <si>
    <t>Repuestos Saveiro</t>
  </si>
  <si>
    <t>Caja Shell 10w-40 4L</t>
  </si>
  <si>
    <t>Filtros y huaipe autoplanet</t>
  </si>
  <si>
    <t>Homocinetica Kia Sportage</t>
  </si>
  <si>
    <t>Filtros catalan</t>
  </si>
  <si>
    <t>Caja Shell 15w-40 4L</t>
  </si>
  <si>
    <t>Neumáticos Saveiro</t>
  </si>
  <si>
    <t>Catalán filtros</t>
  </si>
  <si>
    <t>Radio aiwa pantalla 1 din</t>
  </si>
  <si>
    <t>Catalan filtro</t>
  </si>
  <si>
    <t>Autoplanet filtro polen navara</t>
  </si>
  <si>
    <t>Autoplanet filtro aire tiida</t>
  </si>
  <si>
    <t>Catalan filtro polen tiida</t>
  </si>
  <si>
    <t>Filtro de petroleo catalan</t>
  </si>
  <si>
    <t>F29 febrero</t>
  </si>
  <si>
    <t>Luces k9</t>
  </si>
  <si>
    <t>Foco trasero hilux</t>
  </si>
  <si>
    <t>Tarjetas cambio</t>
  </si>
  <si>
    <t>Filtro catalan</t>
  </si>
  <si>
    <t>Neumático 195/50R15</t>
  </si>
  <si>
    <t>Piola central freno de mano Hilux</t>
  </si>
  <si>
    <t>Maria Soto sensor ckp tucson</t>
  </si>
  <si>
    <t>Bujias catalan</t>
  </si>
  <si>
    <t>Filtro de aire catalan</t>
  </si>
  <si>
    <t>BullExpress</t>
  </si>
  <si>
    <t>Filtro de polen SX5 REC SpA</t>
  </si>
  <si>
    <t>Focos traseros Optra</t>
  </si>
  <si>
    <t>Filtros de aire catalan</t>
  </si>
  <si>
    <t>Tapón Carter Catalan</t>
  </si>
  <si>
    <t>Kit de embrague Mundo repuestos</t>
  </si>
  <si>
    <t>Metal Bancada y anillos 0.5 Tercel</t>
  </si>
  <si>
    <t>Metal biela 0.5 Tercel</t>
  </si>
  <si>
    <t>Tapas rueda aro 15</t>
  </si>
  <si>
    <t>Catalan filtros</t>
  </si>
  <si>
    <t xml:space="preserve">Autoplanet </t>
  </si>
  <si>
    <t>Radio 1 din aiwa</t>
  </si>
  <si>
    <t>Radio 2 din aiwa</t>
  </si>
  <si>
    <t>Neumáticos todo ventas</t>
  </si>
  <si>
    <t>Alarmas</t>
  </si>
  <si>
    <t>Cable de capot</t>
  </si>
  <si>
    <t>Shell 10w-40 4L x2 cajas</t>
  </si>
  <si>
    <t>Led H4 T1</t>
  </si>
  <si>
    <t>Ecban</t>
  </si>
  <si>
    <t>Rodamientos Santa Cruz</t>
  </si>
  <si>
    <t>Arana filtro aire</t>
  </si>
  <si>
    <t>Repuestos Saveiro (Ballerines.cl)</t>
  </si>
  <si>
    <t>Liquimoly y Wolver</t>
  </si>
  <si>
    <t>Catalan paños</t>
  </si>
  <si>
    <t>Sasval Cercha Volante D4BX</t>
  </si>
  <si>
    <t>Centrífugo H100 D4BX</t>
  </si>
  <si>
    <t>Filtros Catalan</t>
  </si>
  <si>
    <t>Kit de distribución D4BX</t>
  </si>
  <si>
    <t>Nota credito catalan</t>
  </si>
  <si>
    <t>NC</t>
  </si>
  <si>
    <t>Staren</t>
  </si>
  <si>
    <t>Set Caja Herramientas Dados 94 Piezas Acero Carbono 1/2 1/4</t>
  </si>
  <si>
    <t>Focos led</t>
  </si>
  <si>
    <t xml:space="preserve">Bujías Spark GT </t>
  </si>
  <si>
    <t>F29 Abril</t>
  </si>
  <si>
    <t>Plastico megane</t>
  </si>
  <si>
    <t>Manillas Hilux</t>
  </si>
  <si>
    <t>Envio manillas</t>
  </si>
  <si>
    <t>Interruptor de freno</t>
  </si>
  <si>
    <t>Repuestos Tucson 2008</t>
  </si>
  <si>
    <t>Foco izquierdo optra 2004</t>
  </si>
  <si>
    <t>Catalán</t>
  </si>
  <si>
    <t>Parlantes aiwa 16 cm</t>
  </si>
  <si>
    <t>Farol punta V16</t>
  </si>
  <si>
    <t>Luces T1</t>
  </si>
  <si>
    <t>Disco Duro</t>
  </si>
  <si>
    <t>Alarmas Nemesis</t>
  </si>
  <si>
    <t>Urritia y Otarola Ltda</t>
  </si>
  <si>
    <t>Mannheim spa</t>
  </si>
  <si>
    <t>Negocios ADV SpA</t>
  </si>
  <si>
    <t>Luces 9004 T1</t>
  </si>
  <si>
    <t>Shell 5w30 1 caja</t>
  </si>
  <si>
    <t>Bulbo tucson</t>
  </si>
  <si>
    <t>Transporte bulbo</t>
  </si>
  <si>
    <t>Modulras parachoque tercel</t>
  </si>
  <si>
    <t>Pago molduras</t>
  </si>
  <si>
    <t>Pago Varmontt</t>
  </si>
  <si>
    <t>Tubo agua Combo 1.7</t>
  </si>
  <si>
    <t>Autoplanet luces reversa</t>
  </si>
  <si>
    <t>Maria soto switch retroceso</t>
  </si>
  <si>
    <t>Radiador autoplanet</t>
  </si>
  <si>
    <t>Bomba de agua spark gt 2013</t>
  </si>
  <si>
    <t>Catalan filtro 712/22 Bosch</t>
  </si>
  <si>
    <t>Termostato Chv Spark 1.2</t>
  </si>
  <si>
    <t>Valvulas Charade</t>
  </si>
  <si>
    <t>Mecánica y lubricantes ltda (aceites san fernando)</t>
  </si>
  <si>
    <t>Comercial Valdez Lopez Hns</t>
  </si>
  <si>
    <t>Repuestos del sol</t>
  </si>
  <si>
    <t>Pullman Cargo</t>
  </si>
  <si>
    <t>Implementos SA</t>
  </si>
  <si>
    <t>Copiapo SpA</t>
  </si>
  <si>
    <t>Pernos culata tercel</t>
  </si>
  <si>
    <t>Aceites san fernando</t>
  </si>
  <si>
    <t>Autoplanet (-)</t>
  </si>
  <si>
    <t>Filtro Catalan</t>
  </si>
  <si>
    <t>Ciper repuestos</t>
  </si>
  <si>
    <t>Mercadolibre</t>
  </si>
  <si>
    <t>Jose díaz</t>
  </si>
  <si>
    <t>Shell 10w-40 4L x2 cajas 1 sello</t>
  </si>
  <si>
    <t>Carlos Bolomey</t>
  </si>
  <si>
    <t>Luces Led T1</t>
  </si>
  <si>
    <t>anulada</t>
  </si>
  <si>
    <t>Kit embrague exedy Imaparts</t>
  </si>
  <si>
    <t>Indra</t>
  </si>
  <si>
    <t>Bravo Fried Kit embrague LUK</t>
  </si>
  <si>
    <t>Dominio</t>
  </si>
  <si>
    <t>Mobil 1 ESP 5w30 4L</t>
  </si>
  <si>
    <t>Mundo Repuestos</t>
  </si>
  <si>
    <t>Spare trade parts spa</t>
  </si>
  <si>
    <t>Parachoque optra</t>
  </si>
  <si>
    <t>Filtro wurtex</t>
  </si>
  <si>
    <t>Maria soto bandejas morning</t>
  </si>
  <si>
    <t>Lucas Blandford</t>
  </si>
  <si>
    <t>Maria Justina Gonzalez Canales</t>
  </si>
  <si>
    <t>Comercial Claudia Leon Reyes (Baterias OK)</t>
  </si>
  <si>
    <t>Arana</t>
  </si>
  <si>
    <t>Repuestos el gran exito</t>
  </si>
  <si>
    <t>Meli</t>
  </si>
  <si>
    <t>*</t>
  </si>
  <si>
    <t>Hernan</t>
  </si>
  <si>
    <t>Hercat (catalan san fdo)</t>
  </si>
  <si>
    <t>Jose díaz san fdo</t>
  </si>
  <si>
    <t>Angelina Bravo Paillalef</t>
  </si>
  <si>
    <t>Neumáticos y llantas del pacifico</t>
  </si>
  <si>
    <t>Comercial KAP valvula pcv</t>
  </si>
  <si>
    <t>Mercadolibre pastillas sangyong</t>
  </si>
  <si>
    <t>Jose Diaz</t>
  </si>
  <si>
    <t>Hernan sensor de o2</t>
  </si>
  <si>
    <t>COMERCIAL CLAUDIA LEON REYES E.I.R.L</t>
  </si>
  <si>
    <t>Vigfor</t>
  </si>
  <si>
    <t>Kaudat</t>
  </si>
  <si>
    <t>Cecilia del Carmen Medina Arias</t>
  </si>
  <si>
    <t>Zarzar y Compañia SpA</t>
  </si>
  <si>
    <t>balanceo</t>
  </si>
  <si>
    <t>Euroespecialista</t>
  </si>
  <si>
    <t>Anulada</t>
  </si>
  <si>
    <t>Urrutia y Otarola Ltda</t>
  </si>
  <si>
    <t>JK Inversiones</t>
  </si>
  <si>
    <t>Comercial T&amp;C Computer</t>
  </si>
  <si>
    <t>Repuestos Jose Diaz</t>
  </si>
  <si>
    <t>Repuestos Oriente</t>
  </si>
  <si>
    <t>Mercadolibre estantes</t>
  </si>
  <si>
    <t>Repuestos del Sol</t>
  </si>
  <si>
    <t>Autoplanet (soc. comercial de repuestos)</t>
  </si>
  <si>
    <t>Sociedad comercial repuestos Asia</t>
  </si>
  <si>
    <t>Rodamientos santa cruz (maria justina canales)</t>
  </si>
  <si>
    <t>José Díaz</t>
  </si>
  <si>
    <t>José Díaz (san fernando)</t>
  </si>
  <si>
    <t>Lubchile</t>
  </si>
  <si>
    <t>Repuestos Boston</t>
  </si>
  <si>
    <t>Desarmaduría e inversiones todo desarme</t>
  </si>
  <si>
    <t>Mercadolibre (overol)</t>
  </si>
  <si>
    <t>Carparts Spa</t>
  </si>
  <si>
    <t>Daniela del Carmen Amigo Gaete</t>
  </si>
  <si>
    <t>Sociedad Comercial Red Chile Ltda</t>
  </si>
  <si>
    <t>Casa del perno</t>
  </si>
  <si>
    <t>Mega tools</t>
  </si>
  <si>
    <t>Patricia Yelina Diaz</t>
  </si>
  <si>
    <t>Polea cigüeñal</t>
  </si>
  <si>
    <t>Jose Diaz (san fdo)</t>
  </si>
  <si>
    <t>Comercial Claudia León Reyes (Baterías OK)</t>
  </si>
  <si>
    <t>Salinas y Fabres</t>
  </si>
  <si>
    <t>Maria Justina Canales (rodamientos santa cruz)</t>
  </si>
  <si>
    <t>MeLi filtros</t>
  </si>
  <si>
    <t>MeLi termostato</t>
  </si>
  <si>
    <t>Filtro caja aveo</t>
  </si>
  <si>
    <t>Victor Morales Acevedo Imp</t>
  </si>
  <si>
    <t>Afouteza SpA</t>
  </si>
  <si>
    <t>Ciper</t>
  </si>
  <si>
    <t>Comercializadora Copiapo SpA</t>
  </si>
  <si>
    <t>Punto Repuestos</t>
  </si>
  <si>
    <t>Neumaticos Manzor express</t>
  </si>
  <si>
    <t>Wurth Chile Ltda.</t>
  </si>
  <si>
    <t>Comercio Dominguez Limitada</t>
  </si>
  <si>
    <t>Yongjiao Lu</t>
  </si>
  <si>
    <t>Importadora Blobel SpA</t>
  </si>
  <si>
    <t>Derco Chile Repuestos</t>
  </si>
  <si>
    <t>Servitrag</t>
  </si>
  <si>
    <t>COMERCIALIZADORA OUSTA SPA</t>
  </si>
  <si>
    <t>cambia la forma en que se calcula el neto</t>
  </si>
  <si>
    <t>Maria Soto</t>
  </si>
  <si>
    <t>Sodimac</t>
  </si>
  <si>
    <t>Haulmer</t>
  </si>
  <si>
    <t>Inversiones Milano Chile SPA</t>
  </si>
  <si>
    <t>Mercado Pago Lending Ltda</t>
  </si>
  <si>
    <t>Mining Parts SPA</t>
  </si>
  <si>
    <t>Universidad de Chile</t>
  </si>
  <si>
    <t>exenta</t>
  </si>
  <si>
    <t>ID</t>
  </si>
  <si>
    <t>DTE</t>
  </si>
  <si>
    <t>N. DTE</t>
  </si>
  <si>
    <t>Costo venta</t>
  </si>
  <si>
    <t>Ganancia Bruta</t>
  </si>
  <si>
    <t>Deuda</t>
  </si>
  <si>
    <t>Deudor</t>
  </si>
  <si>
    <t>Mobil Extra 10w-40 1L</t>
  </si>
  <si>
    <t>2x Mobil Super 2000 + fitro</t>
  </si>
  <si>
    <t xml:space="preserve">Mobil Delvac 15w-40 4L, Filtro Mann </t>
  </si>
  <si>
    <t>Mobil Special 20w-50 4L, Filtro Mann</t>
  </si>
  <si>
    <t>Special 20w-50 + filtro alto al costo</t>
  </si>
  <si>
    <t>Mobilube Plus HD 80w-90 1L</t>
  </si>
  <si>
    <t>Foco trasero izq y derecho Peugeot 206</t>
  </si>
  <si>
    <t>Special 20w-50, Filtro Mann Racer 97</t>
  </si>
  <si>
    <t>Filtro Aire Alto</t>
  </si>
  <si>
    <t>Luces H4 R11</t>
  </si>
  <si>
    <t>Special 20w-50, Filtro Mann W811/80</t>
  </si>
  <si>
    <t xml:space="preserve">Repuesto Fiat Uno </t>
  </si>
  <si>
    <t>Tapabarro</t>
  </si>
  <si>
    <t>Ópticos RH Accent alternativo</t>
  </si>
  <si>
    <t>Special 20w-50, Filtro Mann W67/81</t>
  </si>
  <si>
    <t>Mobil MX x2 + Kit de Filtros L200</t>
  </si>
  <si>
    <t>Mobil 4T 20w-50 1L</t>
  </si>
  <si>
    <t>Mobil super 2000, filtro mann w67/80 filtro aire</t>
  </si>
  <si>
    <t>Ópticos RH y LH alternativos Accent 2010</t>
  </si>
  <si>
    <t>Super 2000 10w-40, Filtro w68/85, Mobilube 80w-90 2L</t>
  </si>
  <si>
    <t>Ópticos RH y LH alternativos Accent 2009</t>
  </si>
  <si>
    <t>Pastillas del Morning orig.</t>
  </si>
  <si>
    <t>4 x Mobilube Plus HD 80w-90 1L</t>
  </si>
  <si>
    <t>Luces H4 C6S</t>
  </si>
  <si>
    <t>Special 20w-50 4L, Filtro W712/22</t>
  </si>
  <si>
    <t>Kixx 10w-40 4L, Filtro W67/81</t>
  </si>
  <si>
    <t>Special 20w-50 4L, Filtro W67/80</t>
  </si>
  <si>
    <t>Filtro aire Spark</t>
  </si>
  <si>
    <t>Ópticos LH Accent alternativo</t>
  </si>
  <si>
    <t>Cambio aceite</t>
  </si>
  <si>
    <t xml:space="preserve">Super 2000 4L, Filtro aceite </t>
  </si>
  <si>
    <t>Super 2000 4L + 2x1L, Filtro de aceite</t>
  </si>
  <si>
    <t>2x Luces H4 C6S</t>
  </si>
  <si>
    <t>Mobil Super 4T 20w-50, Filtro</t>
  </si>
  <si>
    <t>Foco trasero RH y neblinero Dmax</t>
  </si>
  <si>
    <t>Luces H4 y H7 R11</t>
  </si>
  <si>
    <t>Mobil Super 4T 20w-50</t>
  </si>
  <si>
    <t>Special 20w-50</t>
  </si>
  <si>
    <t>Filtro ASX</t>
  </si>
  <si>
    <t>Luces H4 R11 y C6S</t>
  </si>
  <si>
    <t>2x mobil 4T 20w-50</t>
  </si>
  <si>
    <t>Luces H8 C6S</t>
  </si>
  <si>
    <t>Luces H1 R11</t>
  </si>
  <si>
    <t>Special 20w-50 4L, filtro w68/80</t>
  </si>
  <si>
    <t>Mobil Super 4T 20w-50 1L</t>
  </si>
  <si>
    <t>Luces H7 R11</t>
  </si>
  <si>
    <t>Mobil Super 4T 20W-50 1L</t>
  </si>
  <si>
    <t>Luces H11 R11</t>
  </si>
  <si>
    <t>Luces led H11 R11</t>
  </si>
  <si>
    <t>Mobil 1 4L + W610/82</t>
  </si>
  <si>
    <t>Alarma auto Nemesis</t>
  </si>
  <si>
    <t>Led H4 C6S</t>
  </si>
  <si>
    <t>Led H4 F2</t>
  </si>
  <si>
    <t>Led H1 R11</t>
  </si>
  <si>
    <t>Mobil Super 2000 10w-40</t>
  </si>
  <si>
    <t>Led H7 F2</t>
  </si>
  <si>
    <t>Super 3000 4L + W67/80 + filtro aire</t>
  </si>
  <si>
    <t>Led H11 R11</t>
  </si>
  <si>
    <t>Barra led 50 cm</t>
  </si>
  <si>
    <t>Mobil Super 3000 4L + W68/85</t>
  </si>
  <si>
    <t>Venta repuestos Paulo</t>
  </si>
  <si>
    <t>Special 20w-50 4L + W67/81</t>
  </si>
  <si>
    <t>Led H4 R11 28000 lm</t>
  </si>
  <si>
    <t>2x MX 15w-40 4L + kit filtros Dmax</t>
  </si>
  <si>
    <t>Led H7 R11</t>
  </si>
  <si>
    <t>Sticker Zócalo Nissan</t>
  </si>
  <si>
    <t>Super 2000 10w-40 1L</t>
  </si>
  <si>
    <t>Amortiguadores Mando Chevrolet Spark Lt 2007</t>
  </si>
  <si>
    <t>3 x Mobilube Plus HD 80w-90 1L</t>
  </si>
  <si>
    <t>Repuestos chevrolet Spark 2007</t>
  </si>
  <si>
    <t>Mobil Super 2000 10w-40 + w67/80</t>
  </si>
  <si>
    <t>Coolant, limpia tapiz y correa morning</t>
  </si>
  <si>
    <t>Bujias originales morning</t>
  </si>
  <si>
    <t>Foco trasero RH y LH Kia Rio original</t>
  </si>
  <si>
    <t>Radio y arnes</t>
  </si>
  <si>
    <t>Repuestos Tercel 95: Amortiguadores, bandejas, terminal</t>
  </si>
  <si>
    <t>Kit embrague Valeo, Cable bujías NGK y Bujías originales Kia Rio 2012</t>
  </si>
  <si>
    <t>Luces H4 R11 28k lm</t>
  </si>
  <si>
    <t>Luces H3 R11</t>
  </si>
  <si>
    <t>Piso de goma Nissan</t>
  </si>
  <si>
    <t>Led C6 11k lm</t>
  </si>
  <si>
    <t>Repuestos Spark cotización 1009</t>
  </si>
  <si>
    <t>Super 3000 5w-30 + filtro</t>
  </si>
  <si>
    <t>Mobil Special 20w-50 + filtro HK W811/80</t>
  </si>
  <si>
    <t>Filtro de polen HK Kia Morning</t>
  </si>
  <si>
    <t>Discos de freno VW Bora cuota 1</t>
  </si>
  <si>
    <t>Mobil Special 20w-50 4L + filtro W818/8</t>
  </si>
  <si>
    <t>Pastillas de freno delanteras y traseras Toyota Auris 2010</t>
  </si>
  <si>
    <t>Mobil Special 20w-50 + filtro HK W68/80</t>
  </si>
  <si>
    <t>Mobil Super 2000 10w-40 4L + filtro Mann W818/8</t>
  </si>
  <si>
    <t>Filtro aire Spark LT</t>
  </si>
  <si>
    <t>Mobil Super 2000 10w-40 4L + filtro Mann W712/22 + STP C30125/1</t>
  </si>
  <si>
    <t>Ménsula Kia Morning 2016</t>
  </si>
  <si>
    <t>4 x Mobil Super 4T 20w-50 1L</t>
  </si>
  <si>
    <t>Mobil Super 1000 15w-40 4L + filtro HK W68/80</t>
  </si>
  <si>
    <t>Super 1000 15w-40 4L, W68/80 Mann</t>
  </si>
  <si>
    <t>Super 1000 15w-40 4L, W610/82 Mann C2721 Mann</t>
  </si>
  <si>
    <t>2x Mobil Delvac MX 15w-40 4L, Filtro aceite y aire Frontier 2.5, Led H4 R11</t>
  </si>
  <si>
    <t>Filtro polen Dmax 3.0 2010</t>
  </si>
  <si>
    <t>Led H7 R11 28000 lm</t>
  </si>
  <si>
    <t>Super 2000 4L, Filtro W818/11 Mann</t>
  </si>
  <si>
    <t>Super 2000 4L, filtro 719/15 y filtro de aire</t>
  </si>
  <si>
    <t>Super 2000 4L, filtro aceite, aire y polen Auris</t>
  </si>
  <si>
    <t>Soquete H4 par</t>
  </si>
  <si>
    <t>Abono rótulas Tercel</t>
  </si>
  <si>
    <t>Filtro aire Kia Rio 2012</t>
  </si>
  <si>
    <t>Mobil Delvac MX 15w-40 4L</t>
  </si>
  <si>
    <t>Empaquetadura Chev Aveo</t>
  </si>
  <si>
    <t>Mobil Delvac MX 15w-40 4L + filtro aceite wp928/82</t>
  </si>
  <si>
    <t>H11, H7 28k lm</t>
  </si>
  <si>
    <t>Mobil Super 2000 + filtro w67/80 Mann + filtro C2201 STP</t>
  </si>
  <si>
    <t>Led 9005 y H11 R11 28000 lm</t>
  </si>
  <si>
    <t>Led 9005 R11 12000 lm</t>
  </si>
  <si>
    <t>Mobil Super 3000 4L + W712/22 + C2488 + CU2442</t>
  </si>
  <si>
    <t>Mobil Super 2000 4L + W68/85</t>
  </si>
  <si>
    <t>Mobil Super 2000 10w-40 + filtro w811/80 Mann</t>
  </si>
  <si>
    <t>Barra led 65 cm</t>
  </si>
  <si>
    <t>Segunda cuota rotulas tercel</t>
  </si>
  <si>
    <t>Super 3000 5w-30 + filtro w68/85</t>
  </si>
  <si>
    <t>Aceite Valvoline 7 litros y filtros aceite, aire, petróleo y decantador NP300</t>
  </si>
  <si>
    <t>Mobil Super 2000 10w-40 5L, filtro aceite Mann W712/19</t>
  </si>
  <si>
    <t>5x Mobil ATF D/M III 1L + Led H4 R11 28000 lm</t>
  </si>
  <si>
    <t>2x Led H7 R11</t>
  </si>
  <si>
    <t>Led H7 y 9005 R11</t>
  </si>
  <si>
    <t>Correa Gates 6PK1028</t>
  </si>
  <si>
    <t>Kixx 10w-40 4L, Filtro W719/15</t>
  </si>
  <si>
    <t>Castrol Magnatec 10w-40, Filtro W67/80</t>
  </si>
  <si>
    <t>2 x Mobil Delvac MX 15w-40 4L, Filtro WP928/81, WK920/1, C24011 (stp)</t>
  </si>
  <si>
    <t>Mobil Special 20w-50 4L, W713/1 HK</t>
  </si>
  <si>
    <t>Cuota 1 ópticos Nissan V16</t>
  </si>
  <si>
    <t>Mobil Super 2000 10w-40 1L</t>
  </si>
  <si>
    <t>Base termostato y espejo izq Peugeot 206</t>
  </si>
  <si>
    <t>Led H4 K9 28000 lm</t>
  </si>
  <si>
    <t>Filtro de aire C2524 Filtec</t>
  </si>
  <si>
    <t>Foco trasero izq Spark LT</t>
  </si>
  <si>
    <t>Filtro aire Hyundai 2006 (STP)</t>
  </si>
  <si>
    <t>Mobil Special 20w-50, filtro W68/80 HK</t>
  </si>
  <si>
    <t>2 x Mobil Delvac MX 15w-40 4L, WP928/82 HK</t>
  </si>
  <si>
    <t>Led H7 K9</t>
  </si>
  <si>
    <t>Super 2000 10w-40 4L, W68/85 HK</t>
  </si>
  <si>
    <t>Super 2000 10w-40 4L, W811/80 Mann</t>
  </si>
  <si>
    <t>Castrol Magnatec 10w-40 1L</t>
  </si>
  <si>
    <t>Led H4 R11 12000 lm</t>
  </si>
  <si>
    <t>Super 2000 10w-40 4L, W68/80 HK</t>
  </si>
  <si>
    <t>2 x Mobil 1 4L + W610/80 Mann</t>
  </si>
  <si>
    <t>Mobil Special 20w-50, w68/80, plumillas tercel</t>
  </si>
  <si>
    <t>Cuota 2 ópticos Nissan V16</t>
  </si>
  <si>
    <t>Led H1 R11 12000 lm</t>
  </si>
  <si>
    <t>Mobil Special 20w-50 4L, W68/80 HK</t>
  </si>
  <si>
    <t>Mobil Special 20w-50 4L, W712/13 Mann, C2535</t>
  </si>
  <si>
    <t>2xMobil Delvac MX 14w-40 4L, W713/34 Mann</t>
  </si>
  <si>
    <t>Mobil Super 1000 + filtro HK W713/1 + C2964</t>
  </si>
  <si>
    <t>Filtro de aire Auris 07</t>
  </si>
  <si>
    <t>Protector contra roedores</t>
  </si>
  <si>
    <t>Mobil Super 2000, filtros mazda 2 2010</t>
  </si>
  <si>
    <t>Shell 10w40 4L</t>
  </si>
  <si>
    <t>Filtro W719/27 Mann, 2x mobilube 80w90 1L</t>
  </si>
  <si>
    <t>Plumillas flat 22'' y 16''</t>
  </si>
  <si>
    <t>Cotización 3</t>
  </si>
  <si>
    <t>Super 2000 4L, w610/82 Mann</t>
  </si>
  <si>
    <t>Plumillas flat 24'' y 18''</t>
  </si>
  <si>
    <t>2 x Delvac MX 4L + kit filtros Dmax 2.5 2012</t>
  </si>
  <si>
    <t>Kit embrague Valeo Kia Morning G3LA 2016</t>
  </si>
  <si>
    <t>Led H7 R11 12000 lm</t>
  </si>
  <si>
    <t>Led H7 K9 y 9005 R11 28000 lm</t>
  </si>
  <si>
    <t>2x Mobilube HD Plus 80w-90 1L</t>
  </si>
  <si>
    <t>Reten y piola embrague Morning</t>
  </si>
  <si>
    <t>Manguera superior radiador Luv 2002</t>
  </si>
  <si>
    <t>Led 9006 R11 12000 lm</t>
  </si>
  <si>
    <t>Kit filtros kia rio 2006</t>
  </si>
  <si>
    <t>Plumillas March</t>
  </si>
  <si>
    <t>Plumillas Accent RB</t>
  </si>
  <si>
    <t>Plumillas Primera</t>
  </si>
  <si>
    <t>Plumillas Tercel</t>
  </si>
  <si>
    <t>Plumillas Sportage</t>
  </si>
  <si>
    <t>Plumillas Mazda 3 y accent rb</t>
  </si>
  <si>
    <t>Plumillas Ford Escape</t>
  </si>
  <si>
    <t>Plumillas accent y mazda 2</t>
  </si>
  <si>
    <t>Super 2000 + w67/80</t>
  </si>
  <si>
    <t>Led H11 R11 12000 lm</t>
  </si>
  <si>
    <t>Super 2000, w67/80 y filtro polen mazda 2</t>
  </si>
  <si>
    <t>Plumillas Mazda 3</t>
  </si>
  <si>
    <t>Plumillas 18'' y 20''</t>
  </si>
  <si>
    <t>Bujías Changan CS1 + Plumillas 22'' y 16''</t>
  </si>
  <si>
    <t>Correa Gates 6PK1840</t>
  </si>
  <si>
    <t>Plumillas Mazda 3 24'' y 18''</t>
  </si>
  <si>
    <t>Special 20w-50 4L + W67/81 Special 1L</t>
  </si>
  <si>
    <t>H11 R11 28000 lm</t>
  </si>
  <si>
    <t>Filtro aceite y 2 x super 2000</t>
  </si>
  <si>
    <t>2 Delvac MX 15w40 + filtro aceite w830/3</t>
  </si>
  <si>
    <t>Plumillas 22'' y 16''</t>
  </si>
  <si>
    <t>Filtros Kia Frontier 2006</t>
  </si>
  <si>
    <t>Cambio Porter y plumillas</t>
  </si>
  <si>
    <t>Plumillas 24'' y 16'', Led H11 R11</t>
  </si>
  <si>
    <t>Plumillas 18'' x2</t>
  </si>
  <si>
    <t>Piola embrague peugeot partner</t>
  </si>
  <si>
    <t>Led H3 R11</t>
  </si>
  <si>
    <t>Plumillas 26'' y 16''</t>
  </si>
  <si>
    <t>Plumillas 20'' y 16''</t>
  </si>
  <si>
    <t>Filtro aire c2362 changan</t>
  </si>
  <si>
    <t xml:space="preserve">Plumillas 20'' y 18'' </t>
  </si>
  <si>
    <t>Led H11 K9 28000 lm</t>
  </si>
  <si>
    <t>Super 1000 20w-50 4L + filtro w67/81 hk</t>
  </si>
  <si>
    <t>Ópticos y faroles punta Luv 2000</t>
  </si>
  <si>
    <t>Espejos luv 2002</t>
  </si>
  <si>
    <t>Bota aguas Kia Sportage Pro</t>
  </si>
  <si>
    <t>Bota aguas Kia Sportage 2011-2015</t>
  </si>
  <si>
    <t>Plumillas 26'' y 14''</t>
  </si>
  <si>
    <t>Bota aguas Chevrolet Cruze Sedán</t>
  </si>
  <si>
    <t>Bota aguas Hyundai H1 2014</t>
  </si>
  <si>
    <t>Bota aguas Wingle 5 2014</t>
  </si>
  <si>
    <t>Bota aguas Kia Rio 5 2018</t>
  </si>
  <si>
    <t xml:space="preserve">Bota aguas Citröen C-Elysse </t>
  </si>
  <si>
    <t>Bota aguas Nissan Terrano 2005</t>
  </si>
  <si>
    <t>Bota aguas Mitsubishi L200 2022</t>
  </si>
  <si>
    <t xml:space="preserve">Bota aguas MG ZS </t>
  </si>
  <si>
    <t>Bota aguas Jac T8</t>
  </si>
  <si>
    <t>Bota aguas Suzuki Alto</t>
  </si>
  <si>
    <t>Bota aguas Hyundai Accent 2009</t>
  </si>
  <si>
    <t>Bota aguas Hyundai Porter</t>
  </si>
  <si>
    <t>Bujias Hilux 94</t>
  </si>
  <si>
    <t>Plumillas 24'' y 20'' 5 adapt</t>
  </si>
  <si>
    <t>Bota aguas Mazda 3 2da</t>
  </si>
  <si>
    <t>Plumillas 16'' y 24''</t>
  </si>
  <si>
    <t>Plumillas Auris y 4Runner</t>
  </si>
  <si>
    <t>Bota aguas Toyota Yaris 2010</t>
  </si>
  <si>
    <t>Bota aguas Suzuki Baleno 1996</t>
  </si>
  <si>
    <t>Filtro aire C25125 Hyundai Porter</t>
  </si>
  <si>
    <t>Kit embrague Vitara g16a</t>
  </si>
  <si>
    <t>Led H7 K9 28000 lm</t>
  </si>
  <si>
    <t>Bota aguas Nissan March</t>
  </si>
  <si>
    <t>Manilla Hyundai Accent</t>
  </si>
  <si>
    <t>Bota aguas Chevrolet S10</t>
  </si>
  <si>
    <t>Bota aguas Mazda 3 SPORT 1era</t>
  </si>
  <si>
    <t>Bota aguas Toyota Hilux 2008</t>
  </si>
  <si>
    <t>Bota aguas Nissan Sentra II</t>
  </si>
  <si>
    <t>Bota aguas Renault Fluence</t>
  </si>
  <si>
    <t>Castrol 10w-40 1L</t>
  </si>
  <si>
    <t xml:space="preserve">Plumillas Kia rio 16 y 26 </t>
  </si>
  <si>
    <t>plumillas  14 y 16 18</t>
  </si>
  <si>
    <t>Bota aguas Spark Lt</t>
  </si>
  <si>
    <t>Bota aguas Hyundai Accent 98</t>
  </si>
  <si>
    <t>Super 1000 15w-40 4L, w68/80 HK</t>
  </si>
  <si>
    <t>W67/80 HK y C3121 Stp</t>
  </si>
  <si>
    <t>Cambio de aceite raul</t>
  </si>
  <si>
    <t>Plumillas 22'' y 20''</t>
  </si>
  <si>
    <t>Super 1000 15w-40 4L y filtro w712/52 Mann (VW Cross Fox)</t>
  </si>
  <si>
    <t>Led 880 K9 28000 lm</t>
  </si>
  <si>
    <t>Super 1000 20w-50 4L + filtro w68/80 hk</t>
  </si>
  <si>
    <t>Ópticos y faroles punta Luv 2002</t>
  </si>
  <si>
    <t>Bota aguas Ford Ranger 2007-2011</t>
  </si>
  <si>
    <t>6PK 1840 Mazda 2</t>
  </si>
  <si>
    <t>Bota aguas Mazda 3</t>
  </si>
  <si>
    <t>Bota aguas Kia Morning 2007</t>
  </si>
  <si>
    <t xml:space="preserve">Super 2000, HU6006z HK </t>
  </si>
  <si>
    <t>Plumillas 26'' y 22''</t>
  </si>
  <si>
    <t>Super 1000 20w-50 4L, w68/80 hk</t>
  </si>
  <si>
    <t>Super 2000 4L, w68/80 hk</t>
  </si>
  <si>
    <t>Led H8 K9 28000 km</t>
  </si>
  <si>
    <t>Super 1000 20w-50 4L</t>
  </si>
  <si>
    <t>Super 2000 10w-40 4L, w712/22 HK</t>
  </si>
  <si>
    <t>Special 20w-50 4L + W712/22 Mann</t>
  </si>
  <si>
    <t>Manillas Luv 2008</t>
  </si>
  <si>
    <t>Mobil Super 3000 2L</t>
  </si>
  <si>
    <t>Filtros cambio morning</t>
  </si>
  <si>
    <t>Led H4 K9 28000 lm x2</t>
  </si>
  <si>
    <t>Super 2000 10w-40 4L, W610/80 Mann, Correa 5pk 895</t>
  </si>
  <si>
    <t>Special 20w-50 4L, W719/15 HK, plumillas 18'' y 20''</t>
  </si>
  <si>
    <t>MX 15w-40 8L granel, WP928/82 HK</t>
  </si>
  <si>
    <t>Special 20w-50 4L, W713/1 Mann</t>
  </si>
  <si>
    <t>Radiador Spark DGP</t>
  </si>
  <si>
    <t>Bota aguas Yaris Sport 4 puertas</t>
  </si>
  <si>
    <t>W67/80 HK</t>
  </si>
  <si>
    <t>Mobil 1 4L y 1L, W719/45 HK</t>
  </si>
  <si>
    <t>Transmisión 75w90</t>
  </si>
  <si>
    <t>Aceite, filtro, bota aguas y luces Yaris</t>
  </si>
  <si>
    <t>Led 9005 12000 lm</t>
  </si>
  <si>
    <t>Led H4 K9 28000lm</t>
  </si>
  <si>
    <t>Amortiguadores traseros Yaris 2003</t>
  </si>
  <si>
    <t>Super 2000 4L, w811/80 Mann</t>
  </si>
  <si>
    <t>Special 20w-50 4L, w67/81 Mann</t>
  </si>
  <si>
    <t>Special 20w-60 4L, w712/22 Mann</t>
  </si>
  <si>
    <t>Led 9006 K9 28000 lm</t>
  </si>
  <si>
    <t xml:space="preserve">Super 2000, HU7001x hk, limpia motor, filtro aire </t>
  </si>
  <si>
    <t>Super 2000 4L, W75/2 HK, C1858/1 HK</t>
  </si>
  <si>
    <t>Funda asientos y protector asiento trasero</t>
  </si>
  <si>
    <t>Correa alternador Opel Astra Gates</t>
  </si>
  <si>
    <t>Repuestos Toyota Tercel 95</t>
  </si>
  <si>
    <t>Cambio Donfeng</t>
  </si>
  <si>
    <t>Cambio Dmax 2.5</t>
  </si>
  <si>
    <t>Led 9004 K9 28000lm</t>
  </si>
  <si>
    <t>Aceite y filtros Dmax 2.5 2013</t>
  </si>
  <si>
    <t>Limpiador y desengrasante motorlife x2</t>
  </si>
  <si>
    <t>Super 2000 4L, w67/80 HK</t>
  </si>
  <si>
    <t>WK612 STP</t>
  </si>
  <si>
    <t>Super 2000 4L</t>
  </si>
  <si>
    <t>Super 3000 4L, w712/22 hk, C2488 hk</t>
  </si>
  <si>
    <t>Super 3000 4L, w68/85 HK, C2692 HK</t>
  </si>
  <si>
    <t>W920/48 Kendall</t>
  </si>
  <si>
    <t>MX 15w-40 5L granel, C15135 Kaf</t>
  </si>
  <si>
    <t>Kixx 10w-40 4L, w610/82 HK</t>
  </si>
  <si>
    <t>Mobilube 80w90 1L</t>
  </si>
  <si>
    <t>Super 2000 10w-40 4L, w818/8 HK</t>
  </si>
  <si>
    <t>Luces LED 9005 y 9006</t>
  </si>
  <si>
    <t>Super 3000, w68/85 HK</t>
  </si>
  <si>
    <t>Repuestos VW Saveiro 2008</t>
  </si>
  <si>
    <t>Super 2000 4L, w67/80 y CU2201 HK</t>
  </si>
  <si>
    <t>Mx 15w-40, Filtros y cambio Foton</t>
  </si>
  <si>
    <t>Super 4T 20w-50 1L</t>
  </si>
  <si>
    <t>Filtro de aire C2513</t>
  </si>
  <si>
    <t>Aceite Shell 10w-40 4L y filtro Wix w68/80</t>
  </si>
  <si>
    <t>C. Venta</t>
  </si>
  <si>
    <t>Mx 15w40 6L, HU7019x Mann</t>
  </si>
  <si>
    <t>3*Mx 4L, Filtros Chevrolet NKR</t>
  </si>
  <si>
    <t>Filtros W67/80 y C3121</t>
  </si>
  <si>
    <t>Mobil Super 1000 15w-40 4L</t>
  </si>
  <si>
    <t>Super 2000, w68/85, C2692</t>
  </si>
  <si>
    <t>Mobil Special 20w50 1L</t>
  </si>
  <si>
    <t>2 Mx 4L, super 2000 x4 x1, filtros aceite</t>
  </si>
  <si>
    <t>Filtro w68/80 Hernan</t>
  </si>
  <si>
    <t>Special 20w50 4L</t>
  </si>
  <si>
    <t>Super 2000 4L, w68/80 MV</t>
  </si>
  <si>
    <t>Super 2000 5L, w712/19 Mann</t>
  </si>
  <si>
    <t>Super 2000 4L, HU6006z, CU1919</t>
  </si>
  <si>
    <t>W68/80 MV</t>
  </si>
  <si>
    <t>Aceite y repuestos tucson</t>
  </si>
  <si>
    <t>Radio Aiwa con parlantes</t>
  </si>
  <si>
    <t>Plumillas 14'' y 20''</t>
  </si>
  <si>
    <t>Led 9005 y H11 K9</t>
  </si>
  <si>
    <t>Kit de distribución V16</t>
  </si>
  <si>
    <t>Aceite y filtros Dmax 3.0 2010</t>
  </si>
  <si>
    <t>Motor flush Mag 1</t>
  </si>
  <si>
    <t>Aceite y filtros Np300</t>
  </si>
  <si>
    <t>Radiador Tercel 1.5 5EFE</t>
  </si>
  <si>
    <t>Bobinas Samsung SM7</t>
  </si>
  <si>
    <t>Mobilube 80w90 1L x 3</t>
  </si>
  <si>
    <t>Repuestos Yaris Chino</t>
  </si>
  <si>
    <t>Luces 880 K9</t>
  </si>
  <si>
    <t>Kit de embrague Yaris 2002</t>
  </si>
  <si>
    <t>Led 880 R11</t>
  </si>
  <si>
    <t>Inmobilizador + alarma Nemesis</t>
  </si>
  <si>
    <t>Led 9005</t>
  </si>
  <si>
    <t>Desengrasante motor</t>
  </si>
  <si>
    <t>Flush motor</t>
  </si>
  <si>
    <t>Super 2000 4L, w712/22 HK, filtro combustible aveo</t>
  </si>
  <si>
    <t>Kit de distribución Spark</t>
  </si>
  <si>
    <t>Mx 15w-40 4L + 2L, W712/73, PU835x</t>
  </si>
  <si>
    <t>Led H3 K9</t>
  </si>
  <si>
    <t>Shell 10w-40 4L, w712/22 hk</t>
  </si>
  <si>
    <t>Super 2000, w68/80 MV, C2419</t>
  </si>
  <si>
    <t>Aceite, filtros y limpia motor para montana</t>
  </si>
  <si>
    <t>Super 2000 4x1L + filtro aceite</t>
  </si>
  <si>
    <t>Líquido de frenos Mobil 355cc</t>
  </si>
  <si>
    <t>Special 20w-50, Filtro aceite spark</t>
  </si>
  <si>
    <t>Aceite y kit filtros sportage</t>
  </si>
  <si>
    <t>Filtro aceite kendall</t>
  </si>
  <si>
    <t>Aceite shell</t>
  </si>
  <si>
    <t>Filtro w67/81</t>
  </si>
  <si>
    <t>Aceite y filtros Navara 2011</t>
  </si>
  <si>
    <t>Special 20w50 4L + W67/81 HK</t>
  </si>
  <si>
    <t>Filtro de polen CU2623</t>
  </si>
  <si>
    <t>Filtros de aire y polen baleno</t>
  </si>
  <si>
    <t>Super 2000 y filtros nissan tiida</t>
  </si>
  <si>
    <t>Super 2000, filtros aceite y aire dmax 2.5</t>
  </si>
  <si>
    <t>Mobilfluid 424 19L</t>
  </si>
  <si>
    <t>Repuestos y neumáticos Chv Corsa</t>
  </si>
  <si>
    <t>Led H4 Phillips</t>
  </si>
  <si>
    <t>Super 2000 67/80</t>
  </si>
  <si>
    <t>Super 2000 4L, w712/52 Mann</t>
  </si>
  <si>
    <t>Shell 15w-40 caja</t>
  </si>
  <si>
    <t>Special 20w-50 4L + w712/22 DGP</t>
  </si>
  <si>
    <t>Nuto H68 19L</t>
  </si>
  <si>
    <t>Filtro aire</t>
  </si>
  <si>
    <t>Led H11 y 9006 K9 28000 lm</t>
  </si>
  <si>
    <t>Special 20w-50 + filtro de aceite</t>
  </si>
  <si>
    <t>Special 20w-50 4L + filtros tercel</t>
  </si>
  <si>
    <t xml:space="preserve">Aceite, filtros y coolant </t>
  </si>
  <si>
    <t>Special 20w-50 4L, w67/81 HK</t>
  </si>
  <si>
    <t>Filtros L200 2.5</t>
  </si>
  <si>
    <t>Piola Freno central y filtro petroleo Hilux</t>
  </si>
  <si>
    <t>Super 2000 4L, w67/80 hk, C2336 Stp</t>
  </si>
  <si>
    <t>Super 2000 4L, w68/85 hk, filtro bencina stp</t>
  </si>
  <si>
    <t>195/50R15 Aptany</t>
  </si>
  <si>
    <t>165/60R14 Hankook</t>
  </si>
  <si>
    <t>Focos optra</t>
  </si>
  <si>
    <t>Tapas de rueda optra</t>
  </si>
  <si>
    <t>Repuestos saveiro</t>
  </si>
  <si>
    <t>Luces H7 K9</t>
  </si>
  <si>
    <t>Plumillas 18''</t>
  </si>
  <si>
    <t>Radio aiwa 1 din con pantalla tactil</t>
  </si>
  <si>
    <t>Neumático Fortune PCR 195/55R15 85H FSR-801 x2</t>
  </si>
  <si>
    <t>Super 2000 10w40 4L</t>
  </si>
  <si>
    <t>Super 3000, HU716/2x Citroen Jumpy</t>
  </si>
  <si>
    <t>Super 2000 1L</t>
  </si>
  <si>
    <t>Super 2000 4L, w67/80 Hk</t>
  </si>
  <si>
    <t>Bujías Tercel Pablo</t>
  </si>
  <si>
    <t>Special 20w50 4L, w712/19 HK</t>
  </si>
  <si>
    <t>Focos traseros hilux 94</t>
  </si>
  <si>
    <t>Super 2000 4L y filtros Oroch</t>
  </si>
  <si>
    <t>Super 2000 4L w712/22 DGP</t>
  </si>
  <si>
    <t>Shell HX5 15w-40 4L</t>
  </si>
  <si>
    <t>Plumillas 20'' x2</t>
  </si>
  <si>
    <t>CU23001-2 Filtro de cabina Mazda 2</t>
  </si>
  <si>
    <t>Parlantes aiwa</t>
  </si>
  <si>
    <t>Plumillas 16'' y 26'' Partner 5 adapt</t>
  </si>
  <si>
    <t>Alarma Nemesis + App connect 401</t>
  </si>
  <si>
    <t>Filtro Polen yaris cu1919 hk</t>
  </si>
  <si>
    <t>Super 2000, w67/80, plumillas</t>
  </si>
  <si>
    <t>Plumillas 16'' y 22'' 5 adap</t>
  </si>
  <si>
    <t>Filtro aire hilux</t>
  </si>
  <si>
    <t>Aceite y filtro charade g20</t>
  </si>
  <si>
    <t>Shell 15w-40 4L + w67/81 hk</t>
  </si>
  <si>
    <t>Mobil 1 4L, W712/73 Mann</t>
  </si>
  <si>
    <t>W712/52 Kendall</t>
  </si>
  <si>
    <t>Liquimoly 10w40 4L</t>
  </si>
  <si>
    <t>Wolver 5w30 4L, Filtro aceite y aire</t>
  </si>
  <si>
    <t>Plumillas 16'' y 26''</t>
  </si>
  <si>
    <t>Plumillas 16'' y 26'' 5 adap</t>
  </si>
  <si>
    <t>Plumillas 22'' y 18'' 5 adap</t>
  </si>
  <si>
    <t>Repuestos motor D4BX Agricola Agua Viva</t>
  </si>
  <si>
    <t>Plumillas 16''</t>
  </si>
  <si>
    <t>W713/1 MV</t>
  </si>
  <si>
    <t>Mobil ATF DM III 1 L</t>
  </si>
  <si>
    <t>Agua limpiaparabrisas</t>
  </si>
  <si>
    <t>Mobilube 80w-90 1L x 3</t>
  </si>
  <si>
    <t>abc</t>
  </si>
  <si>
    <t>Aceite y filtros spark gt, luces led</t>
  </si>
  <si>
    <t>Plastico Megane</t>
  </si>
  <si>
    <t>Cable capor chv apache</t>
  </si>
  <si>
    <t>W67/80 Hk</t>
  </si>
  <si>
    <t>Super 2000 1L x2</t>
  </si>
  <si>
    <t>Plumillas 22'' y 14''</t>
  </si>
  <si>
    <t>Foco Optra 2004</t>
  </si>
  <si>
    <t>Mobilube 80w-90 1L x 2</t>
  </si>
  <si>
    <t>Shell Helix HX5 15w-40 4L</t>
  </si>
  <si>
    <t>Plumillas 24'' y 18''</t>
  </si>
  <si>
    <t>Plumillas 26'' y 18'' 5 adapt</t>
  </si>
  <si>
    <t>Super 2000 4L, w67/1, C2336</t>
  </si>
  <si>
    <t>Aceite y filtros foton</t>
  </si>
  <si>
    <t>Super 2000 4L+1L, W818/8 HK</t>
  </si>
  <si>
    <t>Repuestos Tucson</t>
  </si>
  <si>
    <t>Special 20w-50 4L, w712/22 DGP</t>
  </si>
  <si>
    <t>Special 20w-50 4L, w67/81 DGP</t>
  </si>
  <si>
    <t>Dmax 2013 aceite y filtros + atf d/m</t>
  </si>
  <si>
    <t>Led H1 K9</t>
  </si>
  <si>
    <t>Led 9006 K9</t>
  </si>
  <si>
    <t>Special 20w50 1L x4, 713/1 HK</t>
  </si>
  <si>
    <t>Shell 15w40 4L + W75/2</t>
  </si>
  <si>
    <t>Shell 10w40 4L + w68/80 HK</t>
  </si>
  <si>
    <t>MX 15w40 4L + 2L, filtros</t>
  </si>
  <si>
    <t>W927/8 Wix</t>
  </si>
  <si>
    <t>CU1910 HK</t>
  </si>
  <si>
    <t>Plumillas 24'' y 16''</t>
  </si>
  <si>
    <t>Plumillas 24'' y 14'' 5 adapt</t>
  </si>
  <si>
    <t>Shell 15w-50 4L, W713/1 HK</t>
  </si>
  <si>
    <t>Alarma Nemesis Gold Pro PP13</t>
  </si>
  <si>
    <t>Liquimoly 10w40 4L + w67/80</t>
  </si>
  <si>
    <t>Cables de bujias y taladro</t>
  </si>
  <si>
    <t>w610/82 STP + C2568</t>
  </si>
  <si>
    <t>Special 20w50 1L</t>
  </si>
  <si>
    <t>CUK26009 HK filtro de polen</t>
  </si>
  <si>
    <t>w818/8 HK filtro de aceite</t>
  </si>
  <si>
    <t>Shell Helix Ultra 5w-30 4L</t>
  </si>
  <si>
    <t>w811/80 hk</t>
  </si>
  <si>
    <t>Hu716/2x, c3585</t>
  </si>
  <si>
    <t>Led 9005 K9</t>
  </si>
  <si>
    <t>Led T15</t>
  </si>
  <si>
    <t>Led Phillips H7</t>
  </si>
  <si>
    <t>Wolver 20w-50 4L + w68/80 Hk</t>
  </si>
  <si>
    <t>Tubo salida de agua Combo 1.7</t>
  </si>
  <si>
    <t>Bulbo marcha atrás Tucson</t>
  </si>
  <si>
    <t>Plumillas 5 adap 22'' y 18''</t>
  </si>
  <si>
    <t>Wolver 20w50 4L</t>
  </si>
  <si>
    <t>W67/81 HK</t>
  </si>
  <si>
    <t>Alarma Nemesis</t>
  </si>
  <si>
    <t>Shell 5w30 4L, w610/80</t>
  </si>
  <si>
    <t>w811/80 Mann + Alarma Nemesis</t>
  </si>
  <si>
    <t>Plumillas 24'' y 14''</t>
  </si>
  <si>
    <t>Shell 15w40 4L + w712/22 Bosch</t>
  </si>
  <si>
    <t>w68/85 HK + w818/8 Hk</t>
  </si>
  <si>
    <t>Shell 15w40 4L</t>
  </si>
  <si>
    <t xml:space="preserve">Coolant Troop verde </t>
  </si>
  <si>
    <t>MX 15w40 4L + 2L, filtro aceite</t>
  </si>
  <si>
    <t>Bomba de agua y termostato spark gt</t>
  </si>
  <si>
    <t>Shell 5w30 4L + 1L, HU7006x</t>
  </si>
  <si>
    <t>Farol de punta nissan v16</t>
  </si>
  <si>
    <t>Repuestos Charade</t>
  </si>
  <si>
    <t>Wolver 15w40 4L x2, PSL283</t>
  </si>
  <si>
    <t>Shell 5w30 4L</t>
  </si>
  <si>
    <t>Shell 10w40 4L, w67/80 hk</t>
  </si>
  <si>
    <t>Decantador, Filtro petroleo y aire</t>
  </si>
  <si>
    <t>Liquido de frenos mobil</t>
  </si>
  <si>
    <t>Flat 26'' y 16''</t>
  </si>
  <si>
    <t>Shell 10w40 4L, w68/85 hk, 2 coolant verde</t>
  </si>
  <si>
    <t>Filtro de aire spark gt c3619</t>
  </si>
  <si>
    <t>Olipes 5L, w7023</t>
  </si>
  <si>
    <t>Aceite y filtros morning 2016</t>
  </si>
  <si>
    <t>Wolver 20w50 4L+1L, w712/22 DGP</t>
  </si>
  <si>
    <t>Aceite y filtros tercel + ceratec</t>
  </si>
  <si>
    <t>Wolver 20w50 1L</t>
  </si>
  <si>
    <t>Shell 15w40 4L, W67/81</t>
  </si>
  <si>
    <t>Wolver 75w90 1L x2</t>
  </si>
  <si>
    <t>Shell 10w40 4L + w68/85 HK</t>
  </si>
  <si>
    <t>Olipes 5L, w68/80 HK</t>
  </si>
  <si>
    <t>Super 2000 4L, w811/80 HK</t>
  </si>
  <si>
    <t>Cambio flor</t>
  </si>
  <si>
    <t>Super 2000 4L, w811/80, C26026</t>
  </si>
  <si>
    <t>Shell 15w40 4L, w68/80, C2524</t>
  </si>
  <si>
    <t>Shell 10w40 4L, w67/81 HK</t>
  </si>
  <si>
    <t>Repuestos tercel</t>
  </si>
  <si>
    <t>Shell 10w40 4L, w67/81 DGP</t>
  </si>
  <si>
    <t>Shell 5w30 4L, C33006</t>
  </si>
  <si>
    <t>w75/2 HK</t>
  </si>
  <si>
    <t>Nissan V16 aceite y filtros</t>
  </si>
  <si>
    <t>Repuestos Baleno</t>
  </si>
  <si>
    <t>Led T1 x2</t>
  </si>
  <si>
    <t>Wolver 5w30 4L, HU612/2x Filtro aceite</t>
  </si>
  <si>
    <t>Dana 10w40 4L, w610/82 DGP</t>
  </si>
  <si>
    <t>Led H4 60k lm</t>
  </si>
  <si>
    <t>Shell 10w40 4L, w67/80</t>
  </si>
  <si>
    <t xml:space="preserve">Super 2000 4L, </t>
  </si>
  <si>
    <t>Neumáticos Royalmile x2</t>
  </si>
  <si>
    <t>Shell 10w40 4L, w68/85 hk</t>
  </si>
  <si>
    <t>Shell 10w40 4L, w712/19</t>
  </si>
  <si>
    <t>Cobertor auto talla s</t>
  </si>
  <si>
    <t>Led T1 H11</t>
  </si>
  <si>
    <t>Focos Saveiro</t>
  </si>
  <si>
    <t>Boleta nula (se salto el folio)</t>
  </si>
  <si>
    <t>Super 2000 4x1L, w67/80</t>
  </si>
  <si>
    <t>C25140 Hk</t>
  </si>
  <si>
    <t>Led T1 H7</t>
  </si>
  <si>
    <t>Wolver 20w50 4L, w67/81, C2214</t>
  </si>
  <si>
    <t>Filtro aceite Kendall w712/52</t>
  </si>
  <si>
    <t>Shell 15w40 4L, w610/82 HK</t>
  </si>
  <si>
    <t>Mobil Super 2000 4x1L</t>
  </si>
  <si>
    <t>Shell 15w40 4L, w67/81 dgp</t>
  </si>
  <si>
    <t>H4 phillips halógenas</t>
  </si>
  <si>
    <t>Wolver 20w50 4Lx2, w68/80, w818/8</t>
  </si>
  <si>
    <t>Shell 10w40 4L, w818/8, Shell 1 litro granel</t>
  </si>
  <si>
    <t>Radio Aiwa 1 din con parlantes</t>
  </si>
  <si>
    <t>Led H11 T1</t>
  </si>
  <si>
    <t>Delvac MX 15w40 4L y 1L</t>
  </si>
  <si>
    <t>w920/48 Kendall</t>
  </si>
  <si>
    <t>Filtro de aire, petroleo y decantador Terrano</t>
  </si>
  <si>
    <t>Super 2000 4L y 1L, w818/8 STP</t>
  </si>
  <si>
    <t>Wolver 5w30, filtro aceite y aire</t>
  </si>
  <si>
    <t>Luces led t1</t>
  </si>
  <si>
    <t>Mx 4 y 1 L, w610/3, c2330</t>
  </si>
  <si>
    <t>Mobil 1 4L, W67/80 HK, filtro de aire Mando</t>
  </si>
  <si>
    <t>Super 2000, w67/80</t>
  </si>
  <si>
    <t>Mobil 1 4L x2, w712/19 HK</t>
  </si>
  <si>
    <t>Dmax 2013 aceite y filtro aceite + aire</t>
  </si>
  <si>
    <t>Wolver 20w50 4x1L, w712/19 Hk</t>
  </si>
  <si>
    <t>Bujías+filtro bencina sail</t>
  </si>
  <si>
    <t>Filtro aire y polen Morning 1.0</t>
  </si>
  <si>
    <t>Neumatico 175/70R13 x4</t>
  </si>
  <si>
    <t>Shell 10w40, filtro de aire compass</t>
  </si>
  <si>
    <t>Filtro w818/88 Hk</t>
  </si>
  <si>
    <t>Filtros Dmax 3.0 2010</t>
  </si>
  <si>
    <t>Dana 15w40 4Lx2, filtro Tecfil</t>
  </si>
  <si>
    <t>Kit embrague y homocineticas saveiro</t>
  </si>
  <si>
    <t>Repuestos y aceite Montana 1.8</t>
  </si>
  <si>
    <t>H7 halógena y liquido de frenos mobil</t>
  </si>
  <si>
    <t>Agua verde</t>
  </si>
  <si>
    <t>Filtros y aceite Dmax</t>
  </si>
  <si>
    <t>Repuestos hilux 94</t>
  </si>
  <si>
    <t>Super 2000 4L, w67/80 hk</t>
  </si>
  <si>
    <t>Shell 10w40 4L doble sello arabe</t>
  </si>
  <si>
    <t>Shell 10w40 4L doble sello arabe x2, HU819/1x</t>
  </si>
  <si>
    <t>Super 2000 4L, w712/22</t>
  </si>
  <si>
    <t>Shell 10w40 4L sello arabe, w811/80 HK</t>
  </si>
  <si>
    <t>Shell 5w30 4L y 2L, filtros tucson 2.0 2008</t>
  </si>
  <si>
    <t>Pastillas de freno, correa 4pk 915 Yaris</t>
  </si>
  <si>
    <t>Wolver 20w50 4L, w712/22 dgp</t>
  </si>
  <si>
    <t>Shell 10w40 4L GER, w67/80 HK, filtro de aire</t>
  </si>
  <si>
    <t>Shell 10w40 4L GER, w67/80 wurtex, c3121</t>
  </si>
  <si>
    <t>Filtro de aceite w610/82 DGP</t>
  </si>
  <si>
    <t>Parachoques Optra</t>
  </si>
  <si>
    <t>Aceite, filtro para accent 2008</t>
  </si>
  <si>
    <t>Aceite y filtros prisma</t>
  </si>
  <si>
    <t>Liquimoly moto 20w50 1L</t>
  </si>
  <si>
    <t>Aceite y filtros porter</t>
  </si>
  <si>
    <t>Bandejas morning 2016</t>
  </si>
  <si>
    <t>Alarma nemesis pp13</t>
  </si>
  <si>
    <t>Repuestos Yaris</t>
  </si>
  <si>
    <t>Shell 10w40, filtros yaris</t>
  </si>
  <si>
    <t>Shell 10w40 4L, w818/8</t>
  </si>
  <si>
    <t>Castrol 15w40 3,78L, w68/80</t>
  </si>
  <si>
    <t>Mobil super 1000 15w40, w719/12</t>
  </si>
  <si>
    <t>Filtros BMW</t>
  </si>
  <si>
    <t>Super 2000 4L, w67/80, C3121</t>
  </si>
  <si>
    <t>Filtros de aire y polen rio jb</t>
  </si>
  <si>
    <t>P927x HK</t>
  </si>
  <si>
    <t>Repuestos toyota tercel Hernan</t>
  </si>
  <si>
    <t>Shell 10w40 4L, w712/12</t>
  </si>
  <si>
    <t>Bomba de agua tercel</t>
  </si>
  <si>
    <t>Castrol 5w30 4L, w67/80, c20005</t>
  </si>
  <si>
    <t>MX 15w40 4L + 3x1L, HU7019x</t>
  </si>
  <si>
    <t>Shell 10w40 4+1, w712/52, filtro aire</t>
  </si>
  <si>
    <t>Luces y plumillas</t>
  </si>
  <si>
    <t>H4 60k lm, luces halogenas</t>
  </si>
  <si>
    <t>Cambio sportage</t>
  </si>
  <si>
    <t>Shell ECT 5w30 4 y 1L, w68/80</t>
  </si>
  <si>
    <t>Radiador Aveo 2011 AT c/aire</t>
  </si>
  <si>
    <t>Bateria 55ah</t>
  </si>
  <si>
    <t>Bateria 50ah</t>
  </si>
  <si>
    <t>CU1919 filtro polen</t>
  </si>
  <si>
    <t>Wolver 5w30 4L, w67/80, plumillas</t>
  </si>
  <si>
    <t>Shell 10w40 4L, w68/80, correas de acc</t>
  </si>
  <si>
    <t>Dana 15w40 4Lx2</t>
  </si>
  <si>
    <t>Led h4 T1</t>
  </si>
  <si>
    <t>Shell 10w40 1Lx4, w67/80, C3121</t>
  </si>
  <si>
    <t>Dana 10w40 4L, w610/82 Mann</t>
  </si>
  <si>
    <t>CU22001-2 HK</t>
  </si>
  <si>
    <t>Wolver 20w50 4L, w67/80 hk</t>
  </si>
  <si>
    <t>Shell 10w40 1Lx4, w67/80</t>
  </si>
  <si>
    <t>Super 2000 1Lx4, w67/80</t>
  </si>
  <si>
    <t>Castrol 5w30 4Lx2, y filtros</t>
  </si>
  <si>
    <t>Castrol 5w40 4L, w68/85, c2294</t>
  </si>
  <si>
    <t>Plumillas 20'' x4</t>
  </si>
  <si>
    <t>MX 15w40 4L+2L, ,hu719/3x</t>
  </si>
  <si>
    <t>Bujías Yaris Eco, Plumillas 22 y 18''</t>
  </si>
  <si>
    <t>Super 2000 4L + filtros</t>
  </si>
  <si>
    <t>Kit embrague y empaquetadura</t>
  </si>
  <si>
    <t>Super 2000 1Lx4, w818/8, C26026</t>
  </si>
  <si>
    <t>Castrol 10w40 4L, w719/15, c29108, wk613/3</t>
  </si>
  <si>
    <t>Shell 10w40 4L,w67/80 hk</t>
  </si>
  <si>
    <t>Cu2336 kia rio</t>
  </si>
  <si>
    <t>Dana 10w40</t>
  </si>
  <si>
    <t>Castrol 10w40 4L, w818/8</t>
  </si>
  <si>
    <t>Castrol 15w40 3,78L, w67/81 dgp</t>
  </si>
  <si>
    <t xml:space="preserve">Plumillas 16 y 26'' </t>
  </si>
  <si>
    <t>Super 1000 15w40 4L, w68/80</t>
  </si>
  <si>
    <t>Neumaticos Suarez</t>
  </si>
  <si>
    <t>Repuestos Nissan Sentra</t>
  </si>
  <si>
    <t>Castrol 10w40 4L, w811/80 hk, c26035</t>
  </si>
  <si>
    <t>HU719/8x HK, C16134/1 HK (filtros volvo c30)</t>
  </si>
  <si>
    <t>Super 1000 15w40 4L</t>
  </si>
  <si>
    <t>Shell 15w40 4L, w67/81 DGP</t>
  </si>
  <si>
    <t>Shell 10w40 4L, pastillas delanteras Suzuki SX4</t>
  </si>
  <si>
    <t>w610/80 hk</t>
  </si>
  <si>
    <t>Shell 10w40 4L, w67/80 HK</t>
  </si>
  <si>
    <t>Shell 10w40 4L+1L, w719/15 HK</t>
  </si>
  <si>
    <t>Plumillas Flat 22'' y 20''</t>
  </si>
  <si>
    <t>Filtros petroleo, aire y cabina Captiva 2010</t>
  </si>
  <si>
    <t>Liquimoly 10w40 4L azul, HU6006z</t>
  </si>
  <si>
    <t>Shell 15w40 4L, w712/19 Mann</t>
  </si>
  <si>
    <t>Liqui Moly 5w30 5L+1L, filtros ssangyong</t>
  </si>
  <si>
    <t>Super 2000 4L, w68/85 DGP, c3619 hk</t>
  </si>
  <si>
    <t>Neumáticos Flor</t>
  </si>
  <si>
    <t>Bota aguas Yaris 2010</t>
  </si>
  <si>
    <t>Shell 15w40 4L, Filtros aceite y aire, t1 h4</t>
  </si>
  <si>
    <t>Super 2000 4L, w719/15</t>
  </si>
  <si>
    <t>Wolver 5w30 1Lx5, C2201 HK</t>
  </si>
  <si>
    <t>75w85 1Lx3 Mannol</t>
  </si>
  <si>
    <t>Shell 10w40 4L, w818/8 hk</t>
  </si>
  <si>
    <t>Neumaticos y pastillas de freno</t>
  </si>
  <si>
    <t>HU816x, C23041 Kendall</t>
  </si>
  <si>
    <t>Flat 20'' x2</t>
  </si>
  <si>
    <t>Super 2000 4L, w811/80, T1 H4</t>
  </si>
  <si>
    <t>Shell 10w40 4L, w712/22 DGP</t>
  </si>
  <si>
    <t>Flat 24'' y 16''</t>
  </si>
  <si>
    <t>Shell 10w40 4L, w68/80, c2513</t>
  </si>
  <si>
    <t>Dana 10w40 4L x2</t>
  </si>
  <si>
    <t>LiquiMoly MoS 10w40 4L, w811/80</t>
  </si>
  <si>
    <t>Shell 10w40 4L, w67/80, C3121</t>
  </si>
  <si>
    <t>Switch Freno Ford F150</t>
  </si>
  <si>
    <t>Super 2000 1L x7, w8018, c25140, p927x</t>
  </si>
  <si>
    <t>Liquimoly 10w40 4L+1L azul, w818/8 Mann</t>
  </si>
  <si>
    <t>Repuestos i10</t>
  </si>
  <si>
    <t>Aceite transmision y bujias luv</t>
  </si>
  <si>
    <t>Liquimoly 10w40 4L, w811/80 hk</t>
  </si>
  <si>
    <t>Castrol 10w40 1L x4, w67/80  w68/80</t>
  </si>
  <si>
    <t>Bandejas i10</t>
  </si>
  <si>
    <t>Shell 10w40 4L, w67/80, c2336</t>
  </si>
  <si>
    <t>Super 2000 4L + 2x1L</t>
  </si>
  <si>
    <t>Special 20w50 4L, w712/22 DGP</t>
  </si>
  <si>
    <t>Super 2000 4L, Shell 10w40 1L*4, hu6006z, w811/80</t>
  </si>
  <si>
    <t>Shell 10w40 4L, w68/85 DGP</t>
  </si>
  <si>
    <t>Shell 10w40 4L. w610/82 hk</t>
  </si>
  <si>
    <t>Liqui Moly 10w40 5L, w67/80 hk</t>
  </si>
  <si>
    <t>Liqui Moly Top Tec 4200 5w30 5Lx2, filtros actyon y mg zs</t>
  </si>
  <si>
    <t>Flat 24'' y 14'' 5 adap</t>
  </si>
  <si>
    <t>Super 2000 4L, w7023 hk, c22015</t>
  </si>
  <si>
    <t>Wolver 5w30 4L, w68/85, c2692, cu19006</t>
  </si>
  <si>
    <t>Shell 10w40 4L, w818/8, c2332, filtro polen</t>
  </si>
  <si>
    <t>Dana 15w40 4L</t>
  </si>
  <si>
    <t>W713/34 hk</t>
  </si>
  <si>
    <t>MX 15w40 4L + 2x1L</t>
  </si>
  <si>
    <t>Batería 55 amp bosch</t>
  </si>
  <si>
    <t>Super 1000 15w40, w713/1 hk</t>
  </si>
  <si>
    <t>Shell 15w40 4L, w818/8</t>
  </si>
  <si>
    <t>Liqui Moly 10w40 5L</t>
  </si>
  <si>
    <t>Correas Hyundai Accent</t>
  </si>
  <si>
    <t>Plumilla trasera GM Spark</t>
  </si>
  <si>
    <t>Liqui Moly Top Tec 4200 5L+1L, w712/19</t>
  </si>
  <si>
    <t>H7 halogenas</t>
  </si>
  <si>
    <t>Motor de partida fiat uno 93</t>
  </si>
  <si>
    <t>Dana 10w40 4L x2, Olar 5w30 7L</t>
  </si>
  <si>
    <t>Olar 5w30 7L, HU7019x</t>
  </si>
  <si>
    <t>Super 2000 10w40</t>
  </si>
  <si>
    <t>Dana 10w40 4L, w610/82 HK</t>
  </si>
  <si>
    <t>Dana 10w40 4L, w712/22 Hk</t>
  </si>
  <si>
    <t>Wolver 75w90 x3</t>
  </si>
  <si>
    <t>Super 2000 4L, w67/80, filtros aire y polen atos</t>
  </si>
  <si>
    <t>Shell 10w40 4L, w67/81 HK, filtros aire y polen</t>
  </si>
  <si>
    <t>Mannol 10w40 4L molibden, w67/80, c2340</t>
  </si>
  <si>
    <t>C2419, CU1919 HK</t>
  </si>
  <si>
    <t>Mannol 10w40 4L molibden</t>
  </si>
  <si>
    <t>Mannol 10w40 4L molibden, w811/80, lavado motor lbk</t>
  </si>
  <si>
    <t>H613/1x HK</t>
  </si>
  <si>
    <t>Mannol 10w40 molibden, Dana 10w40</t>
  </si>
  <si>
    <t>Dana 10w40 4L</t>
  </si>
  <si>
    <t>Shell 15w40 4L, w68/80</t>
  </si>
  <si>
    <t>Pastillas de freno y tuercas para kia morning 2013 g4la</t>
  </si>
  <si>
    <t>Olar 5w30 7L</t>
  </si>
  <si>
    <t>Shell 5w30 4L, w68/85, cu19006, lavado motor lubritek</t>
  </si>
  <si>
    <t>Liqui Moly 5w30 5L Top Tec, w67/80, cu24009, lavado motor lubritek</t>
  </si>
  <si>
    <t>Shell 15w40 1L</t>
  </si>
  <si>
    <t>Olar Penta 5w30 1L x4</t>
  </si>
  <si>
    <t>Bujías Morning</t>
  </si>
  <si>
    <t xml:space="preserve">CABLE BUJIAS 27501-22B00 (C1113) </t>
  </si>
  <si>
    <t>Shell 10w40 4L, w67/80 hk, c2336 stp</t>
  </si>
  <si>
    <t>H11 Halogenas x2</t>
  </si>
  <si>
    <t>Castrol Edge 5w30 4L, w67/80, CU22011</t>
  </si>
  <si>
    <t>Shell 15w40 4L, w712/19</t>
  </si>
  <si>
    <t>Shell 15w40 4L, w67/81 hk</t>
  </si>
  <si>
    <t>Foco Spark Lt</t>
  </si>
  <si>
    <t>Shell 15w40 4L, w712/22 hk</t>
  </si>
  <si>
    <t>Super 2000 4L, w67/81 DGP</t>
  </si>
  <si>
    <t>Penta 5w30 4L, w712/19</t>
  </si>
  <si>
    <t>Super 1000 15w40 4L, hu711/51x</t>
  </si>
  <si>
    <t>Shell 5w30 ECT 4Lx2, filtros frontier</t>
  </si>
  <si>
    <t>w610/82 hk</t>
  </si>
  <si>
    <t>Mannol 10w40 4L, w68/80 hk, coolant troop</t>
  </si>
  <si>
    <t>Mannol 10w40 1L</t>
  </si>
  <si>
    <t>Olar 5w30 4L x2, w67/81 x2, filtros aire y polen baleno y swift</t>
  </si>
  <si>
    <t>Wolver 5w30 1Lx2, w7023</t>
  </si>
  <si>
    <t>HU816x, c24025 HK filtros bmw</t>
  </si>
  <si>
    <t>Super 2000 4L, w811/80, c26035 hk</t>
  </si>
  <si>
    <t>Shell 10w40 4L, w712/22</t>
  </si>
  <si>
    <t>Super 2000 4L, w712/22, c2324</t>
  </si>
  <si>
    <t xml:space="preserve">Castrol 10w40 1L x4 </t>
  </si>
  <si>
    <t>Wolver 20w50, w67/81 dgp, c2214, motor flush, 80w90 1 L</t>
  </si>
  <si>
    <t>Coolant Troop</t>
  </si>
  <si>
    <t>Wolver 20w50, w68/80 hk</t>
  </si>
  <si>
    <t>Olar Penta 5w30 4L</t>
  </si>
  <si>
    <t>C28010 HK</t>
  </si>
  <si>
    <t>Filtros y aceite: H100, morning y yaris ecco</t>
  </si>
  <si>
    <t>Wolver 20w50 4L, Special 20w50 1L x4</t>
  </si>
  <si>
    <t>Shell 5w30 4L + 1Lx2, filtros tucson 2008 diesel</t>
  </si>
  <si>
    <t>Liqui moly 5w30 azul 4L, w67/81 hk, c28015 filtec</t>
  </si>
  <si>
    <t>C30171</t>
  </si>
  <si>
    <t>CU19005 filtro polen baleno</t>
  </si>
  <si>
    <t>Super 2000 4L, w68/80, c2419 hk</t>
  </si>
  <si>
    <t>C42109 UK-9331</t>
  </si>
  <si>
    <t xml:space="preserve">Shell 10w40 4L, filtros cerato 2012, ceramo, motor flush </t>
  </si>
  <si>
    <t>Mannol 10w40 4L, w818/8, ceramo</t>
  </si>
  <si>
    <t>MX 15w40 4L+2x1L, filtros kia frontier</t>
  </si>
  <si>
    <t>Kit Empaquetadura Chery Tiggo 1.6 2009</t>
  </si>
  <si>
    <t>Mobil 1 4L y 2x1L, w712/19, c16134/2</t>
  </si>
  <si>
    <t>CU2733 filtro polen mann</t>
  </si>
  <si>
    <t>Bujías Bosch FR78X Bosch Yaris</t>
  </si>
  <si>
    <t>Mobil 1 4L + 2x1L, Ceramo</t>
  </si>
  <si>
    <t>Super 1000 15w40 4L, w713/1 HK</t>
  </si>
  <si>
    <t>WK854/1, WK854/6 HK</t>
  </si>
  <si>
    <t xml:space="preserve">Shell 10w40 4L, w67/80, c2336 </t>
  </si>
  <si>
    <t>Mx 15w40 x6L, w8018, c25140, motor flush</t>
  </si>
  <si>
    <t>Shell 10w40 4L, w818/8, c25013</t>
  </si>
  <si>
    <t>Termostato Chery Tiggo 1.6 2009</t>
  </si>
  <si>
    <t>Super 2000 4L, w68/85, cu19006, lavado motor lubritek</t>
  </si>
  <si>
    <t>Shell 5w30 4L x2, filtros hyundai Atos y morning (BenzGLA220d)</t>
  </si>
  <si>
    <t>Mannol 10w40 4L, w68/80 hk, c2513</t>
  </si>
  <si>
    <t>Wolver 15w40 4L, w1030/81, wk1120, wk962/7</t>
  </si>
  <si>
    <t>Wolver 5w30 7L, HU6011z, pu9009z, c21001, wk8109, cu2141</t>
  </si>
  <si>
    <t>Shell 10w40 4L, w712/22, c30125/1, wk512, lavado motor y ceramo</t>
  </si>
  <si>
    <t>Shell 15w40 4L, w68/80 hk</t>
  </si>
  <si>
    <t>Mannol 10w40 4L, w68/80 hk</t>
  </si>
  <si>
    <t>Mannol 10w40 1Lx4, w712/22 hk, cables bujias corsa</t>
  </si>
  <si>
    <t>Liqui Moly 10w40 4L, w811/80, lubritek motor flush</t>
  </si>
  <si>
    <t>Mx 15w40 4L + 3x1L, w927/8, c25125, wk815</t>
  </si>
  <si>
    <t>Olar Penta 5w30 7Lx3 (caja)</t>
  </si>
  <si>
    <t>Inmobilizador Nemesis</t>
  </si>
  <si>
    <t>Ventilador Bora</t>
  </si>
  <si>
    <t>Total 5w30 4L Ineo, filtros peugeot 2008 2015, motor flush y agua desmineralizada</t>
  </si>
  <si>
    <t>Discos de freno y pastillas baleno</t>
  </si>
  <si>
    <t>Servofreno Chevy 500</t>
  </si>
  <si>
    <t>anular</t>
  </si>
  <si>
    <t>Mannol 20w50 4L</t>
  </si>
  <si>
    <t>Shell 10w40 4L, w610/80, c2964</t>
  </si>
  <si>
    <t>Olar 5w30 1L</t>
  </si>
  <si>
    <t>Liqui Moly 5w30 top tec 1L</t>
  </si>
  <si>
    <t>Bujias Chev Sonic 2015 NGK ZFR5F-11</t>
  </si>
  <si>
    <t>Limpia carburador, wk29/22 x2</t>
  </si>
  <si>
    <t>Super 2000 4L, w811/80, motor flush lubritek</t>
  </si>
  <si>
    <t>Filtro combustible wk613</t>
  </si>
  <si>
    <t>Pastillas de freno Suzuki SX4</t>
  </si>
  <si>
    <t>Mobil 1 5w30 4L + 1L, w67/80, c2201</t>
  </si>
  <si>
    <t>Super 2000 4L, w610/82, c2964</t>
  </si>
  <si>
    <t>Shell 10w40 4L, w67/80, c2964</t>
  </si>
  <si>
    <t>Motor flush lubritek</t>
  </si>
  <si>
    <t>Kit de embrague Luk</t>
  </si>
  <si>
    <t>Super 2000, 811/80, c26026, cu2336</t>
  </si>
  <si>
    <t>Olar 20w50 1L x2</t>
  </si>
  <si>
    <t>Filtro aire Audi A4</t>
  </si>
  <si>
    <t>Wolver 5w30 1Lx4, w610/82, motor flush lubritek</t>
  </si>
  <si>
    <t>Olar 5w30 4L, w712/19, motor flush lubritek</t>
  </si>
  <si>
    <t>Perno amortiguador Hyundai Atos</t>
  </si>
  <si>
    <t>Liqui Moly 10w40 azul 4Lx2, w818/8 Mann</t>
  </si>
  <si>
    <t>Bujías Hyundai Atos Genuinas</t>
  </si>
  <si>
    <t>total 35</t>
  </si>
  <si>
    <t>Shell 10w40 4L + 1L, w712/22 stp</t>
  </si>
  <si>
    <t>HU816x, c24025, c4151</t>
  </si>
  <si>
    <t>UK-8650 filtro aire Honda CRV</t>
  </si>
  <si>
    <t>Mannol 20w50 4L, Shell 15w40 4L, c2513</t>
  </si>
  <si>
    <t>Ceramo</t>
  </si>
  <si>
    <t>W680/3 Mann Filter</t>
  </si>
  <si>
    <t>Dana 10w40 4L, w67/80, c3121</t>
  </si>
  <si>
    <t>Shell 10w40 4L, w610/82, c2585 stp</t>
  </si>
  <si>
    <t>Cotización 286: Wolver 5w40 4Lx2+1L, w927/8, c25125, WK854/1 Filtec</t>
  </si>
  <si>
    <t>Mannol 10w40 Classic 4L, w712/55, motor flush mannol, c28136</t>
  </si>
  <si>
    <t>Mannol 5w30 7L, w610/82 hk, motor flush mannol 300 ml</t>
  </si>
  <si>
    <t>Mannol classic 10w40 4L, w75/2 hk, c33006, delvac 15w40 1L</t>
  </si>
  <si>
    <t>Bomba de agua tercel 5efe</t>
  </si>
  <si>
    <t>Amortiguadores tucson</t>
  </si>
  <si>
    <t>Bujías Chev Sail Champion, 4PK611SF, 6PK1795 Gates</t>
  </si>
  <si>
    <t>Mobil 1 4L + 3x1L, ceramo, motor flush lubritek, filtros kia sorento</t>
  </si>
  <si>
    <t>Mannol 10w40 Classic 4L, w719/27 HK, Bujias NGK LZKAR6AP-11</t>
  </si>
  <si>
    <t>Bujías denso u-groove</t>
  </si>
  <si>
    <t>Liqui Moly 10w40 4L azul, w610/82, c26026, cu2336</t>
  </si>
  <si>
    <t>Liqui Moly 10w40 4L azul, w811/80, motor flush mannol, ceramo</t>
  </si>
  <si>
    <t>Mannol 20w50, w67/81, c2413, h4 halogena</t>
  </si>
  <si>
    <t>Super 2000 1L x4, w68/85, c2692, motor flush mannol, ceramo</t>
  </si>
  <si>
    <t>Olar 5w30 7L, Rimula 15w40 5L x2</t>
  </si>
  <si>
    <t>CU2358 Filtec</t>
  </si>
  <si>
    <t>MX 15w40 4L+2x1L, filtros Terrano 2.5, ceramo, motor flush lubritek</t>
  </si>
  <si>
    <t>Liqui Moly 10w40 4L azul, w712/19, c3233/1, cu2043</t>
  </si>
  <si>
    <t>Olar 5w30 4L</t>
  </si>
  <si>
    <t>Castrol 20w50 3.75L, filtro bencina mann, c1159, w818/8</t>
  </si>
  <si>
    <t>Castrol 10w40 1Lx3, w719/15, c29108, ceramo</t>
  </si>
  <si>
    <t>Super 2000 4L, w818/8, c26026, cu2336, ceramo, motor flush lubritek</t>
  </si>
  <si>
    <t>Pastillas de freno mazda 6</t>
  </si>
  <si>
    <t>Mannol 5w30 5L, w67/81, motor flush MAG 1</t>
  </si>
  <si>
    <t>Shell 15w40 4L, w67/81 hk, c2914 filtec</t>
  </si>
  <si>
    <t>Mannol 5w30 7L, w927/8, c24011, pu835x, motor flush mannol, ceramo, aguacol -3</t>
  </si>
  <si>
    <t>Super 2000 4L, w7023 hk, filtro aire atos 2020-2024</t>
  </si>
  <si>
    <t>Shell 15w40 4L, w818/8 hk</t>
  </si>
  <si>
    <t>Desengrasante de motor motorlife</t>
  </si>
  <si>
    <t>Super 2000 4L, w67/80, c3121, cu22001/2, motor flush mag1, ceramo, bujias mazda 2</t>
  </si>
  <si>
    <t>Super 2000 4L, w68/80, c2419 stp</t>
  </si>
  <si>
    <t>Mobil Mx 15w40 4L+3x1L, HU7019x, c28011, motor flush mannol, ceramo</t>
  </si>
  <si>
    <t>Dana 10w40 4L, w610/82 hk, coolant verde</t>
  </si>
  <si>
    <t>Mobil Special 20w50 4x1L, w67/80</t>
  </si>
  <si>
    <t>Mobil Super 2000 4L, w712/22, c2324, motor flush lubritek, ceramo</t>
  </si>
  <si>
    <t>Liqui Moly 0w20 4L</t>
  </si>
  <si>
    <t>Olar 5w30 3L, w67/80, cu2336, motor flush mannol</t>
  </si>
  <si>
    <t>Liqui Moly 5L azul, w67/80</t>
  </si>
  <si>
    <t>Super 2000 4L, w68/80, c2419, motor flush mannol, Led R11</t>
  </si>
  <si>
    <t>Liqui Moly Molygen 5w30 4L, w68/85, c3619, bujias, pastillas de freno, corra acc, motor flush mannol</t>
  </si>
  <si>
    <t>H27-2 halogena x2</t>
  </si>
  <si>
    <t>4pk790, 4 pernos rueda 19 mm</t>
  </si>
  <si>
    <t>MX 15w40 4L+2x1L, w920/21 Kendall, C15135</t>
  </si>
  <si>
    <t>Coolant Aguacol, brazo articulado jonnesway</t>
  </si>
  <si>
    <t>Shell 15w40 4L, w713/1 hk</t>
  </si>
  <si>
    <t>Mannol 10w40 4L, w68/80, c2513 hk</t>
  </si>
  <si>
    <t>w927/8, c16163/1 stp</t>
  </si>
  <si>
    <t>Mobil 1 5w30 4L, w67/80 hk</t>
  </si>
  <si>
    <t>Pastillas de freno y correas de accesorios nissan D21</t>
  </si>
  <si>
    <t>Shell 5w30 2x4L, filtros dmax 2.5 2018</t>
  </si>
  <si>
    <t>MX 15w40 4L+2x1L, w927/8, c25125, wk920/1, plumilla 18' y 16''</t>
  </si>
  <si>
    <t>Super 2000 4L, w68/80, c2513, plumillas 26'' y 14''</t>
  </si>
  <si>
    <t xml:space="preserve">Repuestos Tercel cotización </t>
  </si>
  <si>
    <t>Olar 5w30, w712/8, c30904</t>
  </si>
  <si>
    <t>Mannol 10w40 4L, w818/8, c26026, cu2336, led h7 y 9006</t>
  </si>
  <si>
    <t>Super 2000 4L, w818/8, c26026, cu2336, motor flush mannol</t>
  </si>
  <si>
    <t>Neumaticos Baleno, olar 20w50 1L, shell 15w40 4L, w712/12, kit de embrague chevy 500</t>
  </si>
  <si>
    <t>Bujías Champion CEP2 x4</t>
  </si>
  <si>
    <t>Olar 5w30 7L x2</t>
  </si>
  <si>
    <t>Bateria spark</t>
  </si>
  <si>
    <t>Shell 10w40 4L, w818/8, c2332</t>
  </si>
  <si>
    <t>Total Ineo ecs 5w30 4L, filtro original peugeot, c3585</t>
  </si>
  <si>
    <t>Filtro aire Foton TM3</t>
  </si>
  <si>
    <t>w67/80 hk, shell 10w40 1L</t>
  </si>
  <si>
    <t>Liqui Moly 10w40 azul 4L, w7023, c26026, cu2336</t>
  </si>
  <si>
    <t>Shell 10w40 4L, w68/80, Shell 15w40 4L, w68/80</t>
  </si>
  <si>
    <t>Olar 5w30 1Lx4, w610/82, cu1910</t>
  </si>
  <si>
    <t>HU816x x2</t>
  </si>
  <si>
    <t>Mobil 1 5w30 4L+3x1L, filtros np300 2018</t>
  </si>
  <si>
    <t>Filtro aire foton crew</t>
  </si>
  <si>
    <t>C22015 HK, barra estabilizadora trasera y soldadura kia morning</t>
  </si>
  <si>
    <t>Plumillas 16'' 18'' 22'' 24''</t>
  </si>
  <si>
    <t>Total INEO ECS 5L, Rimula 5L, Hyundai 6L, plumillas 16'' y 24'', limpia inyector mannol x2</t>
  </si>
  <si>
    <t>Mannol 15w40 7L, filtros dmax 2010, coolant aguacon 10L</t>
  </si>
  <si>
    <t>Mannol 15w40 7L, filtros camion jaime</t>
  </si>
  <si>
    <t>Wolver 5w30 4L+1L, filtros changan hunter, ceramo, motor flush</t>
  </si>
  <si>
    <t>Plumllas 16'' y 24''</t>
  </si>
  <si>
    <t>Total INEO 5w30, filtros peugeot bipper 1.3, ceramo, motor flush</t>
  </si>
  <si>
    <t>Kit embrague y Bujías Bora</t>
  </si>
  <si>
    <t>Mannol 10w40 4L, w811/80 hk</t>
  </si>
  <si>
    <t>CU2336/2</t>
  </si>
  <si>
    <t>Wolver 5w30 4L, w712/22</t>
  </si>
  <si>
    <t>Tapa distribuidor chevy 500</t>
  </si>
  <si>
    <t>Olar 20w50 4L, w67/81, c1924</t>
  </si>
  <si>
    <t>Pastillas de freno Nissan V16</t>
  </si>
  <si>
    <t>Liqui Moly molygen 5w30 4L, w818/8, cu1828, motor flush y ceramo</t>
  </si>
  <si>
    <t>HU820x, c30125/1, motor flush, ceramo</t>
  </si>
  <si>
    <t>Ceramo x4</t>
  </si>
  <si>
    <t>Wolver 5w30 4L + 2L, filtros camion foton aumark</t>
  </si>
  <si>
    <t>Led 880 y H4 60k lm</t>
  </si>
  <si>
    <t>Shell 10w40 4L, filtros aceite y aire peugeot 206, ceramo, motor flush y termostato con base</t>
  </si>
  <si>
    <t>H4 Phillips, limpia inyector gasolina mannol</t>
  </si>
  <si>
    <t>Mannol 10w40 4L, w7023 hk</t>
  </si>
  <si>
    <t>Wolver 5w40 4Lx2, filtros jac x200</t>
  </si>
  <si>
    <t>Shell 15w40 4L, w610/82</t>
  </si>
  <si>
    <t>Super 2000 4L, w712/52</t>
  </si>
  <si>
    <t>Neumático Aptany RP203 195/50R15 82 V</t>
  </si>
  <si>
    <t>Mannol 15w40 7L, Dana 15w40 4L, filtros motor perforadora</t>
  </si>
  <si>
    <t>Filtro polen camion mercedes Tecfil ACP963</t>
  </si>
  <si>
    <t>Pack Mannol mantenimiento: motor flush, ceramo, limpia inyector gasolina</t>
  </si>
  <si>
    <t>Super 2000 4L, w67/80, c2340</t>
  </si>
  <si>
    <t>Optico, espejo e intermitentes laterales hyundai i10</t>
  </si>
  <si>
    <t>Plumillas 20 y 18</t>
  </si>
  <si>
    <t>Super 2000 4L, olar 20w50 1Lx3, w67/81, c2214, w818/8</t>
  </si>
  <si>
    <t>Bobina y cables de bujías Kia Sportage</t>
  </si>
  <si>
    <t>Pastillas Chv Aveo 2008</t>
  </si>
  <si>
    <t>Shell Helix 10w40 4L, c2324, cu2330, plumillas 16 y 22, mitad ceramo</t>
  </si>
  <si>
    <t>Wolver 5w30 4L, w67/80, filtro aire y polen mazda 3</t>
  </si>
  <si>
    <t>Total 5w30 INEO 5L, hu716/2x,c24017, pu7010z</t>
  </si>
  <si>
    <t>Plumillas 18 y 24</t>
  </si>
  <si>
    <t>Super 2000 4L, w7023, filtro aire atos, instalacion bieletas</t>
  </si>
  <si>
    <t xml:space="preserve">Pastillas delanteras aveo </t>
  </si>
  <si>
    <t>Aguacol agua verde</t>
  </si>
  <si>
    <t>Mobil 1 5w30 4L, w811/80, c28035, cu23019</t>
  </si>
  <si>
    <t>Correa 4pk790 korea</t>
  </si>
  <si>
    <t>Castrol 10w40 4L, w67/80</t>
  </si>
  <si>
    <t>Shell 5w30 4L, w610/82 hk</t>
  </si>
  <si>
    <t>Ceramo Mannol 300 ml x3</t>
  </si>
  <si>
    <t>Shell 10w40, w68/85, c2692, cu19006</t>
  </si>
  <si>
    <t>Liqui Moly repelente de roedores</t>
  </si>
  <si>
    <t>Shell 5w30 4L x2, filtros L200 2.4 2018</t>
  </si>
  <si>
    <t>Super 2000 4L, w811/80, c26035</t>
  </si>
  <si>
    <t>Olar 5w30 5L, HU716/2x, c3585, cu24012-2</t>
  </si>
  <si>
    <t>Plumillas Hella 18'' y 24''</t>
  </si>
  <si>
    <t>Filtros F150 C27134 y CU2939</t>
  </si>
  <si>
    <t>Olar 20w50 1L</t>
  </si>
  <si>
    <t>Plumillas 16'' y 22''</t>
  </si>
  <si>
    <t>Plumillas Hella 26'' y 20''</t>
  </si>
  <si>
    <t>Shell 5w30 4L + 2L, w830/3, c2631, cu2336</t>
  </si>
  <si>
    <t>Boleta por los filtros de la dongfeng</t>
  </si>
  <si>
    <t>Boleta naty kit distribucion, piola embrague y aceite caja</t>
  </si>
  <si>
    <t>H7 halogena Troop</t>
  </si>
  <si>
    <t>Hyundai Xteer Ultra RV C3 5w30 6L x2</t>
  </si>
  <si>
    <t>Mobil 1 5w30, w818/8, filtro aire y polen captiva 2021</t>
  </si>
  <si>
    <t>Mazda 2 aceite + filtros</t>
  </si>
  <si>
    <t>Tercel chino</t>
  </si>
  <si>
    <t>Repuestos dmax 2010</t>
  </si>
  <si>
    <t>Repuestos Tercel cotización 443</t>
  </si>
  <si>
    <t>Ceramo x3</t>
  </si>
  <si>
    <t>Mannol Drexron VI 1Lx5, filtro caja con empaque subaru</t>
  </si>
  <si>
    <t>Mobil super 2000 4L, w68/85, c2692, coolant verde</t>
  </si>
  <si>
    <t>Castrol 5w30 4L, w67/80, cu23011, plumillas 14 y 26</t>
  </si>
  <si>
    <t>Ceramo x2</t>
  </si>
  <si>
    <t>Repuestos Tucson paso los reyes</t>
  </si>
  <si>
    <t>CU1919</t>
  </si>
  <si>
    <t>Super 2000 4L, w68/80 DGP, C2419 HK</t>
  </si>
  <si>
    <t>Plumillas flat 22'' y 14'' 5 adap</t>
  </si>
  <si>
    <t>Plumillas flat 24'' y 16'' 5 adap</t>
  </si>
  <si>
    <t>Super 2000 4L, w68/80 DGP</t>
  </si>
  <si>
    <t>Mannol 10w40 4L+1L, w67/80, c2433/2, cu25012</t>
  </si>
  <si>
    <t>Neumático Fortune 225/65R17 102T FSR-303</t>
  </si>
  <si>
    <t>Mannol 10w40 4L+1L, hu612/2x, cu2442</t>
  </si>
  <si>
    <t>Super 2000 4L, w67/80 x2, filtros aire y polen morning, filtro polen atos</t>
  </si>
  <si>
    <t>Mannol ATF Dexron VI x3</t>
  </si>
  <si>
    <t>Pack Mannol Motor Flush, Limpia Inyectores Gasolina, Ceramo</t>
  </si>
  <si>
    <t>Mannol ATF Dexron VI x2</t>
  </si>
  <si>
    <t>Total 0w30 5L Ineo First, w712/8, c33007</t>
  </si>
  <si>
    <t>Mobil 1 5w30 4Lx2</t>
  </si>
  <si>
    <t>Shell 10w40 4L, w811/80, c2631, cu2336</t>
  </si>
  <si>
    <t>MX 15w40 4L, motor flush mannol</t>
  </si>
  <si>
    <t>w927/8, c17205, wk920/1</t>
  </si>
  <si>
    <t>Shell 15w40 4L, w68/80 DGP</t>
  </si>
  <si>
    <t>Mobil 1 5w30 4L, ceramo, led h4 60k lm</t>
  </si>
  <si>
    <t>Foco trasero dmax 2010, renovador neumaticos senfineco</t>
  </si>
  <si>
    <t>Mannol 10w40 4L, w67/80, c3121</t>
  </si>
  <si>
    <t>Triple pack - silicona, renovador, cera</t>
  </si>
  <si>
    <t xml:space="preserve">Wolver 5w40 1L </t>
  </si>
  <si>
    <t>Shell 10w40 4L, hu6006z, c2419, cu1919</t>
  </si>
  <si>
    <t>Shell 10w40 4L, w719/27</t>
  </si>
  <si>
    <t>Phillips H4 halogena x2</t>
  </si>
  <si>
    <t>Shell 10w40 4L, w610/82, t10 bosch</t>
  </si>
  <si>
    <t>Olar 5w30 5L, w67/81 hk</t>
  </si>
  <si>
    <t>Shell 10w40 4L, w712/22, c2324</t>
  </si>
  <si>
    <t>Mannol 5w30 5L, w818/8 DGP, cu2434 HK</t>
  </si>
  <si>
    <t>Mannol 10w40 4L, w610/82 HK</t>
  </si>
  <si>
    <t>Mannol 10w40 4L</t>
  </si>
  <si>
    <t>Mannol 10w40 4L, w67/80 DGP, c3121, cu22001-2</t>
  </si>
  <si>
    <t>Limpia inyector Mannol x6</t>
  </si>
  <si>
    <t>Shell 10w40 4L, w713/1 hk</t>
  </si>
  <si>
    <t>Super 2000 4L, w818/8 DGP, C26026, CU2336</t>
  </si>
  <si>
    <t>Super 2000 4L x2, w610/82 x2</t>
  </si>
  <si>
    <t>Super 2000 4L, w712/22, c30125/1, motor flush mannol</t>
  </si>
  <si>
    <t>HU727/1x, cu22009-2, c30171, wk829/3, wk829/6</t>
  </si>
  <si>
    <t>Shell 10w40 4L, C2419, w68/80</t>
  </si>
  <si>
    <t>Shell 10w40 4L, w68/85, c2692, cu19006</t>
  </si>
  <si>
    <t>Mannol 20w50, w67/81</t>
  </si>
  <si>
    <t>Plumilla Flat 22 y 18</t>
  </si>
  <si>
    <t>Kit empaquetaduras Aveo F14D3 SABO</t>
  </si>
  <si>
    <t>Mannol 10w40 4L, w712/22 hk</t>
  </si>
  <si>
    <t>Plumillas 22 y 14+ acople radiador calefacción mazda 2</t>
  </si>
  <si>
    <t>Shell 15w40 4L, w67/80, c2564</t>
  </si>
  <si>
    <t>Prestone 35% corguard</t>
  </si>
  <si>
    <t>Mobil 1 4L+3x1L, hu7019x, c28011, cu2434</t>
  </si>
  <si>
    <t>Bateria Olimpo 55Ah CCA 315 (+Der)</t>
  </si>
  <si>
    <t>Bujias Toch Opel Astra, Plumillas 18'' 5 adap x2</t>
  </si>
  <si>
    <t>Mannol 5w30 5L, w610/82</t>
  </si>
  <si>
    <t>Ampolleta HB3 x2</t>
  </si>
  <si>
    <t>Shell 5w30 4L, w68/85 hk</t>
  </si>
  <si>
    <t>Plumillas 24'' y 18'' 5 adaptadores</t>
  </si>
  <si>
    <t>Plumillas 22'', 16'' y 13'', luces led 880 60k lm</t>
  </si>
  <si>
    <t>Terminal de dirección izq y der kia morning</t>
  </si>
  <si>
    <t>Led H11 60k lm</t>
  </si>
  <si>
    <t>Shell 10w40 4L, w811/80, cu2336, c26035</t>
  </si>
  <si>
    <t>Shell 15w40 4L, w68/80 DGP, c2513</t>
  </si>
  <si>
    <t>Mx 15w40 4L+1L, w610/3</t>
  </si>
  <si>
    <t>Correa 6PK1795 Gates chev. sail</t>
  </si>
  <si>
    <t xml:space="preserve">Filtro caja aut subaru </t>
  </si>
  <si>
    <t>T10 Bosch, Troop PR21 rojo 1 contacto</t>
  </si>
  <si>
    <t>Agua desmineralizada</t>
  </si>
  <si>
    <t>Desengrasante motor mannol</t>
  </si>
  <si>
    <t>Wolver 5w30 4L, w68/85</t>
  </si>
  <si>
    <t>Mannol 75w90 1Lx3</t>
  </si>
  <si>
    <t>Camion jac x200, camion foton aumark</t>
  </si>
  <si>
    <t>Hyundai Porter 2008</t>
  </si>
  <si>
    <t>Shell 10w40 4L, w68/80 DGP, H4 halogena flosser</t>
  </si>
  <si>
    <t xml:space="preserve">Total 5w30 5L, kit filtros peugeot 2008 1.6, amortiguadores portalon </t>
  </si>
  <si>
    <t>Bobina toyota Tercel</t>
  </si>
  <si>
    <t>Super 2000 4L, filtros hyundai Atos</t>
  </si>
  <si>
    <t>Shell 10w40 1L</t>
  </si>
  <si>
    <t>Super 2000 4L, w67/80 dgp, c3121, cu22001-2</t>
  </si>
  <si>
    <t>Repuestos Toyota Yaris 2004</t>
  </si>
  <si>
    <t>wk854/1, wk854/6, wp1144</t>
  </si>
  <si>
    <t>Mannol 10w40 4x1L, w818/8 DGP</t>
  </si>
  <si>
    <t>Optico, tambor freno y amortiguadores traseros Yaris 2004</t>
  </si>
  <si>
    <t>Led H7 60k lm</t>
  </si>
  <si>
    <t>Wolver 5w30 4L, w68/85, c2692</t>
  </si>
  <si>
    <t>Shell 10w40 4L, w67/80, c26048, cu24013</t>
  </si>
  <si>
    <t>Mensula, bandeja der toyota yaris + cierre centralizado</t>
  </si>
  <si>
    <t>Shell 10w40 4L, w68/85, C2692</t>
  </si>
  <si>
    <t>Olar 5w30 5L, w67/80 hk, c26014</t>
  </si>
  <si>
    <t>Plumillas 26'' y 16'' 5 adapt</t>
  </si>
  <si>
    <t>Shell 15w40 4L, w68/80, c2524</t>
  </si>
  <si>
    <t>Santa fe 2011: Mobil 1, filtros, antifriccionante mos2 y luces led</t>
  </si>
  <si>
    <t>Mobil super 2000 4L, w68/80, c2513, shell 15w40 4L, w67/81</t>
  </si>
  <si>
    <t>Wolver 5w30 4L+1L, filtros changan hunter, antifriccionante mos2 senfineco</t>
  </si>
  <si>
    <t>Capot Toyota Yaris 2004</t>
  </si>
  <si>
    <t>Shell 10w40 4l, w67/80 dgp, c3121 filtec</t>
  </si>
  <si>
    <t>Mannol 20w50 4L, w713/1, c2535, motor flush mannol</t>
  </si>
  <si>
    <t>Mannol 20w50 4L, w67/80, silicona gris mannol</t>
  </si>
  <si>
    <t>Super 2000 1Lx4,w7023, c26026, cu2336</t>
  </si>
  <si>
    <t>Silicona gris gasket mannol</t>
  </si>
  <si>
    <t>cu22001-2</t>
  </si>
  <si>
    <t>Shell 10w40 4L, w67/80 dgp, c3121 filtec</t>
  </si>
  <si>
    <t>Olar 5w30 5L, w712/19, Ceramol senfineco</t>
  </si>
  <si>
    <t>Mobil Super 2000 4x1L, w818/8, c2775, mannol 75w90 1Lx2</t>
  </si>
  <si>
    <t>Mannol 5w30 5L, w712/8 hk</t>
  </si>
  <si>
    <t>Super 2000 1Lx4, w68/80 dgp, 2 h3 halogenas</t>
  </si>
  <si>
    <t>Bujías Volvo v70 2009</t>
  </si>
  <si>
    <t>Batería 55 ah</t>
  </si>
  <si>
    <t>Switch freno nissan primera</t>
  </si>
  <si>
    <t>CU22009-2</t>
  </si>
  <si>
    <t>Liqui Moly Top Tec 5w30 1L</t>
  </si>
  <si>
    <t>SUper 2000 1Lx4, w68/80</t>
  </si>
  <si>
    <t>Shell 15w40 4L, w67/80, c2559, aditivo corta humo</t>
  </si>
  <si>
    <t>Shell 10w40 4L +1L, w712/81 Mann</t>
  </si>
  <si>
    <t>Mannol 15w40 7L, w927/8, c16163/1, wk920/1</t>
  </si>
  <si>
    <t>Olar 20w50 1Lx3, w67/81, wolver 80w90 1L</t>
  </si>
  <si>
    <t>Bomba de agua JWA Tucson</t>
  </si>
  <si>
    <t>Mobil delvac MX 15w40 4L+2x1L, HU819/1x, wk850/1, wk932/80</t>
  </si>
  <si>
    <t>Shell 15w40 4L, w68/80, wolver 80w90 1Lx2</t>
  </si>
  <si>
    <t>Super 2000 1Lx3, w67/80 hk</t>
  </si>
  <si>
    <t>Led H4 y H11 60k lm</t>
  </si>
  <si>
    <t>Mannol 5w30 7L</t>
  </si>
  <si>
    <t>Led 9012 60k lm</t>
  </si>
  <si>
    <t>Shell 15w40 4L, w67/80</t>
  </si>
  <si>
    <t>Shell 5w30 4Lx2, w712/19, c33017, pu938x, cu2145 stp</t>
  </si>
  <si>
    <t>Shell 10w40 4L+1L, w818/8</t>
  </si>
  <si>
    <t>Liqui moly 10w40 4L, w67/80, c26026, cu2336</t>
  </si>
  <si>
    <t>H7 halogena brasil</t>
  </si>
  <si>
    <t>Pastillas de freno delanteras y traseras Mitsubishi Montero Sport</t>
  </si>
  <si>
    <t>Filtro aire MG GS y polen MG GS</t>
  </si>
  <si>
    <t>Shell 15w40 4L, w68/80 hk, ceramol senfineco</t>
  </si>
  <si>
    <t>wolver 5w30 1Lx3,w7023, c22015, cu1910</t>
  </si>
  <si>
    <t>Filtro aire Fiat Argo</t>
  </si>
  <si>
    <t>Neumaticos Goodride 175/65R14 Hernan</t>
  </si>
  <si>
    <t>Liqui Moly Top Tec 5w30 1Lx5, filtros mazda cx5, motor flush mannol</t>
  </si>
  <si>
    <t>Wolver 5w30 4L, w75/22, filtros aire y polen kuv100, motor flush mannol</t>
  </si>
  <si>
    <t>Shell 10w40 4L+1L, w712/22</t>
  </si>
  <si>
    <t>PSL900, PC2/155 Tecfil</t>
  </si>
  <si>
    <t>Ravenol 10w40 LLO 4L, w719/15</t>
  </si>
  <si>
    <t>Shell 10w40 4L, w67/81, c2408, cu2145</t>
  </si>
  <si>
    <t>Castrol Magnatec 5w30 4L, w67/80, c20005, cu23011</t>
  </si>
  <si>
    <t>C2775 HK</t>
  </si>
  <si>
    <t>Shell 5w30 4L, w811/80, c28035 onnuri</t>
  </si>
  <si>
    <t>Mobil 1 5w30 4L+1L, w610/82, c2201, cu22004, led 60k lm x3</t>
  </si>
  <si>
    <t>Super 2000 4L, w67/80 dgp, c2201, cu1828</t>
  </si>
  <si>
    <t>Shell 10w40 4L, w67/80 hk, c26026, cu2336, aromatizante new car</t>
  </si>
  <si>
    <t>Mannol 15w40 7L, w713/34</t>
  </si>
  <si>
    <t>Mx 15w40 4L+2x1L, w927/8, c25125, wk815</t>
  </si>
  <si>
    <t>Liqui Moly 10w40 5L, w7023</t>
  </si>
  <si>
    <t>Liqui Moly 10w40 4L, w67/80 dgp</t>
  </si>
  <si>
    <t>Mannol 15w40 7L, w712/73, wk920, c23107</t>
  </si>
  <si>
    <t>MX 15w40 4L+1Lx2, w927/8, c17205, wk920/3 stp</t>
  </si>
  <si>
    <t>Ceramol Senfineco</t>
  </si>
  <si>
    <t>Wolver 5w30 4L, w712/81, cu2442, filtro aire mahle</t>
  </si>
  <si>
    <t>Mx 15w40 4L+1Lx3, w927/8, wk920/1, c25125</t>
  </si>
  <si>
    <t>Kit distribución Onnuri G4HG</t>
  </si>
  <si>
    <t>Mx 15w40 4L+1L, w920/82, wk1120, wk962/7, filtro aire foton crew</t>
  </si>
  <si>
    <t>Mannol Ceramic 5w30 4L, w68/85, cu19006, c2692, aromatizante new car abro</t>
  </si>
  <si>
    <t>Öl Verlu-stop Liqui Moly</t>
  </si>
  <si>
    <t>Total 5w30 5L, kit filtros peugeot expert 2.0 2016</t>
  </si>
  <si>
    <t>Led H4 y 9005 60k lm</t>
  </si>
  <si>
    <t>Mannol 15w40 7L, w8018, c25140, cu22010, p927x</t>
  </si>
  <si>
    <t>Kit distribución Toyota Tercel 5efe</t>
  </si>
  <si>
    <t>Mannol 5w30 Ceramic 4L, w68/85</t>
  </si>
  <si>
    <t>Shell 5w30 1L</t>
  </si>
  <si>
    <t>Mannol ceramic 10w40 4L, w68/85, cu19006</t>
  </si>
  <si>
    <t>Mannol 10w40 4L ceramic, w67/81</t>
  </si>
  <si>
    <t>Wolver 5w30 4L+1Lx3, filtros NP300</t>
  </si>
  <si>
    <t>Kit empaquetadura Toyota Tercel DGP</t>
  </si>
  <si>
    <t>HU7019z</t>
  </si>
  <si>
    <t>Kia Morning escuela, bomba de aceite, emp tapa valvula, aceite y filtros</t>
  </si>
  <si>
    <t>Mannol 5w30 4L Ceramic, w7023, cu24013, c26048</t>
  </si>
  <si>
    <t>Mobil 5w30 4L, w68/86, cu20010, c3619</t>
  </si>
  <si>
    <t>Mannol Ceramic 10w40 4L, w67/80 hk, filtros aire y polen atos, bujias morning</t>
  </si>
  <si>
    <t>Wolver 5w40 4Lx2, w818/8, c25125</t>
  </si>
  <si>
    <t>HU816x, c24025</t>
  </si>
  <si>
    <t>Limpia Inyector Mannol</t>
  </si>
  <si>
    <t>Castrol Magnatec 10w40 4L, w719/15, C29108</t>
  </si>
  <si>
    <t>w610/82, c22144, pu835x, cu2141</t>
  </si>
  <si>
    <t>Mannol Ceramic 5w30 4L+1L, w67/80, c2201, cu3121, motor flush pro</t>
  </si>
  <si>
    <t>C2964</t>
  </si>
  <si>
    <t>Luces Led h4, h7 y h1</t>
  </si>
  <si>
    <t>Bujias LZKR6B-10E</t>
  </si>
  <si>
    <t>Super 2000 4L, w68/80, c2513</t>
  </si>
  <si>
    <t>c2860 filtec</t>
  </si>
  <si>
    <t>Mannol 5w30 7L, filtros ssangyong rexton 2012</t>
  </si>
  <si>
    <t>VVT morning escuela</t>
  </si>
  <si>
    <t>Shell 15w30, w713/1</t>
  </si>
  <si>
    <t>Olar 5w30 5L</t>
  </si>
  <si>
    <t>Mobil 1 5w30 1Lx7</t>
  </si>
  <si>
    <t>Mannol ATF Dexron VI</t>
  </si>
  <si>
    <t>Super 2000 4L, w67/80, c3121</t>
  </si>
  <si>
    <t>Mannol 5w30 5L, w7008, c2631/5</t>
  </si>
  <si>
    <t>Super 2000 4L, w67/80, c26026</t>
  </si>
  <si>
    <t>Super 2000 4L, w818/8, c26035 onnuri, cu2336</t>
  </si>
  <si>
    <t>Bomba de bencina completa chv spark</t>
  </si>
  <si>
    <t>Super 2000 4L, w712/22, c30125/1</t>
  </si>
  <si>
    <t>Shell 10w40 4L, w67/80, c2617</t>
  </si>
  <si>
    <t>Mannol 5w30 4L Ceramic, w818/8, c26026, cu2336</t>
  </si>
  <si>
    <t>Shell 5w30 1Lx3, w67/81, filro polen great wall</t>
  </si>
  <si>
    <t>Correa 7PK990 Gates</t>
  </si>
  <si>
    <t>Mobil 1 0w20 4.73L, filtros subaru forester 2023 y refrigerante</t>
  </si>
  <si>
    <t>Mannol 15w40 7L, filtros terracan 2007</t>
  </si>
  <si>
    <t>Mannol 10w40 4l ceramic, w67/80, c26026, cu2336</t>
  </si>
  <si>
    <t>Super 2000 4l, w712/52, c2295/2</t>
  </si>
  <si>
    <t>Olar 20w50 1Lx3, w67/81, c2214</t>
  </si>
  <si>
    <t>Shell 10w40 4L, w67/80, c2340</t>
  </si>
  <si>
    <t>Mannol 10w40 4L ceramic, w713/1, motor flush pro, c3350</t>
  </si>
  <si>
    <t>Mantenimiento auto escuela</t>
  </si>
  <si>
    <t>Olar 20w50 1Lx4</t>
  </si>
  <si>
    <t>Neumatico Goodride 245/75R16</t>
  </si>
  <si>
    <t>Foton y Porter empresa aseo</t>
  </si>
  <si>
    <t>Mannol 5w30 7L, hu7019x, c28011, cu2434, wk824/3</t>
  </si>
  <si>
    <t>Mannol 10w40 ceramic, w7023, filtro aire y polen atos</t>
  </si>
  <si>
    <t>Mannol 5w30 ceramic 4L+2L, hu613x, c30171, pu915x</t>
  </si>
  <si>
    <t>Wolver 80w90 x2</t>
  </si>
  <si>
    <t>Mobil 1 5w30 4L + 2x1L</t>
  </si>
  <si>
    <t>Castrol 5w30 4L, w811/80, c20005, cu23011</t>
  </si>
  <si>
    <t>Mannol classic 10w40 1Lx4, w811/80</t>
  </si>
  <si>
    <t>Super 2000 4l, w67/80, c3121</t>
  </si>
  <si>
    <t>Mobil 1 5w30 4L + 1L, w610/82, c2201, cu22004</t>
  </si>
  <si>
    <t>Mannol 5w30 ceramic 4L + 2x1L, w830/3, cu2336, c2631, wk8019</t>
  </si>
  <si>
    <t>2x Neum. Wanli 225/65 R17</t>
  </si>
  <si>
    <t>Farol trasero izquierdo Tucson</t>
  </si>
  <si>
    <t>Mannol classic 10w40 1Lx4, w818/8 dgp, cu2336, c2631, bujia ngk BKR5EGP x4</t>
  </si>
  <si>
    <t>Liqui Moly 0w20 4L, c25002, HU7052z</t>
  </si>
  <si>
    <t>Liqui Moly 10w40 4L, w811/80</t>
  </si>
  <si>
    <t>Mannol Ceramic 5w30 4L, w610/82, filtros jac s4 2020</t>
  </si>
  <si>
    <t>Litros</t>
  </si>
  <si>
    <t>Formato</t>
  </si>
  <si>
    <t>Precio Neto</t>
  </si>
  <si>
    <t>Precio Total</t>
  </si>
  <si>
    <t>Margen 10%</t>
  </si>
  <si>
    <t>Margen 20%</t>
  </si>
  <si>
    <t>Margen 25%</t>
  </si>
  <si>
    <t>Margen 30%</t>
  </si>
  <si>
    <t>Margen 35%</t>
  </si>
  <si>
    <t>Margen 40%</t>
  </si>
  <si>
    <t>Santelices</t>
  </si>
  <si>
    <t>Mobilfluid 424</t>
  </si>
  <si>
    <t>Balde</t>
  </si>
  <si>
    <t xml:space="preserve">Nuto H68 </t>
  </si>
  <si>
    <t>Mobil Delvac Super 1200 F12 15w-40</t>
  </si>
  <si>
    <t>Mobil Delvac MX 15w-40</t>
  </si>
  <si>
    <t>Total Neto</t>
  </si>
  <si>
    <t>Mobil Delvac 1300 Super 15w-40</t>
  </si>
  <si>
    <t>Mobil ATF 220</t>
  </si>
  <si>
    <t>Mobilube HD Plus 80w-90</t>
  </si>
  <si>
    <t>Mobilube HD Plus 85w-140</t>
  </si>
  <si>
    <t>Mobil Super 2000 X3 10w-40</t>
  </si>
  <si>
    <t>Bidón</t>
  </si>
  <si>
    <t>Special 10w-40</t>
  </si>
  <si>
    <t>Mobil Extra 4T 10w-40</t>
  </si>
  <si>
    <t>Botella</t>
  </si>
  <si>
    <t>Mobil Delvac Super 20w-50</t>
  </si>
  <si>
    <t>Mobil Special 20w-50</t>
  </si>
  <si>
    <t>Detalle Venta</t>
  </si>
  <si>
    <t>Tipo DTE</t>
  </si>
  <si>
    <t>N° DTE</t>
  </si>
  <si>
    <t>Total Deudas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</si>
</sst>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[$$]#,##0"/>
    <numFmt numFmtId="166" formatCode="d/mm/yyyy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777777"/>
      <name val="&quot;open sans&quot;"/>
    </font>
    <font>
      <sz val="10"/>
      <color rgb="FF000000"/>
      <name val="Arial"/>
    </font>
    <font>
      <sz val="9"/>
      <color rgb="FF1F1F1F"/>
      <name val="Arial"/>
    </font>
    <font>
      <b/>
      <sz val="10"/>
      <color theme="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FDFD"/>
        <bgColor rgb="FFFDFDF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56854"/>
        <bgColor rgb="FF35685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4" fontId="1" fillId="0" borderId="0" xfId="0" applyNumberFormat="1" applyFont="1"/>
    <xf numFmtId="9" fontId="1" fillId="0" borderId="0" xfId="0" applyNumberFormat="1" applyFont="1"/>
    <xf numFmtId="166" fontId="1" fillId="0" borderId="0" xfId="0" applyNumberFormat="1" applyFont="1"/>
    <xf numFmtId="0" fontId="3" fillId="2" borderId="0" xfId="0" applyFont="1" applyFill="1" applyAlignment="1">
      <alignment horizontal="left"/>
    </xf>
    <xf numFmtId="0" fontId="1" fillId="3" borderId="0" xfId="0" applyFont="1" applyFill="1"/>
    <xf numFmtId="14" fontId="1" fillId="3" borderId="0" xfId="0" applyNumberFormat="1" applyFont="1" applyFill="1"/>
    <xf numFmtId="165" fontId="1" fillId="3" borderId="0" xfId="0" applyNumberFormat="1" applyFont="1" applyFill="1"/>
    <xf numFmtId="0" fontId="4" fillId="4" borderId="0" xfId="0" applyFont="1" applyFill="1" applyAlignment="1">
      <alignment horizontal="left"/>
    </xf>
    <xf numFmtId="165" fontId="4" fillId="4" borderId="0" xfId="0" applyNumberFormat="1" applyFont="1" applyFill="1" applyAlignment="1">
      <alignment horizontal="left"/>
    </xf>
    <xf numFmtId="165" fontId="5" fillId="4" borderId="0" xfId="0" applyNumberFormat="1" applyFont="1" applyFill="1"/>
    <xf numFmtId="166" fontId="1" fillId="3" borderId="0" xfId="0" applyNumberFormat="1" applyFont="1" applyFill="1"/>
    <xf numFmtId="165" fontId="2" fillId="0" borderId="0" xfId="0" applyNumberFormat="1" applyFont="1"/>
    <xf numFmtId="0" fontId="1" fillId="5" borderId="0" xfId="0" applyFont="1" applyFill="1"/>
    <xf numFmtId="165" fontId="1" fillId="5" borderId="0" xfId="0" applyNumberFormat="1" applyFont="1" applyFill="1"/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6" fillId="6" borderId="1" xfId="0" applyFont="1" applyFill="1" applyBorder="1"/>
    <xf numFmtId="165" fontId="2" fillId="0" borderId="1" xfId="0" applyNumberFormat="1" applyFont="1" applyBorder="1"/>
  </cellXfs>
  <cellStyles count="1">
    <cellStyle name="Normal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CxC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CxP-style" pivot="0" count="4" xr9:uid="{00000000-0011-0000-FFFF-FFFF01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>
  <x18tc:person displayName="Luis León" id="{b954aaed-ca97-4a8c-9536-221e0520bd77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F50">
  <tableColumns count="6">
    <tableColumn id="1" xr3:uid="{00000000-0010-0000-0000-000001000000}" name="ID"/>
    <tableColumn id="2" xr3:uid="{00000000-0010-0000-0000-000002000000}" name="Detalle Venta"/>
    <tableColumn id="3" xr3:uid="{00000000-0010-0000-0000-000003000000}" name="Tipo DTE"/>
    <tableColumn id="4" xr3:uid="{00000000-0010-0000-0000-000004000000}" name="N° DTE"/>
    <tableColumn id="5" xr3:uid="{00000000-0010-0000-0000-000005000000}" name="Deuda"/>
    <tableColumn id="6" xr3:uid="{00000000-0010-0000-0000-000006000000}" name="Deudor"/>
  </tableColumns>
  <tableStyleInfo name="CxC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017"/>
  <sheetViews>
    <sheetView workbookViewId="0"/>
  </sheetViews>
  <sheetFormatPr baseColWidth="10" defaultColWidth="12.5703125" defaultRowHeight="15.75" customHeight="1"/>
  <cols>
    <col min="1" max="1" width="25.42578125" customWidth="1"/>
    <col min="2" max="2" width="9.42578125" customWidth="1"/>
    <col min="3" max="3" width="10.140625" customWidth="1"/>
    <col min="4" max="4" width="12.42578125" customWidth="1"/>
    <col min="5" max="5" width="8" customWidth="1"/>
    <col min="6" max="6" width="7" customWidth="1"/>
    <col min="7" max="7" width="8" customWidth="1"/>
    <col min="8" max="8" width="4.28515625" customWidth="1"/>
    <col min="9" max="9" width="4.7109375" customWidth="1"/>
  </cols>
  <sheetData>
    <row r="1" spans="1:18">
      <c r="A1" s="5" t="s">
        <v>1</v>
      </c>
      <c r="B1" s="5" t="s">
        <v>0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4"/>
      <c r="K1" s="1" t="s">
        <v>9</v>
      </c>
      <c r="L1" s="1" t="s">
        <v>10</v>
      </c>
      <c r="N1" s="6" t="s">
        <v>4</v>
      </c>
      <c r="O1" s="6" t="s">
        <v>5</v>
      </c>
      <c r="P1" s="6" t="s">
        <v>6</v>
      </c>
    </row>
    <row r="2" spans="1:18">
      <c r="A2" s="1" t="s">
        <v>11</v>
      </c>
      <c r="C2" s="1" t="s">
        <v>12</v>
      </c>
      <c r="D2" s="1">
        <v>2605941</v>
      </c>
      <c r="E2" s="4"/>
      <c r="F2" s="4"/>
      <c r="G2" s="4"/>
      <c r="H2" s="1">
        <f t="shared" ref="H2:H8" si="0">MONTH(M2)</f>
        <v>12</v>
      </c>
      <c r="I2" s="1">
        <f t="shared" ref="I2:I8" si="1">YEAR(M2)</f>
        <v>2020</v>
      </c>
      <c r="J2" s="4"/>
      <c r="M2" s="7">
        <v>44169</v>
      </c>
      <c r="N2" s="4">
        <v>8361.34</v>
      </c>
      <c r="O2" s="4">
        <f t="shared" ref="O2:O8" si="2">N2*0.19</f>
        <v>1588.6546000000001</v>
      </c>
      <c r="P2" s="4">
        <f t="shared" ref="P2:P8" si="3">N2+O2</f>
        <v>9949.9946</v>
      </c>
    </row>
    <row r="3" spans="1:18">
      <c r="A3" s="1" t="s">
        <v>13</v>
      </c>
      <c r="C3" s="1" t="s">
        <v>12</v>
      </c>
      <c r="D3" s="1">
        <v>8600</v>
      </c>
      <c r="E3" s="4"/>
      <c r="F3" s="4"/>
      <c r="G3" s="4"/>
      <c r="H3" s="1">
        <f t="shared" si="0"/>
        <v>12</v>
      </c>
      <c r="I3" s="1">
        <f t="shared" si="1"/>
        <v>2020</v>
      </c>
      <c r="J3" s="4"/>
      <c r="M3" s="7">
        <v>44182</v>
      </c>
      <c r="N3" s="4">
        <v>34100</v>
      </c>
      <c r="O3" s="4">
        <f t="shared" si="2"/>
        <v>6479</v>
      </c>
      <c r="P3" s="4">
        <f t="shared" si="3"/>
        <v>40579</v>
      </c>
      <c r="R3" s="4">
        <f>SUM(P2:P8)</f>
        <v>423651.93332000001</v>
      </c>
    </row>
    <row r="4" spans="1:18">
      <c r="A4" s="1" t="s">
        <v>14</v>
      </c>
      <c r="C4" s="1" t="s">
        <v>12</v>
      </c>
      <c r="D4" s="1">
        <v>25216</v>
      </c>
      <c r="E4" s="4"/>
      <c r="F4" s="4"/>
      <c r="G4" s="4"/>
      <c r="H4" s="1">
        <f t="shared" si="0"/>
        <v>12</v>
      </c>
      <c r="I4" s="1">
        <f t="shared" si="1"/>
        <v>2020</v>
      </c>
      <c r="J4" s="4"/>
      <c r="K4" s="1">
        <v>45990</v>
      </c>
      <c r="L4" s="1">
        <v>119</v>
      </c>
      <c r="M4" s="7">
        <v>44186</v>
      </c>
      <c r="N4" s="4">
        <v>160200</v>
      </c>
      <c r="O4" s="4">
        <f t="shared" si="2"/>
        <v>30438</v>
      </c>
      <c r="P4" s="4">
        <f t="shared" si="3"/>
        <v>190638</v>
      </c>
    </row>
    <row r="5" spans="1:18">
      <c r="A5" s="1" t="s">
        <v>15</v>
      </c>
      <c r="C5" s="1" t="s">
        <v>12</v>
      </c>
      <c r="D5" s="1">
        <v>78733</v>
      </c>
      <c r="E5" s="4"/>
      <c r="F5" s="4"/>
      <c r="G5" s="4"/>
      <c r="H5" s="1">
        <f t="shared" si="0"/>
        <v>12</v>
      </c>
      <c r="I5" s="1">
        <f t="shared" si="1"/>
        <v>2020</v>
      </c>
      <c r="J5" s="4"/>
      <c r="K5" s="1">
        <f>K4*L5/L4</f>
        <v>38647.058823529413</v>
      </c>
      <c r="L5" s="1">
        <v>100</v>
      </c>
      <c r="M5" s="7">
        <v>44189</v>
      </c>
      <c r="N5" s="4">
        <v>4537.8149999999996</v>
      </c>
      <c r="O5" s="4">
        <f t="shared" si="2"/>
        <v>862.18484999999998</v>
      </c>
      <c r="P5" s="4">
        <f t="shared" si="3"/>
        <v>5399.9998499999992</v>
      </c>
    </row>
    <row r="6" spans="1:18">
      <c r="A6" s="1" t="s">
        <v>14</v>
      </c>
      <c r="C6" s="1" t="s">
        <v>12</v>
      </c>
      <c r="D6" s="1">
        <v>25300</v>
      </c>
      <c r="E6" s="4"/>
      <c r="F6" s="4"/>
      <c r="G6" s="4"/>
      <c r="H6" s="1">
        <f t="shared" si="0"/>
        <v>12</v>
      </c>
      <c r="I6" s="1">
        <f t="shared" si="1"/>
        <v>2020</v>
      </c>
      <c r="J6" s="4"/>
      <c r="M6" s="7">
        <v>44188</v>
      </c>
      <c r="N6" s="4">
        <v>84537.815000000002</v>
      </c>
      <c r="O6" s="4">
        <f t="shared" si="2"/>
        <v>16062.184850000001</v>
      </c>
      <c r="P6" s="4">
        <f t="shared" si="3"/>
        <v>100599.99985000001</v>
      </c>
    </row>
    <row r="7" spans="1:18">
      <c r="A7" s="1" t="s">
        <v>16</v>
      </c>
      <c r="C7" s="1" t="s">
        <v>12</v>
      </c>
      <c r="D7" s="1">
        <v>1723</v>
      </c>
      <c r="E7" s="4"/>
      <c r="F7" s="4"/>
      <c r="G7" s="4"/>
      <c r="H7" s="1">
        <f t="shared" si="0"/>
        <v>12</v>
      </c>
      <c r="I7" s="1">
        <f t="shared" si="1"/>
        <v>2020</v>
      </c>
      <c r="J7" s="4"/>
      <c r="M7" s="7">
        <v>44193</v>
      </c>
      <c r="N7" s="4">
        <v>25626</v>
      </c>
      <c r="O7" s="4">
        <f t="shared" si="2"/>
        <v>4868.9400000000005</v>
      </c>
      <c r="P7" s="4">
        <f t="shared" si="3"/>
        <v>30494.940000000002</v>
      </c>
    </row>
    <row r="8" spans="1:18">
      <c r="A8" s="1" t="s">
        <v>17</v>
      </c>
      <c r="C8" s="1" t="s">
        <v>12</v>
      </c>
      <c r="D8" s="1">
        <v>6132</v>
      </c>
      <c r="E8" s="4"/>
      <c r="F8" s="4"/>
      <c r="G8" s="4"/>
      <c r="H8" s="1">
        <f t="shared" si="0"/>
        <v>12</v>
      </c>
      <c r="I8" s="1">
        <f t="shared" si="1"/>
        <v>2020</v>
      </c>
      <c r="J8" s="4"/>
      <c r="M8" s="7">
        <v>44194</v>
      </c>
      <c r="N8" s="4">
        <v>38647.057999999997</v>
      </c>
      <c r="O8" s="4">
        <f t="shared" si="2"/>
        <v>7342.9410199999993</v>
      </c>
      <c r="P8" s="4">
        <f t="shared" si="3"/>
        <v>45989.999019999996</v>
      </c>
    </row>
    <row r="9" spans="1:18">
      <c r="A9" s="1" t="s">
        <v>18</v>
      </c>
      <c r="B9" s="7">
        <v>44228</v>
      </c>
      <c r="C9" s="1" t="s">
        <v>12</v>
      </c>
      <c r="D9" s="1">
        <v>26088</v>
      </c>
      <c r="E9" s="4">
        <v>32700</v>
      </c>
      <c r="F9" s="4">
        <f t="shared" ref="F9:F263" si="4">E9*0.19</f>
        <v>6213</v>
      </c>
      <c r="G9" s="4">
        <f t="shared" ref="G9:G22" si="5">E9+F9</f>
        <v>38913</v>
      </c>
      <c r="H9" s="1">
        <f t="shared" ref="H9:H56" si="6">MONTH(B9)</f>
        <v>2</v>
      </c>
      <c r="I9" s="1">
        <f t="shared" ref="I9:I56" si="7">YEAR(B9)</f>
        <v>2021</v>
      </c>
      <c r="J9" s="4"/>
    </row>
    <row r="10" spans="1:18">
      <c r="A10" s="1" t="s">
        <v>19</v>
      </c>
      <c r="B10" s="7">
        <v>44229</v>
      </c>
      <c r="C10" s="1" t="s">
        <v>12</v>
      </c>
      <c r="D10" s="1">
        <v>26098</v>
      </c>
      <c r="E10" s="4">
        <v>31100</v>
      </c>
      <c r="F10" s="4">
        <f t="shared" si="4"/>
        <v>5909</v>
      </c>
      <c r="G10" s="4">
        <f t="shared" si="5"/>
        <v>37009</v>
      </c>
      <c r="H10" s="1">
        <f t="shared" si="6"/>
        <v>2</v>
      </c>
      <c r="I10" s="1">
        <f t="shared" si="7"/>
        <v>2021</v>
      </c>
      <c r="J10" s="4"/>
    </row>
    <row r="11" spans="1:18">
      <c r="A11" s="1" t="s">
        <v>20</v>
      </c>
      <c r="B11" s="7">
        <v>44235</v>
      </c>
      <c r="C11" s="1" t="s">
        <v>12</v>
      </c>
      <c r="D11" s="1">
        <v>577557</v>
      </c>
      <c r="E11" s="4">
        <v>44792</v>
      </c>
      <c r="F11" s="4">
        <f t="shared" si="4"/>
        <v>8510.48</v>
      </c>
      <c r="G11" s="4">
        <f t="shared" si="5"/>
        <v>53302.479999999996</v>
      </c>
      <c r="H11" s="1">
        <f t="shared" si="6"/>
        <v>2</v>
      </c>
      <c r="I11" s="1">
        <f t="shared" si="7"/>
        <v>2021</v>
      </c>
      <c r="J11" s="4"/>
    </row>
    <row r="12" spans="1:18">
      <c r="A12" s="1" t="s">
        <v>21</v>
      </c>
      <c r="B12" s="3">
        <v>44237</v>
      </c>
      <c r="C12" s="1" t="s">
        <v>12</v>
      </c>
      <c r="D12" s="1">
        <v>15130</v>
      </c>
      <c r="E12" s="4">
        <v>43530</v>
      </c>
      <c r="F12" s="4">
        <f t="shared" si="4"/>
        <v>8270.7000000000007</v>
      </c>
      <c r="G12" s="4">
        <f t="shared" si="5"/>
        <v>51800.7</v>
      </c>
      <c r="H12" s="1">
        <f t="shared" si="6"/>
        <v>2</v>
      </c>
      <c r="I12" s="1">
        <f t="shared" si="7"/>
        <v>2021</v>
      </c>
      <c r="J12" s="4"/>
    </row>
    <row r="13" spans="1:18">
      <c r="A13" s="1" t="s">
        <v>22</v>
      </c>
      <c r="B13" s="7">
        <v>44239</v>
      </c>
      <c r="C13" s="1" t="s">
        <v>12</v>
      </c>
      <c r="D13" s="1">
        <v>9998094</v>
      </c>
      <c r="E13" s="4">
        <v>3748</v>
      </c>
      <c r="F13" s="4">
        <f t="shared" si="4"/>
        <v>712.12</v>
      </c>
      <c r="G13" s="4">
        <f t="shared" si="5"/>
        <v>4460.12</v>
      </c>
      <c r="H13" s="1">
        <f t="shared" si="6"/>
        <v>2</v>
      </c>
      <c r="I13" s="1">
        <f t="shared" si="7"/>
        <v>2021</v>
      </c>
      <c r="J13" s="4"/>
    </row>
    <row r="14" spans="1:18">
      <c r="A14" s="1" t="s">
        <v>23</v>
      </c>
      <c r="B14" s="7">
        <v>44245</v>
      </c>
      <c r="C14" s="1" t="s">
        <v>12</v>
      </c>
      <c r="D14" s="1">
        <v>200722</v>
      </c>
      <c r="E14" s="4">
        <v>69980</v>
      </c>
      <c r="F14" s="4">
        <f t="shared" si="4"/>
        <v>13296.2</v>
      </c>
      <c r="G14" s="4">
        <f t="shared" si="5"/>
        <v>83276.2</v>
      </c>
      <c r="H14" s="1">
        <f t="shared" si="6"/>
        <v>2</v>
      </c>
      <c r="I14" s="1">
        <f t="shared" si="7"/>
        <v>2021</v>
      </c>
      <c r="J14" s="4"/>
    </row>
    <row r="15" spans="1:18">
      <c r="A15" s="1" t="s">
        <v>24</v>
      </c>
      <c r="B15" s="7">
        <v>44259</v>
      </c>
      <c r="C15" s="1" t="s">
        <v>12</v>
      </c>
      <c r="D15" s="1">
        <v>806511</v>
      </c>
      <c r="E15" s="4"/>
      <c r="F15" s="4">
        <f t="shared" si="4"/>
        <v>0</v>
      </c>
      <c r="G15" s="4">
        <f t="shared" si="5"/>
        <v>0</v>
      </c>
      <c r="H15" s="1">
        <f t="shared" si="6"/>
        <v>3</v>
      </c>
      <c r="I15" s="1">
        <f t="shared" si="7"/>
        <v>2021</v>
      </c>
      <c r="J15" s="4"/>
    </row>
    <row r="16" spans="1:18">
      <c r="A16" s="1" t="s">
        <v>24</v>
      </c>
      <c r="B16" s="7">
        <v>44268</v>
      </c>
      <c r="C16" s="1" t="s">
        <v>12</v>
      </c>
      <c r="D16" s="1">
        <v>808881</v>
      </c>
      <c r="E16" s="4"/>
      <c r="F16" s="4">
        <f t="shared" si="4"/>
        <v>0</v>
      </c>
      <c r="G16" s="4">
        <f t="shared" si="5"/>
        <v>0</v>
      </c>
      <c r="H16" s="1">
        <f t="shared" si="6"/>
        <v>3</v>
      </c>
      <c r="I16" s="1">
        <f t="shared" si="7"/>
        <v>2021</v>
      </c>
      <c r="J16" s="4"/>
    </row>
    <row r="17" spans="1:10">
      <c r="A17" s="1" t="s">
        <v>25</v>
      </c>
      <c r="B17" s="7">
        <v>44269</v>
      </c>
      <c r="C17" s="1" t="s">
        <v>12</v>
      </c>
      <c r="D17" s="1">
        <v>9926</v>
      </c>
      <c r="E17" s="4"/>
      <c r="F17" s="4">
        <f t="shared" si="4"/>
        <v>0</v>
      </c>
      <c r="G17" s="4">
        <f t="shared" si="5"/>
        <v>0</v>
      </c>
      <c r="H17" s="1">
        <f t="shared" si="6"/>
        <v>3</v>
      </c>
      <c r="I17" s="1">
        <f t="shared" si="7"/>
        <v>2021</v>
      </c>
      <c r="J17" s="4"/>
    </row>
    <row r="18" spans="1:10">
      <c r="A18" s="1" t="s">
        <v>26</v>
      </c>
      <c r="B18" s="7">
        <v>44269</v>
      </c>
      <c r="C18" s="1" t="s">
        <v>12</v>
      </c>
      <c r="D18" s="1">
        <v>9928</v>
      </c>
      <c r="E18" s="4"/>
      <c r="F18" s="4">
        <f t="shared" si="4"/>
        <v>0</v>
      </c>
      <c r="G18" s="4">
        <f t="shared" si="5"/>
        <v>0</v>
      </c>
      <c r="H18" s="1">
        <f t="shared" si="6"/>
        <v>3</v>
      </c>
      <c r="I18" s="1">
        <f t="shared" si="7"/>
        <v>2021</v>
      </c>
      <c r="J18" s="4"/>
    </row>
    <row r="19" spans="1:10">
      <c r="A19" s="1" t="s">
        <v>27</v>
      </c>
      <c r="B19" s="7">
        <v>44272</v>
      </c>
      <c r="C19" s="1" t="s">
        <v>12</v>
      </c>
      <c r="D19" s="1">
        <v>251966</v>
      </c>
      <c r="E19" s="4">
        <v>74621</v>
      </c>
      <c r="F19" s="4">
        <f t="shared" si="4"/>
        <v>14177.99</v>
      </c>
      <c r="G19" s="4">
        <f t="shared" si="5"/>
        <v>88798.99</v>
      </c>
      <c r="H19" s="1">
        <f t="shared" si="6"/>
        <v>3</v>
      </c>
      <c r="I19" s="1">
        <f t="shared" si="7"/>
        <v>2021</v>
      </c>
      <c r="J19" s="4"/>
    </row>
    <row r="20" spans="1:10">
      <c r="A20" s="1" t="s">
        <v>28</v>
      </c>
      <c r="B20" s="7">
        <v>44277</v>
      </c>
      <c r="C20" s="1" t="s">
        <v>12</v>
      </c>
      <c r="D20" s="1">
        <v>470394</v>
      </c>
      <c r="E20" s="4">
        <v>5782</v>
      </c>
      <c r="F20" s="4">
        <f t="shared" si="4"/>
        <v>1098.58</v>
      </c>
      <c r="G20" s="4">
        <f t="shared" si="5"/>
        <v>6880.58</v>
      </c>
      <c r="H20" s="1">
        <f t="shared" si="6"/>
        <v>3</v>
      </c>
      <c r="I20" s="1">
        <f t="shared" si="7"/>
        <v>2021</v>
      </c>
      <c r="J20" s="4"/>
    </row>
    <row r="21" spans="1:10">
      <c r="A21" s="1" t="s">
        <v>24</v>
      </c>
      <c r="B21" s="7">
        <v>44274</v>
      </c>
      <c r="C21" s="1" t="s">
        <v>12</v>
      </c>
      <c r="D21" s="1">
        <v>845644</v>
      </c>
      <c r="E21" s="4"/>
      <c r="F21" s="4">
        <f t="shared" si="4"/>
        <v>0</v>
      </c>
      <c r="G21" s="4">
        <f t="shared" si="5"/>
        <v>0</v>
      </c>
      <c r="H21" s="1">
        <f t="shared" si="6"/>
        <v>3</v>
      </c>
      <c r="I21" s="1">
        <f t="shared" si="7"/>
        <v>2021</v>
      </c>
      <c r="J21" s="4"/>
    </row>
    <row r="22" spans="1:10">
      <c r="A22" s="1" t="s">
        <v>22</v>
      </c>
      <c r="B22" s="7">
        <v>44274</v>
      </c>
      <c r="C22" s="1" t="s">
        <v>12</v>
      </c>
      <c r="D22" s="1">
        <v>10048137</v>
      </c>
      <c r="E22" s="4">
        <v>3639</v>
      </c>
      <c r="F22" s="4">
        <f t="shared" si="4"/>
        <v>691.41</v>
      </c>
      <c r="G22" s="4">
        <f t="shared" si="5"/>
        <v>4330.41</v>
      </c>
      <c r="H22" s="1">
        <f t="shared" si="6"/>
        <v>3</v>
      </c>
      <c r="I22" s="1">
        <f t="shared" si="7"/>
        <v>2021</v>
      </c>
      <c r="J22" s="4"/>
    </row>
    <row r="23" spans="1:10">
      <c r="A23" s="1" t="s">
        <v>29</v>
      </c>
      <c r="B23" s="7">
        <v>44274</v>
      </c>
      <c r="C23" s="1"/>
      <c r="E23" s="4"/>
      <c r="F23" s="4">
        <f t="shared" si="4"/>
        <v>0</v>
      </c>
      <c r="G23" s="4">
        <v>1990</v>
      </c>
      <c r="H23" s="1">
        <f t="shared" si="6"/>
        <v>3</v>
      </c>
      <c r="I23" s="1">
        <f t="shared" si="7"/>
        <v>2021</v>
      </c>
      <c r="J23" s="4"/>
    </row>
    <row r="24" spans="1:10">
      <c r="A24" s="1" t="s">
        <v>30</v>
      </c>
      <c r="B24" s="7">
        <v>44286</v>
      </c>
      <c r="C24" s="1" t="s">
        <v>12</v>
      </c>
      <c r="D24" s="1">
        <v>16059</v>
      </c>
      <c r="E24" s="4">
        <v>8236</v>
      </c>
      <c r="F24" s="4">
        <f t="shared" si="4"/>
        <v>1564.84</v>
      </c>
      <c r="G24" s="4">
        <f t="shared" ref="G24:G278" si="8">E24+F24</f>
        <v>9800.84</v>
      </c>
      <c r="H24" s="1">
        <f t="shared" si="6"/>
        <v>3</v>
      </c>
      <c r="I24" s="1">
        <f t="shared" si="7"/>
        <v>2021</v>
      </c>
      <c r="J24" s="4"/>
    </row>
    <row r="25" spans="1:10">
      <c r="A25" s="1" t="s">
        <v>31</v>
      </c>
      <c r="B25" s="7">
        <v>44291</v>
      </c>
      <c r="C25" s="1" t="s">
        <v>12</v>
      </c>
      <c r="D25" s="1">
        <v>253876</v>
      </c>
      <c r="E25" s="4">
        <v>33446</v>
      </c>
      <c r="F25" s="4">
        <f t="shared" si="4"/>
        <v>6354.74</v>
      </c>
      <c r="G25" s="4">
        <f t="shared" si="8"/>
        <v>39800.74</v>
      </c>
      <c r="H25" s="1">
        <f t="shared" si="6"/>
        <v>4</v>
      </c>
      <c r="I25" s="1">
        <f t="shared" si="7"/>
        <v>2021</v>
      </c>
      <c r="J25" s="4"/>
    </row>
    <row r="26" spans="1:10">
      <c r="A26" s="1" t="s">
        <v>28</v>
      </c>
      <c r="B26" s="7">
        <v>44294</v>
      </c>
      <c r="C26" s="1" t="s">
        <v>12</v>
      </c>
      <c r="D26" s="1">
        <v>477356</v>
      </c>
      <c r="E26" s="4">
        <v>4420</v>
      </c>
      <c r="F26" s="4">
        <f t="shared" si="4"/>
        <v>839.8</v>
      </c>
      <c r="G26" s="4">
        <f t="shared" si="8"/>
        <v>5259.8</v>
      </c>
      <c r="H26" s="1">
        <f t="shared" si="6"/>
        <v>4</v>
      </c>
      <c r="I26" s="1">
        <f t="shared" si="7"/>
        <v>2021</v>
      </c>
      <c r="J26" s="4"/>
    </row>
    <row r="27" spans="1:10">
      <c r="A27" s="1" t="s">
        <v>32</v>
      </c>
      <c r="B27" s="7">
        <v>44299</v>
      </c>
      <c r="C27" s="1" t="s">
        <v>12</v>
      </c>
      <c r="D27" s="1">
        <v>254784</v>
      </c>
      <c r="E27" s="4">
        <v>66975</v>
      </c>
      <c r="F27" s="4">
        <f t="shared" si="4"/>
        <v>12725.25</v>
      </c>
      <c r="G27" s="4">
        <f t="shared" si="8"/>
        <v>79700.25</v>
      </c>
      <c r="H27" s="1">
        <f t="shared" si="6"/>
        <v>4</v>
      </c>
      <c r="I27" s="1">
        <f t="shared" si="7"/>
        <v>2021</v>
      </c>
      <c r="J27" s="4"/>
    </row>
    <row r="28" spans="1:10">
      <c r="A28" s="1" t="s">
        <v>28</v>
      </c>
      <c r="B28" s="7">
        <v>44301</v>
      </c>
      <c r="C28" s="1" t="s">
        <v>12</v>
      </c>
      <c r="D28" s="1">
        <v>480029</v>
      </c>
      <c r="E28" s="4">
        <v>4420</v>
      </c>
      <c r="F28" s="4">
        <f t="shared" si="4"/>
        <v>839.8</v>
      </c>
      <c r="G28" s="4">
        <f t="shared" si="8"/>
        <v>5259.8</v>
      </c>
      <c r="H28" s="1">
        <f t="shared" si="6"/>
        <v>4</v>
      </c>
      <c r="I28" s="1">
        <f t="shared" si="7"/>
        <v>2021</v>
      </c>
      <c r="J28" s="4"/>
    </row>
    <row r="29" spans="1:10">
      <c r="A29" s="1" t="s">
        <v>14</v>
      </c>
      <c r="B29" s="7">
        <v>44306</v>
      </c>
      <c r="C29" s="1" t="s">
        <v>12</v>
      </c>
      <c r="D29" s="1">
        <v>27553</v>
      </c>
      <c r="E29" s="4">
        <v>151500</v>
      </c>
      <c r="F29" s="4">
        <f t="shared" si="4"/>
        <v>28785</v>
      </c>
      <c r="G29" s="4">
        <f t="shared" si="8"/>
        <v>180285</v>
      </c>
      <c r="H29" s="1">
        <f t="shared" si="6"/>
        <v>4</v>
      </c>
      <c r="I29" s="1">
        <f t="shared" si="7"/>
        <v>2021</v>
      </c>
      <c r="J29" s="4"/>
    </row>
    <row r="30" spans="1:10">
      <c r="A30" s="1" t="s">
        <v>33</v>
      </c>
      <c r="B30" s="7">
        <v>44318</v>
      </c>
      <c r="C30" s="1" t="s">
        <v>12</v>
      </c>
      <c r="D30" s="1">
        <v>858888</v>
      </c>
      <c r="E30" s="4">
        <v>33244</v>
      </c>
      <c r="F30" s="4">
        <f t="shared" si="4"/>
        <v>6316.36</v>
      </c>
      <c r="G30" s="4">
        <f t="shared" si="8"/>
        <v>39560.36</v>
      </c>
      <c r="H30" s="1">
        <f t="shared" si="6"/>
        <v>5</v>
      </c>
      <c r="I30" s="1">
        <f t="shared" si="7"/>
        <v>2021</v>
      </c>
      <c r="J30" s="4"/>
    </row>
    <row r="31" spans="1:10">
      <c r="A31" s="1" t="s">
        <v>34</v>
      </c>
      <c r="B31" s="7">
        <v>44319</v>
      </c>
      <c r="C31" s="1" t="s">
        <v>12</v>
      </c>
      <c r="D31" s="1">
        <v>10455</v>
      </c>
      <c r="E31" s="4"/>
      <c r="F31" s="4">
        <f t="shared" si="4"/>
        <v>0</v>
      </c>
      <c r="G31" s="4">
        <f t="shared" si="8"/>
        <v>0</v>
      </c>
      <c r="H31" s="1">
        <f t="shared" si="6"/>
        <v>5</v>
      </c>
      <c r="I31" s="1">
        <f t="shared" si="7"/>
        <v>2021</v>
      </c>
      <c r="J31" s="4">
        <v>34000</v>
      </c>
    </row>
    <row r="32" spans="1:10">
      <c r="A32" s="1" t="s">
        <v>35</v>
      </c>
      <c r="B32" s="7">
        <v>44323</v>
      </c>
      <c r="C32" s="1" t="s">
        <v>12</v>
      </c>
      <c r="D32" s="1">
        <v>999</v>
      </c>
      <c r="E32" s="4">
        <v>5880</v>
      </c>
      <c r="F32" s="4">
        <f t="shared" si="4"/>
        <v>1117.2</v>
      </c>
      <c r="G32" s="4">
        <f t="shared" si="8"/>
        <v>6997.2</v>
      </c>
      <c r="H32" s="1">
        <f t="shared" si="6"/>
        <v>5</v>
      </c>
      <c r="I32" s="1">
        <f t="shared" si="7"/>
        <v>2021</v>
      </c>
      <c r="J32" s="4"/>
    </row>
    <row r="33" spans="1:13">
      <c r="A33" s="1" t="s">
        <v>36</v>
      </c>
      <c r="B33" s="7">
        <v>44326</v>
      </c>
      <c r="C33" s="1" t="s">
        <v>12</v>
      </c>
      <c r="D33" s="1">
        <v>10538</v>
      </c>
      <c r="E33" s="4"/>
      <c r="F33" s="4">
        <f t="shared" si="4"/>
        <v>0</v>
      </c>
      <c r="G33" s="4">
        <f t="shared" si="8"/>
        <v>0</v>
      </c>
      <c r="H33" s="1">
        <f t="shared" si="6"/>
        <v>5</v>
      </c>
      <c r="I33" s="1">
        <f t="shared" si="7"/>
        <v>2021</v>
      </c>
      <c r="J33" s="4">
        <v>40800</v>
      </c>
    </row>
    <row r="34" spans="1:13">
      <c r="A34" s="1" t="s">
        <v>37</v>
      </c>
      <c r="B34" s="7">
        <v>44326</v>
      </c>
      <c r="C34" s="1" t="s">
        <v>12</v>
      </c>
      <c r="D34" s="1">
        <v>36034</v>
      </c>
      <c r="E34" s="4"/>
      <c r="F34" s="4">
        <f t="shared" si="4"/>
        <v>0</v>
      </c>
      <c r="G34" s="4">
        <f t="shared" si="8"/>
        <v>0</v>
      </c>
      <c r="H34" s="1">
        <f t="shared" si="6"/>
        <v>5</v>
      </c>
      <c r="I34" s="1">
        <f t="shared" si="7"/>
        <v>2021</v>
      </c>
      <c r="J34" s="4">
        <v>18990</v>
      </c>
      <c r="L34" s="1">
        <v>19990</v>
      </c>
      <c r="M34" s="1">
        <v>119</v>
      </c>
    </row>
    <row r="35" spans="1:13">
      <c r="A35" s="1" t="s">
        <v>24</v>
      </c>
      <c r="B35" s="7">
        <v>44326</v>
      </c>
      <c r="C35" s="1" t="s">
        <v>12</v>
      </c>
      <c r="D35" s="1">
        <v>2929</v>
      </c>
      <c r="E35" s="4"/>
      <c r="F35" s="4">
        <f t="shared" si="4"/>
        <v>0</v>
      </c>
      <c r="G35" s="4">
        <f t="shared" si="8"/>
        <v>0</v>
      </c>
      <c r="H35" s="1">
        <f t="shared" si="6"/>
        <v>5</v>
      </c>
      <c r="I35" s="1">
        <f t="shared" si="7"/>
        <v>2021</v>
      </c>
      <c r="J35" s="4">
        <v>35160</v>
      </c>
      <c r="L35" s="1">
        <f>M35*L34/M34</f>
        <v>16798.319327731093</v>
      </c>
      <c r="M35" s="1">
        <v>100</v>
      </c>
    </row>
    <row r="36" spans="1:13">
      <c r="A36" s="1" t="s">
        <v>38</v>
      </c>
      <c r="B36" s="7">
        <v>44325</v>
      </c>
      <c r="C36" s="1" t="s">
        <v>39</v>
      </c>
      <c r="E36" s="4">
        <v>15126</v>
      </c>
      <c r="F36" s="4">
        <f t="shared" si="4"/>
        <v>2873.94</v>
      </c>
      <c r="G36" s="4">
        <f t="shared" si="8"/>
        <v>17999.939999999999</v>
      </c>
      <c r="H36" s="1">
        <f t="shared" si="6"/>
        <v>5</v>
      </c>
      <c r="I36" s="1">
        <f t="shared" si="7"/>
        <v>2021</v>
      </c>
      <c r="J36" s="4"/>
    </row>
    <row r="37" spans="1:13">
      <c r="A37" s="1" t="s">
        <v>40</v>
      </c>
      <c r="B37" s="7">
        <v>44323</v>
      </c>
      <c r="C37" s="1" t="s">
        <v>12</v>
      </c>
      <c r="D37" s="1">
        <v>16652</v>
      </c>
      <c r="E37" s="4">
        <v>36639</v>
      </c>
      <c r="F37" s="4">
        <f t="shared" si="4"/>
        <v>6961.41</v>
      </c>
      <c r="G37" s="4">
        <f t="shared" si="8"/>
        <v>43600.41</v>
      </c>
      <c r="H37" s="1">
        <f t="shared" si="6"/>
        <v>5</v>
      </c>
      <c r="I37" s="1">
        <f t="shared" si="7"/>
        <v>2021</v>
      </c>
      <c r="J37" s="4"/>
    </row>
    <row r="38" spans="1:13">
      <c r="A38" s="1" t="s">
        <v>40</v>
      </c>
      <c r="B38" s="7">
        <v>44326</v>
      </c>
      <c r="C38" s="1" t="s">
        <v>41</v>
      </c>
      <c r="D38" s="1">
        <v>8021</v>
      </c>
      <c r="E38" s="4">
        <v>-20000</v>
      </c>
      <c r="F38" s="4">
        <f t="shared" si="4"/>
        <v>-3800</v>
      </c>
      <c r="G38" s="4">
        <f t="shared" si="8"/>
        <v>-23800</v>
      </c>
      <c r="H38" s="1">
        <f t="shared" si="6"/>
        <v>5</v>
      </c>
      <c r="I38" s="1">
        <f t="shared" si="7"/>
        <v>2021</v>
      </c>
      <c r="J38" s="4"/>
    </row>
    <row r="39" spans="1:13">
      <c r="A39" s="1" t="s">
        <v>42</v>
      </c>
      <c r="B39" s="7">
        <v>44330</v>
      </c>
      <c r="C39" s="1"/>
      <c r="E39" s="4">
        <v>6568</v>
      </c>
      <c r="F39" s="4">
        <f t="shared" si="4"/>
        <v>1247.92</v>
      </c>
      <c r="G39" s="4">
        <f t="shared" si="8"/>
        <v>7815.92</v>
      </c>
      <c r="H39" s="1">
        <f t="shared" si="6"/>
        <v>5</v>
      </c>
      <c r="I39" s="1">
        <f t="shared" si="7"/>
        <v>2021</v>
      </c>
      <c r="J39" s="4"/>
    </row>
    <row r="40" spans="1:13">
      <c r="A40" s="1" t="s">
        <v>14</v>
      </c>
      <c r="B40" s="7">
        <v>44335</v>
      </c>
      <c r="C40" s="1" t="s">
        <v>12</v>
      </c>
      <c r="D40" s="1">
        <v>27935</v>
      </c>
      <c r="E40" s="4">
        <v>159200</v>
      </c>
      <c r="F40" s="4">
        <f t="shared" si="4"/>
        <v>30248</v>
      </c>
      <c r="G40" s="4">
        <f t="shared" si="8"/>
        <v>189448</v>
      </c>
      <c r="H40" s="1">
        <f t="shared" si="6"/>
        <v>5</v>
      </c>
      <c r="I40" s="1">
        <f t="shared" si="7"/>
        <v>2021</v>
      </c>
      <c r="J40" s="4"/>
    </row>
    <row r="41" spans="1:13">
      <c r="A41" s="1" t="s">
        <v>43</v>
      </c>
      <c r="B41" s="7">
        <v>44337</v>
      </c>
      <c r="C41" s="1" t="s">
        <v>12</v>
      </c>
      <c r="D41" s="1">
        <v>864924</v>
      </c>
      <c r="E41" s="4"/>
      <c r="F41" s="4">
        <f t="shared" si="4"/>
        <v>0</v>
      </c>
      <c r="G41" s="4">
        <f t="shared" si="8"/>
        <v>0</v>
      </c>
      <c r="H41" s="1">
        <f t="shared" si="6"/>
        <v>5</v>
      </c>
      <c r="I41" s="1">
        <f t="shared" si="7"/>
        <v>2021</v>
      </c>
      <c r="J41" s="4">
        <v>43950</v>
      </c>
    </row>
    <row r="42" spans="1:13">
      <c r="A42" s="1" t="s">
        <v>44</v>
      </c>
      <c r="B42" s="7">
        <v>44339</v>
      </c>
      <c r="C42" s="1" t="s">
        <v>12</v>
      </c>
      <c r="D42" s="1">
        <v>23</v>
      </c>
      <c r="E42" s="4">
        <v>28572</v>
      </c>
      <c r="F42" s="4">
        <f t="shared" si="4"/>
        <v>5428.68</v>
      </c>
      <c r="G42" s="4">
        <f t="shared" si="8"/>
        <v>34000.68</v>
      </c>
      <c r="H42" s="1">
        <f t="shared" si="6"/>
        <v>5</v>
      </c>
      <c r="I42" s="1">
        <f t="shared" si="7"/>
        <v>2021</v>
      </c>
      <c r="J42" s="4"/>
    </row>
    <row r="43" spans="1:13">
      <c r="A43" s="1" t="s">
        <v>45</v>
      </c>
      <c r="B43" s="7">
        <v>44339</v>
      </c>
      <c r="C43" s="1"/>
      <c r="D43" s="1"/>
      <c r="E43" s="4">
        <v>6714</v>
      </c>
      <c r="F43" s="4">
        <f t="shared" si="4"/>
        <v>1275.6600000000001</v>
      </c>
      <c r="G43" s="4">
        <f t="shared" si="8"/>
        <v>7989.66</v>
      </c>
      <c r="H43" s="1">
        <f t="shared" si="6"/>
        <v>5</v>
      </c>
      <c r="I43" s="1">
        <f t="shared" si="7"/>
        <v>2021</v>
      </c>
      <c r="J43" s="4"/>
    </row>
    <row r="44" spans="1:13">
      <c r="A44" s="1" t="s">
        <v>46</v>
      </c>
      <c r="B44" s="7">
        <v>44339</v>
      </c>
      <c r="C44" s="1" t="s">
        <v>12</v>
      </c>
      <c r="D44" s="1">
        <v>885665</v>
      </c>
      <c r="E44" s="4"/>
      <c r="F44" s="4">
        <f t="shared" si="4"/>
        <v>0</v>
      </c>
      <c r="G44" s="4">
        <f t="shared" si="8"/>
        <v>0</v>
      </c>
      <c r="H44" s="1">
        <f t="shared" si="6"/>
        <v>5</v>
      </c>
      <c r="I44" s="1">
        <f t="shared" si="7"/>
        <v>2021</v>
      </c>
      <c r="J44" s="4">
        <v>35160</v>
      </c>
    </row>
    <row r="45" spans="1:13">
      <c r="A45" s="1" t="s">
        <v>47</v>
      </c>
      <c r="B45" s="7">
        <v>44339</v>
      </c>
      <c r="C45" s="1"/>
      <c r="E45" s="4">
        <v>33597</v>
      </c>
      <c r="F45" s="4">
        <f t="shared" si="4"/>
        <v>6383.43</v>
      </c>
      <c r="G45" s="4">
        <f t="shared" si="8"/>
        <v>39980.43</v>
      </c>
      <c r="H45" s="1">
        <f t="shared" si="6"/>
        <v>5</v>
      </c>
      <c r="I45" s="1">
        <f t="shared" si="7"/>
        <v>2021</v>
      </c>
      <c r="J45" s="4"/>
    </row>
    <row r="46" spans="1:13">
      <c r="A46" s="1" t="s">
        <v>48</v>
      </c>
      <c r="B46" s="7">
        <v>44343</v>
      </c>
      <c r="C46" s="1" t="s">
        <v>12</v>
      </c>
      <c r="D46" s="1">
        <v>887051</v>
      </c>
      <c r="E46" s="4"/>
      <c r="F46" s="4">
        <f t="shared" si="4"/>
        <v>0</v>
      </c>
      <c r="G46" s="4">
        <f t="shared" si="8"/>
        <v>0</v>
      </c>
      <c r="H46" s="1">
        <f t="shared" si="6"/>
        <v>5</v>
      </c>
      <c r="I46" s="1">
        <f t="shared" si="7"/>
        <v>2021</v>
      </c>
      <c r="J46" s="4">
        <v>35160</v>
      </c>
    </row>
    <row r="47" spans="1:13">
      <c r="A47" s="1" t="s">
        <v>49</v>
      </c>
      <c r="B47" s="7">
        <v>44347</v>
      </c>
      <c r="C47" s="1" t="s">
        <v>12</v>
      </c>
      <c r="E47" s="4"/>
      <c r="F47" s="4">
        <f t="shared" si="4"/>
        <v>0</v>
      </c>
      <c r="G47" s="4">
        <f t="shared" si="8"/>
        <v>0</v>
      </c>
      <c r="H47" s="1">
        <f t="shared" si="6"/>
        <v>5</v>
      </c>
      <c r="I47" s="1">
        <f t="shared" si="7"/>
        <v>2021</v>
      </c>
      <c r="J47" s="4"/>
    </row>
    <row r="48" spans="1:13">
      <c r="A48" s="1" t="s">
        <v>50</v>
      </c>
      <c r="B48" s="7">
        <v>44348</v>
      </c>
      <c r="C48" s="1" t="s">
        <v>12</v>
      </c>
      <c r="E48" s="4"/>
      <c r="F48" s="4">
        <f t="shared" si="4"/>
        <v>0</v>
      </c>
      <c r="G48" s="4">
        <f t="shared" si="8"/>
        <v>0</v>
      </c>
      <c r="H48" s="1">
        <f t="shared" si="6"/>
        <v>6</v>
      </c>
      <c r="I48" s="1">
        <f t="shared" si="7"/>
        <v>2021</v>
      </c>
      <c r="J48" s="4"/>
    </row>
    <row r="49" spans="1:10">
      <c r="A49" s="1" t="s">
        <v>51</v>
      </c>
      <c r="B49" s="7">
        <v>44349</v>
      </c>
      <c r="C49" s="1" t="s">
        <v>12</v>
      </c>
      <c r="D49" s="1">
        <v>51702</v>
      </c>
      <c r="E49" s="4">
        <v>127664</v>
      </c>
      <c r="F49" s="4">
        <f t="shared" si="4"/>
        <v>24256.16</v>
      </c>
      <c r="G49" s="4">
        <f t="shared" si="8"/>
        <v>151920.16</v>
      </c>
      <c r="H49" s="1">
        <f t="shared" si="6"/>
        <v>6</v>
      </c>
      <c r="I49" s="1">
        <f t="shared" si="7"/>
        <v>2021</v>
      </c>
      <c r="J49" s="4"/>
    </row>
    <row r="50" spans="1:10">
      <c r="A50" s="1" t="s">
        <v>52</v>
      </c>
      <c r="B50" s="7">
        <v>44349</v>
      </c>
      <c r="C50" s="1" t="s">
        <v>12</v>
      </c>
      <c r="D50" s="1">
        <v>2131535</v>
      </c>
      <c r="E50" s="4">
        <v>17857</v>
      </c>
      <c r="F50" s="4">
        <f t="shared" si="4"/>
        <v>3392.83</v>
      </c>
      <c r="G50" s="4">
        <f t="shared" si="8"/>
        <v>21249.83</v>
      </c>
      <c r="H50" s="1">
        <f t="shared" si="6"/>
        <v>6</v>
      </c>
      <c r="I50" s="1">
        <f t="shared" si="7"/>
        <v>2021</v>
      </c>
      <c r="J50" s="4"/>
    </row>
    <row r="51" spans="1:10">
      <c r="A51" s="1" t="s">
        <v>53</v>
      </c>
      <c r="B51" s="7">
        <v>44351</v>
      </c>
      <c r="C51" s="1" t="s">
        <v>12</v>
      </c>
      <c r="D51" s="1">
        <v>51750</v>
      </c>
      <c r="E51" s="4">
        <v>49580</v>
      </c>
      <c r="F51" s="4">
        <f t="shared" si="4"/>
        <v>9420.2000000000007</v>
      </c>
      <c r="G51" s="4">
        <f t="shared" si="8"/>
        <v>59000.2</v>
      </c>
      <c r="H51" s="1">
        <f t="shared" si="6"/>
        <v>6</v>
      </c>
      <c r="I51" s="1">
        <f t="shared" si="7"/>
        <v>2021</v>
      </c>
      <c r="J51" s="4"/>
    </row>
    <row r="52" spans="1:10">
      <c r="A52" s="1" t="s">
        <v>54</v>
      </c>
      <c r="B52" s="7">
        <v>44351</v>
      </c>
      <c r="C52" s="1"/>
      <c r="E52" s="4">
        <v>6539</v>
      </c>
      <c r="F52" s="4">
        <f t="shared" si="4"/>
        <v>1242.4100000000001</v>
      </c>
      <c r="G52" s="4">
        <f t="shared" si="8"/>
        <v>7781.41</v>
      </c>
      <c r="H52" s="1">
        <f t="shared" si="6"/>
        <v>6</v>
      </c>
      <c r="I52" s="1">
        <f t="shared" si="7"/>
        <v>2021</v>
      </c>
      <c r="J52" s="4"/>
    </row>
    <row r="53" spans="1:10">
      <c r="A53" s="1" t="s">
        <v>55</v>
      </c>
      <c r="B53" s="7">
        <v>44355</v>
      </c>
      <c r="C53" s="1"/>
      <c r="E53" s="4">
        <v>225</v>
      </c>
      <c r="F53" s="4">
        <f t="shared" si="4"/>
        <v>42.75</v>
      </c>
      <c r="G53" s="4">
        <f t="shared" si="8"/>
        <v>267.75</v>
      </c>
      <c r="H53" s="1">
        <f t="shared" si="6"/>
        <v>6</v>
      </c>
      <c r="I53" s="1">
        <f t="shared" si="7"/>
        <v>2021</v>
      </c>
      <c r="J53" s="4"/>
    </row>
    <row r="54" spans="1:10">
      <c r="A54" s="1" t="s">
        <v>56</v>
      </c>
      <c r="B54" s="7">
        <v>44351</v>
      </c>
      <c r="C54" s="1" t="s">
        <v>12</v>
      </c>
      <c r="D54" s="1">
        <v>891155</v>
      </c>
      <c r="E54" s="4">
        <v>9235</v>
      </c>
      <c r="F54" s="4">
        <f t="shared" si="4"/>
        <v>1754.65</v>
      </c>
      <c r="G54" s="4">
        <f t="shared" si="8"/>
        <v>10989.65</v>
      </c>
      <c r="H54" s="1">
        <f t="shared" si="6"/>
        <v>6</v>
      </c>
      <c r="I54" s="1">
        <f t="shared" si="7"/>
        <v>2021</v>
      </c>
      <c r="J54" s="4"/>
    </row>
    <row r="55" spans="1:10">
      <c r="A55" s="1" t="s">
        <v>57</v>
      </c>
      <c r="B55" s="7">
        <v>44351</v>
      </c>
      <c r="C55" s="1"/>
      <c r="E55" s="4">
        <v>2375</v>
      </c>
      <c r="F55" s="4">
        <f t="shared" si="4"/>
        <v>451.25</v>
      </c>
      <c r="G55" s="4">
        <f t="shared" si="8"/>
        <v>2826.25</v>
      </c>
      <c r="H55" s="1">
        <f t="shared" si="6"/>
        <v>6</v>
      </c>
      <c r="I55" s="1">
        <f t="shared" si="7"/>
        <v>2021</v>
      </c>
      <c r="J55" s="4"/>
    </row>
    <row r="56" spans="1:10">
      <c r="A56" s="1" t="s">
        <v>58</v>
      </c>
      <c r="B56" s="7">
        <v>44384</v>
      </c>
      <c r="C56" s="1" t="s">
        <v>12</v>
      </c>
      <c r="D56" s="1">
        <v>3550</v>
      </c>
      <c r="E56" s="4"/>
      <c r="F56" s="4">
        <f t="shared" si="4"/>
        <v>0</v>
      </c>
      <c r="G56" s="4">
        <f t="shared" si="8"/>
        <v>0</v>
      </c>
      <c r="H56" s="1">
        <f t="shared" si="6"/>
        <v>7</v>
      </c>
      <c r="I56" s="1">
        <f t="shared" si="7"/>
        <v>2021</v>
      </c>
      <c r="J56" s="4">
        <v>104310</v>
      </c>
    </row>
    <row r="57" spans="1:10">
      <c r="A57" s="1" t="s">
        <v>14</v>
      </c>
      <c r="B57" s="7">
        <v>44384</v>
      </c>
      <c r="C57" s="1" t="s">
        <v>12</v>
      </c>
      <c r="D57" s="1">
        <v>28735</v>
      </c>
      <c r="E57" s="4">
        <v>71300</v>
      </c>
      <c r="F57" s="4">
        <f t="shared" si="4"/>
        <v>13547</v>
      </c>
      <c r="G57" s="4">
        <f t="shared" si="8"/>
        <v>84847</v>
      </c>
      <c r="H57" s="1">
        <f>MONTH(Ventas!C80)</f>
        <v>7</v>
      </c>
      <c r="I57" s="1">
        <f>YEAR(Ventas!C80)</f>
        <v>2021</v>
      </c>
      <c r="J57" s="4"/>
    </row>
    <row r="58" spans="1:10">
      <c r="A58" s="1" t="s">
        <v>59</v>
      </c>
      <c r="B58" s="7">
        <v>44400</v>
      </c>
      <c r="C58" s="1" t="s">
        <v>12</v>
      </c>
      <c r="D58" s="1">
        <v>18042</v>
      </c>
      <c r="E58" s="4">
        <v>37731</v>
      </c>
      <c r="F58" s="4">
        <f t="shared" si="4"/>
        <v>7168.89</v>
      </c>
      <c r="G58" s="4">
        <f t="shared" si="8"/>
        <v>44899.89</v>
      </c>
      <c r="H58" s="1">
        <f t="shared" ref="H58:H312" si="9">MONTH(B58)</f>
        <v>7</v>
      </c>
      <c r="I58" s="1">
        <f t="shared" ref="I58:I312" si="10">YEAR(B58)</f>
        <v>2021</v>
      </c>
      <c r="J58" s="4"/>
    </row>
    <row r="59" spans="1:10">
      <c r="A59" s="1" t="s">
        <v>60</v>
      </c>
      <c r="B59" s="7">
        <v>44414</v>
      </c>
      <c r="C59" s="1" t="s">
        <v>12</v>
      </c>
      <c r="D59" s="1">
        <v>82</v>
      </c>
      <c r="E59" s="4">
        <v>16798</v>
      </c>
      <c r="F59" s="4">
        <f t="shared" si="4"/>
        <v>3191.62</v>
      </c>
      <c r="G59" s="4">
        <f t="shared" si="8"/>
        <v>19989.62</v>
      </c>
      <c r="H59" s="1">
        <f t="shared" si="9"/>
        <v>8</v>
      </c>
      <c r="I59" s="1">
        <f t="shared" si="10"/>
        <v>2021</v>
      </c>
      <c r="J59" s="4"/>
    </row>
    <row r="60" spans="1:10">
      <c r="A60" s="1" t="s">
        <v>33</v>
      </c>
      <c r="B60" s="7">
        <v>44421</v>
      </c>
      <c r="C60" s="1" t="s">
        <v>12</v>
      </c>
      <c r="D60" s="1">
        <v>960023</v>
      </c>
      <c r="E60" s="4">
        <v>33580</v>
      </c>
      <c r="F60" s="4">
        <f t="shared" si="4"/>
        <v>6380.2</v>
      </c>
      <c r="G60" s="4">
        <f t="shared" si="8"/>
        <v>39960.199999999997</v>
      </c>
      <c r="H60" s="1">
        <f t="shared" si="9"/>
        <v>8</v>
      </c>
      <c r="I60" s="1">
        <f t="shared" si="10"/>
        <v>2021</v>
      </c>
      <c r="J60" s="4"/>
    </row>
    <row r="61" spans="1:10">
      <c r="A61" s="1" t="s">
        <v>61</v>
      </c>
      <c r="B61" s="7">
        <v>44421</v>
      </c>
      <c r="C61" s="1" t="s">
        <v>12</v>
      </c>
      <c r="E61" s="4"/>
      <c r="F61" s="4">
        <f t="shared" si="4"/>
        <v>0</v>
      </c>
      <c r="G61" s="4">
        <f t="shared" si="8"/>
        <v>0</v>
      </c>
      <c r="H61" s="1">
        <f t="shared" si="9"/>
        <v>8</v>
      </c>
      <c r="I61" s="1">
        <f t="shared" si="10"/>
        <v>2021</v>
      </c>
      <c r="J61" s="4">
        <v>31560</v>
      </c>
    </row>
    <row r="62" spans="1:10">
      <c r="A62" s="1" t="s">
        <v>62</v>
      </c>
      <c r="B62" s="7">
        <v>44421</v>
      </c>
      <c r="C62" s="1"/>
      <c r="E62" s="4"/>
      <c r="F62" s="4">
        <f t="shared" si="4"/>
        <v>0</v>
      </c>
      <c r="G62" s="4">
        <f t="shared" si="8"/>
        <v>0</v>
      </c>
      <c r="H62" s="1">
        <f t="shared" si="9"/>
        <v>8</v>
      </c>
      <c r="I62" s="1">
        <f t="shared" si="10"/>
        <v>2021</v>
      </c>
      <c r="J62" s="4">
        <v>1155</v>
      </c>
    </row>
    <row r="63" spans="1:10">
      <c r="A63" s="1" t="s">
        <v>63</v>
      </c>
      <c r="B63" s="7">
        <v>44421</v>
      </c>
      <c r="C63" s="1" t="s">
        <v>12</v>
      </c>
      <c r="D63" s="1">
        <v>1040</v>
      </c>
      <c r="E63" s="4"/>
      <c r="F63" s="4">
        <f t="shared" si="4"/>
        <v>0</v>
      </c>
      <c r="G63" s="4">
        <f t="shared" si="8"/>
        <v>0</v>
      </c>
      <c r="H63" s="1">
        <f t="shared" si="9"/>
        <v>8</v>
      </c>
      <c r="I63" s="1">
        <f t="shared" si="10"/>
        <v>2021</v>
      </c>
      <c r="J63" s="4">
        <v>62475</v>
      </c>
    </row>
    <row r="64" spans="1:10">
      <c r="A64" s="1" t="s">
        <v>64</v>
      </c>
      <c r="B64" s="7">
        <v>44425</v>
      </c>
      <c r="C64" s="1" t="s">
        <v>12</v>
      </c>
      <c r="D64" s="1">
        <v>38288</v>
      </c>
      <c r="E64" s="4">
        <v>15958</v>
      </c>
      <c r="F64" s="4">
        <f t="shared" si="4"/>
        <v>3032.02</v>
      </c>
      <c r="G64" s="4">
        <f t="shared" si="8"/>
        <v>18990.02</v>
      </c>
      <c r="H64" s="1">
        <f t="shared" si="9"/>
        <v>8</v>
      </c>
      <c r="I64" s="1">
        <f t="shared" si="10"/>
        <v>2021</v>
      </c>
      <c r="J64" s="4">
        <v>18990</v>
      </c>
    </row>
    <row r="65" spans="1:11">
      <c r="A65" s="1" t="s">
        <v>65</v>
      </c>
      <c r="B65" s="7">
        <v>44425</v>
      </c>
      <c r="C65" s="1"/>
      <c r="E65" s="4">
        <v>2375</v>
      </c>
      <c r="F65" s="4">
        <f t="shared" si="4"/>
        <v>451.25</v>
      </c>
      <c r="G65" s="4">
        <f t="shared" si="8"/>
        <v>2826.25</v>
      </c>
      <c r="H65" s="1">
        <f t="shared" si="9"/>
        <v>8</v>
      </c>
      <c r="I65" s="1">
        <f t="shared" si="10"/>
        <v>2021</v>
      </c>
      <c r="J65" s="4">
        <v>2826</v>
      </c>
    </row>
    <row r="66" spans="1:11">
      <c r="A66" s="1" t="s">
        <v>14</v>
      </c>
      <c r="B66" s="7">
        <v>44441</v>
      </c>
      <c r="C66" s="1" t="s">
        <v>12</v>
      </c>
      <c r="D66" s="1">
        <v>29799</v>
      </c>
      <c r="E66" s="4">
        <v>51900</v>
      </c>
      <c r="F66" s="4">
        <f t="shared" si="4"/>
        <v>9861</v>
      </c>
      <c r="G66" s="4">
        <f t="shared" si="8"/>
        <v>61761</v>
      </c>
      <c r="H66" s="1">
        <f t="shared" si="9"/>
        <v>9</v>
      </c>
      <c r="I66" s="1">
        <f t="shared" si="10"/>
        <v>2021</v>
      </c>
      <c r="J66" s="4"/>
    </row>
    <row r="67" spans="1:11">
      <c r="A67" s="1" t="s">
        <v>66</v>
      </c>
      <c r="B67" s="7">
        <v>44442</v>
      </c>
      <c r="C67" s="1" t="s">
        <v>12</v>
      </c>
      <c r="D67" s="1">
        <v>975872</v>
      </c>
      <c r="E67" s="4"/>
      <c r="F67" s="4">
        <f t="shared" si="4"/>
        <v>0</v>
      </c>
      <c r="G67" s="4">
        <f t="shared" si="8"/>
        <v>0</v>
      </c>
      <c r="H67" s="1">
        <f t="shared" si="9"/>
        <v>9</v>
      </c>
      <c r="I67" s="1">
        <f t="shared" si="10"/>
        <v>2021</v>
      </c>
      <c r="J67" s="4">
        <v>27980</v>
      </c>
    </row>
    <row r="68" spans="1:11">
      <c r="A68" s="1" t="s">
        <v>67</v>
      </c>
      <c r="B68" s="7">
        <v>44447</v>
      </c>
      <c r="C68" s="1" t="s">
        <v>12</v>
      </c>
      <c r="D68" s="1">
        <v>4448</v>
      </c>
      <c r="E68" s="4"/>
      <c r="F68" s="4">
        <f t="shared" si="4"/>
        <v>0</v>
      </c>
      <c r="G68" s="4">
        <f t="shared" si="8"/>
        <v>0</v>
      </c>
      <c r="H68" s="1">
        <f t="shared" si="9"/>
        <v>9</v>
      </c>
      <c r="I68" s="1">
        <f t="shared" si="10"/>
        <v>2021</v>
      </c>
      <c r="J68" s="4">
        <v>63120</v>
      </c>
    </row>
    <row r="69" spans="1:11">
      <c r="A69" s="1" t="s">
        <v>68</v>
      </c>
      <c r="B69" s="7">
        <v>44448</v>
      </c>
      <c r="C69" s="1" t="s">
        <v>12</v>
      </c>
      <c r="D69" s="1">
        <v>200473</v>
      </c>
      <c r="E69" s="4">
        <v>15880</v>
      </c>
      <c r="F69" s="4">
        <f t="shared" si="4"/>
        <v>3017.2</v>
      </c>
      <c r="G69" s="4">
        <f t="shared" si="8"/>
        <v>18897.2</v>
      </c>
      <c r="H69" s="1">
        <f t="shared" si="9"/>
        <v>9</v>
      </c>
      <c r="I69" s="1">
        <f t="shared" si="10"/>
        <v>2021</v>
      </c>
      <c r="J69" s="4" t="s">
        <v>69</v>
      </c>
      <c r="K69" s="1">
        <v>35539</v>
      </c>
    </row>
    <row r="70" spans="1:11">
      <c r="A70" s="1" t="s">
        <v>70</v>
      </c>
      <c r="B70" s="7">
        <v>44449</v>
      </c>
      <c r="C70" s="1" t="s">
        <v>12</v>
      </c>
      <c r="D70" s="1">
        <v>807</v>
      </c>
      <c r="E70" s="4">
        <v>2941</v>
      </c>
      <c r="F70" s="4">
        <f t="shared" si="4"/>
        <v>558.79</v>
      </c>
      <c r="G70" s="4">
        <f t="shared" si="8"/>
        <v>3499.79</v>
      </c>
      <c r="H70" s="1">
        <f t="shared" si="9"/>
        <v>9</v>
      </c>
      <c r="I70" s="1">
        <f t="shared" si="10"/>
        <v>2021</v>
      </c>
      <c r="J70" s="4">
        <v>6206</v>
      </c>
    </row>
    <row r="71" spans="1:11">
      <c r="A71" s="1" t="s">
        <v>71</v>
      </c>
      <c r="B71" s="7">
        <v>44449</v>
      </c>
      <c r="C71" s="1"/>
      <c r="E71" s="4">
        <v>2274</v>
      </c>
      <c r="F71" s="4">
        <f t="shared" si="4"/>
        <v>432.06</v>
      </c>
      <c r="G71" s="4">
        <f t="shared" si="8"/>
        <v>2706.06</v>
      </c>
      <c r="H71" s="1">
        <f t="shared" si="9"/>
        <v>9</v>
      </c>
      <c r="I71" s="1">
        <f t="shared" si="10"/>
        <v>2021</v>
      </c>
      <c r="J71" s="4"/>
    </row>
    <row r="72" spans="1:11">
      <c r="A72" s="1" t="s">
        <v>72</v>
      </c>
      <c r="B72" s="7">
        <v>44449</v>
      </c>
      <c r="C72" s="1" t="s">
        <v>12</v>
      </c>
      <c r="D72" s="1">
        <v>28</v>
      </c>
      <c r="E72" s="4">
        <v>7219</v>
      </c>
      <c r="F72" s="4">
        <f t="shared" si="4"/>
        <v>1371.6100000000001</v>
      </c>
      <c r="G72" s="4">
        <f t="shared" si="8"/>
        <v>8590.61</v>
      </c>
      <c r="H72" s="1">
        <f t="shared" si="9"/>
        <v>9</v>
      </c>
      <c r="I72" s="1">
        <f t="shared" si="10"/>
        <v>2021</v>
      </c>
      <c r="J72" s="4">
        <v>11296</v>
      </c>
    </row>
    <row r="73" spans="1:11">
      <c r="A73" s="1" t="s">
        <v>73</v>
      </c>
      <c r="B73" s="7">
        <v>44449</v>
      </c>
      <c r="C73" s="1"/>
      <c r="E73" s="4">
        <v>2273</v>
      </c>
      <c r="F73" s="4">
        <f t="shared" si="4"/>
        <v>431.87</v>
      </c>
      <c r="G73" s="4">
        <f t="shared" si="8"/>
        <v>2704.87</v>
      </c>
      <c r="H73" s="1">
        <f t="shared" si="9"/>
        <v>9</v>
      </c>
      <c r="I73" s="1">
        <f t="shared" si="10"/>
        <v>2021</v>
      </c>
      <c r="J73" s="4"/>
    </row>
    <row r="74" spans="1:11">
      <c r="A74" s="1" t="s">
        <v>74</v>
      </c>
      <c r="B74" s="7">
        <v>44449</v>
      </c>
      <c r="C74" s="1" t="s">
        <v>12</v>
      </c>
      <c r="D74" s="1">
        <v>36282</v>
      </c>
      <c r="E74" s="4">
        <v>59667</v>
      </c>
      <c r="F74" s="4">
        <f t="shared" si="4"/>
        <v>11336.73</v>
      </c>
      <c r="G74" s="4">
        <f t="shared" si="8"/>
        <v>71003.73</v>
      </c>
      <c r="H74" s="1">
        <f t="shared" si="9"/>
        <v>9</v>
      </c>
      <c r="I74" s="1">
        <f t="shared" si="10"/>
        <v>2021</v>
      </c>
      <c r="J74" s="4"/>
    </row>
    <row r="75" spans="1:11">
      <c r="A75" s="1" t="s">
        <v>14</v>
      </c>
      <c r="B75" s="7">
        <v>44452</v>
      </c>
      <c r="C75" s="1" t="s">
        <v>12</v>
      </c>
      <c r="D75" s="1">
        <v>29944</v>
      </c>
      <c r="E75" s="4">
        <v>31300</v>
      </c>
      <c r="F75" s="4">
        <f t="shared" si="4"/>
        <v>5947</v>
      </c>
      <c r="G75" s="4">
        <f t="shared" si="8"/>
        <v>37247</v>
      </c>
      <c r="H75" s="1">
        <f t="shared" si="9"/>
        <v>9</v>
      </c>
      <c r="I75" s="1">
        <f t="shared" si="10"/>
        <v>2021</v>
      </c>
      <c r="J75" s="4"/>
    </row>
    <row r="76" spans="1:11">
      <c r="A76" s="1" t="s">
        <v>75</v>
      </c>
      <c r="B76" s="7">
        <v>44452</v>
      </c>
      <c r="C76" s="1" t="s">
        <v>12</v>
      </c>
      <c r="D76" s="1">
        <v>3677</v>
      </c>
      <c r="E76" s="4">
        <v>13437</v>
      </c>
      <c r="F76" s="4">
        <f t="shared" si="4"/>
        <v>2553.0300000000002</v>
      </c>
      <c r="G76" s="4">
        <f t="shared" si="8"/>
        <v>15990.03</v>
      </c>
      <c r="H76" s="1">
        <f t="shared" si="9"/>
        <v>9</v>
      </c>
      <c r="I76" s="1">
        <f t="shared" si="10"/>
        <v>2021</v>
      </c>
      <c r="J76" s="4"/>
    </row>
    <row r="77" spans="1:11">
      <c r="A77" s="1" t="s">
        <v>76</v>
      </c>
      <c r="B77" s="7">
        <v>44452</v>
      </c>
      <c r="C77" s="1"/>
      <c r="E77" s="4">
        <v>1407</v>
      </c>
      <c r="F77" s="4">
        <f t="shared" si="4"/>
        <v>267.33</v>
      </c>
      <c r="G77" s="4">
        <f t="shared" si="8"/>
        <v>1674.33</v>
      </c>
      <c r="H77" s="1">
        <f t="shared" si="9"/>
        <v>9</v>
      </c>
      <c r="I77" s="1">
        <f t="shared" si="10"/>
        <v>2021</v>
      </c>
      <c r="J77" s="4"/>
    </row>
    <row r="78" spans="1:11">
      <c r="A78" s="1" t="s">
        <v>77</v>
      </c>
      <c r="B78" s="7">
        <v>44454</v>
      </c>
      <c r="C78" s="1" t="s">
        <v>12</v>
      </c>
      <c r="D78" s="1">
        <v>984570</v>
      </c>
      <c r="E78" s="4">
        <v>8395</v>
      </c>
      <c r="F78" s="4">
        <f t="shared" si="4"/>
        <v>1595.05</v>
      </c>
      <c r="G78" s="4">
        <f t="shared" si="8"/>
        <v>9990.0499999999993</v>
      </c>
      <c r="H78" s="1">
        <f t="shared" si="9"/>
        <v>9</v>
      </c>
      <c r="I78" s="1">
        <f t="shared" si="10"/>
        <v>2021</v>
      </c>
      <c r="J78" s="4"/>
    </row>
    <row r="79" spans="1:11">
      <c r="A79" s="1" t="s">
        <v>78</v>
      </c>
      <c r="B79" s="7">
        <v>44454</v>
      </c>
      <c r="C79" s="1"/>
      <c r="E79" s="4">
        <v>1508</v>
      </c>
      <c r="F79" s="4">
        <f t="shared" si="4"/>
        <v>286.52</v>
      </c>
      <c r="G79" s="4">
        <f t="shared" si="8"/>
        <v>1794.52</v>
      </c>
      <c r="H79" s="1">
        <f t="shared" si="9"/>
        <v>9</v>
      </c>
      <c r="I79" s="1">
        <f t="shared" si="10"/>
        <v>2021</v>
      </c>
      <c r="J79" s="4"/>
    </row>
    <row r="80" spans="1:11">
      <c r="A80" s="1" t="s">
        <v>79</v>
      </c>
      <c r="B80" s="7">
        <v>44459</v>
      </c>
      <c r="C80" s="1" t="s">
        <v>12</v>
      </c>
      <c r="D80" s="1">
        <v>1783734</v>
      </c>
      <c r="E80" s="4">
        <v>17286</v>
      </c>
      <c r="F80" s="4">
        <f t="shared" si="4"/>
        <v>3284.34</v>
      </c>
      <c r="G80" s="4">
        <f t="shared" si="8"/>
        <v>20570.34</v>
      </c>
      <c r="H80" s="1">
        <f t="shared" si="9"/>
        <v>9</v>
      </c>
      <c r="I80" s="1">
        <f t="shared" si="10"/>
        <v>2021</v>
      </c>
      <c r="J80" s="4"/>
    </row>
    <row r="81" spans="1:11">
      <c r="A81" s="1" t="s">
        <v>80</v>
      </c>
      <c r="B81" s="7">
        <v>44459</v>
      </c>
      <c r="C81" s="1" t="s">
        <v>12</v>
      </c>
      <c r="D81" s="1">
        <v>525808</v>
      </c>
      <c r="E81" s="4">
        <v>2613.4</v>
      </c>
      <c r="F81" s="4">
        <f t="shared" si="4"/>
        <v>496.54600000000005</v>
      </c>
      <c r="G81" s="4">
        <f t="shared" si="8"/>
        <v>3109.9459999999999</v>
      </c>
      <c r="H81" s="1">
        <f t="shared" si="9"/>
        <v>9</v>
      </c>
      <c r="I81" s="1">
        <f t="shared" si="10"/>
        <v>2021</v>
      </c>
      <c r="J81" s="4"/>
    </row>
    <row r="82" spans="1:11">
      <c r="A82" s="1" t="s">
        <v>81</v>
      </c>
      <c r="B82" s="7">
        <v>44460</v>
      </c>
      <c r="C82" s="1" t="s">
        <v>12</v>
      </c>
      <c r="D82" s="1">
        <v>709</v>
      </c>
      <c r="E82" s="4">
        <v>27723</v>
      </c>
      <c r="F82" s="4">
        <f t="shared" si="4"/>
        <v>5267.37</v>
      </c>
      <c r="G82" s="4">
        <f t="shared" si="8"/>
        <v>32990.370000000003</v>
      </c>
      <c r="H82" s="1">
        <f t="shared" si="9"/>
        <v>9</v>
      </c>
      <c r="I82" s="1">
        <f t="shared" si="10"/>
        <v>2021</v>
      </c>
      <c r="J82" s="4"/>
    </row>
    <row r="83" spans="1:11">
      <c r="A83" s="1" t="s">
        <v>82</v>
      </c>
      <c r="B83" s="7">
        <v>44460</v>
      </c>
      <c r="C83" s="1" t="s">
        <v>12</v>
      </c>
      <c r="D83" s="1">
        <v>987103</v>
      </c>
      <c r="E83" s="4">
        <v>18479</v>
      </c>
      <c r="F83" s="4">
        <f t="shared" si="4"/>
        <v>3511.01</v>
      </c>
      <c r="G83" s="4">
        <f t="shared" si="8"/>
        <v>21990.010000000002</v>
      </c>
      <c r="H83" s="1">
        <f t="shared" si="9"/>
        <v>9</v>
      </c>
      <c r="I83" s="1">
        <f t="shared" si="10"/>
        <v>2021</v>
      </c>
      <c r="J83" s="4"/>
    </row>
    <row r="84" spans="1:11">
      <c r="A84" s="1" t="s">
        <v>83</v>
      </c>
      <c r="B84" s="7">
        <v>44461</v>
      </c>
      <c r="C84" s="1" t="s">
        <v>12</v>
      </c>
      <c r="D84" s="1">
        <v>12121</v>
      </c>
      <c r="E84" s="4">
        <v>9160</v>
      </c>
      <c r="F84" s="4">
        <f t="shared" si="4"/>
        <v>1740.4</v>
      </c>
      <c r="G84" s="4">
        <f t="shared" si="8"/>
        <v>10900.4</v>
      </c>
      <c r="H84" s="1">
        <f t="shared" si="9"/>
        <v>9</v>
      </c>
      <c r="I84" s="1">
        <f t="shared" si="10"/>
        <v>2021</v>
      </c>
      <c r="J84" s="4"/>
    </row>
    <row r="85" spans="1:11">
      <c r="A85" s="1" t="s">
        <v>84</v>
      </c>
      <c r="B85" s="7">
        <v>44461</v>
      </c>
      <c r="C85" s="1" t="s">
        <v>12</v>
      </c>
      <c r="D85" s="1">
        <v>19047</v>
      </c>
      <c r="E85" s="4"/>
      <c r="F85" s="4">
        <f t="shared" si="4"/>
        <v>0</v>
      </c>
      <c r="G85" s="4">
        <f t="shared" si="8"/>
        <v>0</v>
      </c>
      <c r="H85" s="1">
        <f t="shared" si="9"/>
        <v>9</v>
      </c>
      <c r="I85" s="1">
        <f t="shared" si="10"/>
        <v>2021</v>
      </c>
      <c r="J85" s="4">
        <v>39900</v>
      </c>
    </row>
    <row r="86" spans="1:11">
      <c r="A86" s="1" t="s">
        <v>85</v>
      </c>
      <c r="B86" s="7">
        <v>44461</v>
      </c>
      <c r="C86" s="1" t="s">
        <v>12</v>
      </c>
      <c r="D86" s="1">
        <v>19045</v>
      </c>
      <c r="E86" s="4">
        <v>11597</v>
      </c>
      <c r="F86" s="4">
        <f t="shared" si="4"/>
        <v>2203.4299999999998</v>
      </c>
      <c r="G86" s="4">
        <f t="shared" si="8"/>
        <v>13800.43</v>
      </c>
      <c r="H86" s="1">
        <f t="shared" si="9"/>
        <v>9</v>
      </c>
      <c r="I86" s="1">
        <f t="shared" si="10"/>
        <v>2021</v>
      </c>
      <c r="J86" s="4"/>
    </row>
    <row r="87" spans="1:11">
      <c r="A87" s="1" t="s">
        <v>86</v>
      </c>
      <c r="B87" s="7">
        <v>44474</v>
      </c>
      <c r="C87" s="1" t="s">
        <v>12</v>
      </c>
      <c r="D87" s="1">
        <v>37149</v>
      </c>
      <c r="E87" s="4">
        <v>45645</v>
      </c>
      <c r="F87" s="4">
        <f t="shared" si="4"/>
        <v>8672.5499999999993</v>
      </c>
      <c r="G87" s="4">
        <f t="shared" si="8"/>
        <v>54317.55</v>
      </c>
      <c r="H87" s="1">
        <f t="shared" si="9"/>
        <v>10</v>
      </c>
      <c r="I87" s="1">
        <f t="shared" si="10"/>
        <v>2021</v>
      </c>
      <c r="J87" s="4"/>
      <c r="K87" s="1" t="s">
        <v>87</v>
      </c>
    </row>
    <row r="88" spans="1:11">
      <c r="A88" s="1" t="s">
        <v>88</v>
      </c>
      <c r="B88" s="7">
        <v>44463</v>
      </c>
      <c r="C88" s="1" t="s">
        <v>12</v>
      </c>
      <c r="D88" s="1">
        <v>5558</v>
      </c>
      <c r="E88" s="4">
        <v>67226.5</v>
      </c>
      <c r="F88" s="4">
        <f t="shared" si="4"/>
        <v>12773.035</v>
      </c>
      <c r="G88" s="4">
        <f t="shared" si="8"/>
        <v>79999.535000000003</v>
      </c>
      <c r="H88" s="1">
        <f t="shared" si="9"/>
        <v>9</v>
      </c>
      <c r="I88" s="1">
        <f t="shared" si="10"/>
        <v>2021</v>
      </c>
      <c r="J88" s="4"/>
      <c r="K88" s="1" t="s">
        <v>87</v>
      </c>
    </row>
    <row r="89" spans="1:11">
      <c r="A89" s="1" t="s">
        <v>68</v>
      </c>
      <c r="B89" s="7">
        <v>44466</v>
      </c>
      <c r="C89" s="1" t="s">
        <v>12</v>
      </c>
      <c r="D89" s="1">
        <v>200942</v>
      </c>
      <c r="E89" s="4">
        <v>39645</v>
      </c>
      <c r="F89" s="4">
        <f t="shared" si="4"/>
        <v>7532.55</v>
      </c>
      <c r="G89" s="4">
        <f t="shared" si="8"/>
        <v>47177.55</v>
      </c>
      <c r="H89" s="1">
        <f t="shared" si="9"/>
        <v>9</v>
      </c>
      <c r="I89" s="1">
        <f t="shared" si="10"/>
        <v>2021</v>
      </c>
      <c r="J89" s="4"/>
      <c r="K89" s="1" t="s">
        <v>87</v>
      </c>
    </row>
    <row r="90" spans="1:11">
      <c r="A90" s="1" t="s">
        <v>89</v>
      </c>
      <c r="B90" s="7">
        <v>44466</v>
      </c>
      <c r="C90" s="1" t="s">
        <v>12</v>
      </c>
      <c r="D90" s="1">
        <v>276860</v>
      </c>
      <c r="E90" s="4">
        <v>115798</v>
      </c>
      <c r="F90" s="4">
        <f t="shared" si="4"/>
        <v>22001.62</v>
      </c>
      <c r="G90" s="4">
        <f t="shared" si="8"/>
        <v>137799.62</v>
      </c>
      <c r="H90" s="1">
        <f t="shared" si="9"/>
        <v>9</v>
      </c>
      <c r="I90" s="1">
        <f t="shared" si="10"/>
        <v>2021</v>
      </c>
      <c r="J90" s="4"/>
      <c r="K90" s="1" t="s">
        <v>87</v>
      </c>
    </row>
    <row r="91" spans="1:11">
      <c r="A91" s="1" t="s">
        <v>90</v>
      </c>
      <c r="B91" s="7">
        <v>44467</v>
      </c>
      <c r="C91" s="1" t="s">
        <v>12</v>
      </c>
      <c r="D91" s="1">
        <v>525889</v>
      </c>
      <c r="E91" s="4">
        <v>2613</v>
      </c>
      <c r="F91" s="4">
        <f t="shared" si="4"/>
        <v>496.47</v>
      </c>
      <c r="G91" s="4">
        <f t="shared" si="8"/>
        <v>3109.4700000000003</v>
      </c>
      <c r="H91" s="1">
        <f t="shared" si="9"/>
        <v>9</v>
      </c>
      <c r="I91" s="1">
        <f t="shared" si="10"/>
        <v>2021</v>
      </c>
      <c r="J91" s="4"/>
      <c r="K91" s="1" t="s">
        <v>87</v>
      </c>
    </row>
    <row r="92" spans="1:11">
      <c r="A92" s="1" t="s">
        <v>91</v>
      </c>
      <c r="B92" s="7">
        <v>44468</v>
      </c>
      <c r="C92" s="1" t="s">
        <v>39</v>
      </c>
      <c r="E92" s="4">
        <v>2521</v>
      </c>
      <c r="F92" s="4">
        <f t="shared" si="4"/>
        <v>478.99</v>
      </c>
      <c r="G92" s="4">
        <f t="shared" si="8"/>
        <v>2999.99</v>
      </c>
      <c r="H92" s="1">
        <f t="shared" si="9"/>
        <v>9</v>
      </c>
      <c r="I92" s="1">
        <f t="shared" si="10"/>
        <v>2021</v>
      </c>
      <c r="J92" s="4"/>
      <c r="K92" s="1" t="s">
        <v>87</v>
      </c>
    </row>
    <row r="93" spans="1:11">
      <c r="A93" s="1" t="s">
        <v>92</v>
      </c>
      <c r="B93" s="7">
        <v>44468</v>
      </c>
      <c r="C93" s="1" t="s">
        <v>12</v>
      </c>
      <c r="D93" s="1">
        <v>528801</v>
      </c>
      <c r="E93" s="4">
        <v>4873.9489999999996</v>
      </c>
      <c r="F93" s="4">
        <f t="shared" si="4"/>
        <v>926.05030999999997</v>
      </c>
      <c r="G93" s="4">
        <f t="shared" si="8"/>
        <v>5799.9993099999992</v>
      </c>
      <c r="H93" s="1">
        <f t="shared" si="9"/>
        <v>9</v>
      </c>
      <c r="I93" s="1">
        <f t="shared" si="10"/>
        <v>2021</v>
      </c>
      <c r="J93" s="4"/>
      <c r="K93" s="1" t="s">
        <v>87</v>
      </c>
    </row>
    <row r="94" spans="1:11">
      <c r="A94" s="1" t="s">
        <v>93</v>
      </c>
      <c r="B94" s="7">
        <v>44468</v>
      </c>
      <c r="C94" s="1" t="s">
        <v>12</v>
      </c>
      <c r="D94" s="1">
        <v>528802</v>
      </c>
      <c r="E94" s="4">
        <v>1705.88</v>
      </c>
      <c r="F94" s="4">
        <f t="shared" si="4"/>
        <v>324.11720000000003</v>
      </c>
      <c r="G94" s="4">
        <f t="shared" si="8"/>
        <v>2029.9972000000002</v>
      </c>
      <c r="H94" s="1">
        <f t="shared" si="9"/>
        <v>9</v>
      </c>
      <c r="I94" s="1">
        <f t="shared" si="10"/>
        <v>2021</v>
      </c>
      <c r="J94" s="4"/>
      <c r="K94" s="1" t="s">
        <v>87</v>
      </c>
    </row>
    <row r="95" spans="1:11">
      <c r="A95" s="1" t="s">
        <v>94</v>
      </c>
      <c r="B95" s="7">
        <v>44469</v>
      </c>
      <c r="C95" s="1" t="s">
        <v>12</v>
      </c>
      <c r="D95" s="1">
        <v>541461</v>
      </c>
      <c r="E95" s="4">
        <v>8319</v>
      </c>
      <c r="F95" s="4">
        <f t="shared" si="4"/>
        <v>1580.6100000000001</v>
      </c>
      <c r="G95" s="4">
        <f t="shared" si="8"/>
        <v>9899.61</v>
      </c>
      <c r="H95" s="1">
        <f t="shared" si="9"/>
        <v>9</v>
      </c>
      <c r="I95" s="1">
        <f t="shared" si="10"/>
        <v>2021</v>
      </c>
      <c r="J95" s="4"/>
      <c r="K95" s="1" t="s">
        <v>87</v>
      </c>
    </row>
    <row r="96" spans="1:11">
      <c r="A96" s="1" t="s">
        <v>95</v>
      </c>
      <c r="B96" s="7">
        <v>44445</v>
      </c>
      <c r="C96" s="1" t="s">
        <v>12</v>
      </c>
      <c r="D96" s="1">
        <v>1802221</v>
      </c>
      <c r="E96" s="4">
        <v>18478.991600000001</v>
      </c>
      <c r="F96" s="4">
        <f t="shared" si="4"/>
        <v>3511.0084040000002</v>
      </c>
      <c r="G96" s="4">
        <f t="shared" si="8"/>
        <v>21990.000004000001</v>
      </c>
      <c r="H96" s="1">
        <f t="shared" si="9"/>
        <v>9</v>
      </c>
      <c r="I96" s="1">
        <f t="shared" si="10"/>
        <v>2021</v>
      </c>
      <c r="J96" s="4"/>
      <c r="K96" s="1" t="s">
        <v>87</v>
      </c>
    </row>
    <row r="97" spans="1:13">
      <c r="A97" s="1" t="s">
        <v>96</v>
      </c>
      <c r="B97" s="7">
        <v>44470</v>
      </c>
      <c r="C97" s="1" t="s">
        <v>12</v>
      </c>
      <c r="D97" s="1">
        <v>691662</v>
      </c>
      <c r="E97" s="4">
        <v>7563</v>
      </c>
      <c r="F97" s="4">
        <f t="shared" si="4"/>
        <v>1436.97</v>
      </c>
      <c r="G97" s="4">
        <f t="shared" si="8"/>
        <v>8999.9699999999993</v>
      </c>
      <c r="H97" s="1">
        <f t="shared" si="9"/>
        <v>10</v>
      </c>
      <c r="I97" s="1">
        <f t="shared" si="10"/>
        <v>2021</v>
      </c>
      <c r="J97" s="4"/>
      <c r="K97" s="1" t="s">
        <v>87</v>
      </c>
    </row>
    <row r="98" spans="1:13">
      <c r="A98" s="1" t="s">
        <v>97</v>
      </c>
      <c r="B98" s="7">
        <v>44475</v>
      </c>
      <c r="C98" s="1" t="s">
        <v>12</v>
      </c>
      <c r="D98" s="1">
        <v>5055</v>
      </c>
      <c r="E98" s="4">
        <v>53647.057999999997</v>
      </c>
      <c r="F98" s="4">
        <f t="shared" si="4"/>
        <v>10192.94102</v>
      </c>
      <c r="G98" s="4">
        <f t="shared" si="8"/>
        <v>63839.999019999996</v>
      </c>
      <c r="H98" s="1">
        <f t="shared" si="9"/>
        <v>10</v>
      </c>
      <c r="I98" s="1">
        <f t="shared" si="10"/>
        <v>2021</v>
      </c>
      <c r="J98" s="4"/>
      <c r="K98" s="1" t="s">
        <v>87</v>
      </c>
    </row>
    <row r="99" spans="1:13">
      <c r="A99" s="1" t="s">
        <v>66</v>
      </c>
      <c r="B99" s="7">
        <v>44475</v>
      </c>
      <c r="C99" s="1" t="s">
        <v>12</v>
      </c>
      <c r="D99" s="1">
        <v>1030204</v>
      </c>
      <c r="E99" s="4">
        <v>25193</v>
      </c>
      <c r="F99" s="4">
        <f t="shared" si="4"/>
        <v>4786.67</v>
      </c>
      <c r="G99" s="4">
        <f t="shared" si="8"/>
        <v>29979.67</v>
      </c>
      <c r="H99" s="1">
        <f t="shared" si="9"/>
        <v>10</v>
      </c>
      <c r="I99" s="1">
        <f t="shared" si="10"/>
        <v>2021</v>
      </c>
      <c r="J99" s="4"/>
      <c r="K99" s="1" t="s">
        <v>87</v>
      </c>
    </row>
    <row r="100" spans="1:13">
      <c r="A100" s="1" t="s">
        <v>98</v>
      </c>
      <c r="B100" s="7">
        <v>44475</v>
      </c>
      <c r="C100" s="1" t="s">
        <v>12</v>
      </c>
      <c r="D100" s="1">
        <v>1031356</v>
      </c>
      <c r="E100" s="4">
        <v>30078</v>
      </c>
      <c r="F100" s="4">
        <f t="shared" si="4"/>
        <v>5714.82</v>
      </c>
      <c r="G100" s="4">
        <f t="shared" si="8"/>
        <v>35792.82</v>
      </c>
      <c r="H100" s="1">
        <f t="shared" si="9"/>
        <v>10</v>
      </c>
      <c r="I100" s="1">
        <f t="shared" si="10"/>
        <v>2021</v>
      </c>
      <c r="J100" s="4"/>
      <c r="K100" s="1" t="s">
        <v>87</v>
      </c>
    </row>
    <row r="101" spans="1:13">
      <c r="A101" s="1" t="s">
        <v>99</v>
      </c>
      <c r="B101" s="7">
        <v>44475</v>
      </c>
      <c r="C101" s="1" t="s">
        <v>12</v>
      </c>
      <c r="D101" s="1">
        <v>1031359</v>
      </c>
      <c r="E101" s="4">
        <v>6639</v>
      </c>
      <c r="F101" s="4">
        <f t="shared" si="4"/>
        <v>1261.4100000000001</v>
      </c>
      <c r="G101" s="4">
        <f t="shared" si="8"/>
        <v>7900.41</v>
      </c>
      <c r="H101" s="1">
        <f t="shared" si="9"/>
        <v>10</v>
      </c>
      <c r="I101" s="1">
        <f t="shared" si="10"/>
        <v>2021</v>
      </c>
      <c r="J101" s="4"/>
      <c r="K101" s="1" t="s">
        <v>87</v>
      </c>
    </row>
    <row r="102" spans="1:13">
      <c r="A102" s="1" t="s">
        <v>92</v>
      </c>
      <c r="B102" s="7">
        <v>44477</v>
      </c>
      <c r="C102" s="1" t="s">
        <v>12</v>
      </c>
      <c r="D102" s="1">
        <v>528898</v>
      </c>
      <c r="E102" s="4">
        <v>4201.6806720000004</v>
      </c>
      <c r="F102" s="4">
        <f t="shared" si="4"/>
        <v>798.31932768000013</v>
      </c>
      <c r="G102" s="4">
        <f t="shared" si="8"/>
        <v>4999.9999996800007</v>
      </c>
      <c r="H102" s="1">
        <f t="shared" si="9"/>
        <v>10</v>
      </c>
      <c r="I102" s="1">
        <f t="shared" si="10"/>
        <v>2021</v>
      </c>
      <c r="J102" s="4"/>
      <c r="K102" s="1" t="s">
        <v>87</v>
      </c>
    </row>
    <row r="103" spans="1:13">
      <c r="A103" s="1" t="s">
        <v>100</v>
      </c>
      <c r="B103" s="7">
        <v>44475</v>
      </c>
      <c r="C103" s="1" t="s">
        <v>12</v>
      </c>
      <c r="D103" s="1">
        <v>278275</v>
      </c>
      <c r="E103" s="4">
        <v>57899</v>
      </c>
      <c r="F103" s="4">
        <f t="shared" si="4"/>
        <v>11000.81</v>
      </c>
      <c r="G103" s="4">
        <f t="shared" si="8"/>
        <v>68899.81</v>
      </c>
      <c r="H103" s="1">
        <f t="shared" si="9"/>
        <v>10</v>
      </c>
      <c r="I103" s="1">
        <f t="shared" si="10"/>
        <v>2021</v>
      </c>
      <c r="J103" s="4"/>
      <c r="K103" s="1" t="s">
        <v>87</v>
      </c>
    </row>
    <row r="104" spans="1:13">
      <c r="A104" s="1" t="s">
        <v>101</v>
      </c>
      <c r="B104" s="3">
        <v>44488</v>
      </c>
      <c r="C104" s="1" t="s">
        <v>12</v>
      </c>
      <c r="D104" s="1">
        <v>11350</v>
      </c>
      <c r="E104" s="4">
        <v>48479</v>
      </c>
      <c r="F104" s="4">
        <f t="shared" si="4"/>
        <v>9211.01</v>
      </c>
      <c r="G104" s="4">
        <f t="shared" si="8"/>
        <v>57690.01</v>
      </c>
      <c r="H104" s="1">
        <f t="shared" si="9"/>
        <v>10</v>
      </c>
      <c r="I104" s="1">
        <f t="shared" si="10"/>
        <v>2021</v>
      </c>
      <c r="J104" s="4"/>
      <c r="K104" s="1" t="s">
        <v>87</v>
      </c>
    </row>
    <row r="105" spans="1:13">
      <c r="A105" s="1" t="s">
        <v>102</v>
      </c>
      <c r="B105" s="3">
        <v>44484</v>
      </c>
      <c r="C105" s="1" t="s">
        <v>12</v>
      </c>
      <c r="D105" s="1">
        <v>724842</v>
      </c>
      <c r="E105" s="4">
        <v>60504.201999999997</v>
      </c>
      <c r="F105" s="4">
        <f t="shared" si="4"/>
        <v>11495.79838</v>
      </c>
      <c r="G105" s="4">
        <f t="shared" si="8"/>
        <v>72000.000379999998</v>
      </c>
      <c r="H105" s="1">
        <f t="shared" si="9"/>
        <v>10</v>
      </c>
      <c r="I105" s="1">
        <f t="shared" si="10"/>
        <v>2021</v>
      </c>
      <c r="J105" s="4"/>
      <c r="K105" s="1" t="s">
        <v>87</v>
      </c>
    </row>
    <row r="106" spans="1:13">
      <c r="A106" s="1" t="s">
        <v>68</v>
      </c>
      <c r="B106" s="3">
        <v>44487</v>
      </c>
      <c r="C106" s="1" t="s">
        <v>12</v>
      </c>
      <c r="D106" s="1">
        <v>202336</v>
      </c>
      <c r="E106" s="4">
        <v>27970</v>
      </c>
      <c r="F106" s="4">
        <f t="shared" si="4"/>
        <v>5314.3</v>
      </c>
      <c r="G106" s="4">
        <f t="shared" si="8"/>
        <v>33284.300000000003</v>
      </c>
      <c r="H106" s="1">
        <f t="shared" si="9"/>
        <v>10</v>
      </c>
      <c r="I106" s="1">
        <f t="shared" si="10"/>
        <v>2021</v>
      </c>
      <c r="J106" s="4"/>
      <c r="K106" s="1" t="s">
        <v>87</v>
      </c>
    </row>
    <row r="107" spans="1:13">
      <c r="A107" s="1" t="s">
        <v>103</v>
      </c>
      <c r="B107" s="3">
        <v>44488</v>
      </c>
      <c r="C107" s="1" t="s">
        <v>12</v>
      </c>
      <c r="D107" s="1">
        <v>27973</v>
      </c>
      <c r="E107" s="4">
        <v>76758</v>
      </c>
      <c r="F107" s="4">
        <f t="shared" si="4"/>
        <v>14584.02</v>
      </c>
      <c r="G107" s="4">
        <f t="shared" si="8"/>
        <v>91342.02</v>
      </c>
      <c r="H107" s="1">
        <f t="shared" si="9"/>
        <v>10</v>
      </c>
      <c r="I107" s="1">
        <f t="shared" si="10"/>
        <v>2021</v>
      </c>
      <c r="J107" s="4"/>
      <c r="K107" s="1" t="s">
        <v>87</v>
      </c>
      <c r="L107" s="1">
        <v>100160</v>
      </c>
      <c r="M107" s="1" t="s">
        <v>104</v>
      </c>
    </row>
    <row r="108" spans="1:13">
      <c r="A108" s="1" t="s">
        <v>22</v>
      </c>
      <c r="B108" s="3">
        <v>44488</v>
      </c>
      <c r="C108" s="1" t="s">
        <v>12</v>
      </c>
      <c r="D108" s="1">
        <v>10331019</v>
      </c>
      <c r="E108" s="4">
        <v>7286</v>
      </c>
      <c r="F108" s="4">
        <f t="shared" si="4"/>
        <v>1384.34</v>
      </c>
      <c r="G108" s="4">
        <f t="shared" si="8"/>
        <v>8670.34</v>
      </c>
      <c r="H108" s="1">
        <f t="shared" si="9"/>
        <v>10</v>
      </c>
      <c r="I108" s="1">
        <f t="shared" si="10"/>
        <v>2021</v>
      </c>
      <c r="J108" s="4"/>
      <c r="K108" s="1" t="s">
        <v>87</v>
      </c>
    </row>
    <row r="109" spans="1:13">
      <c r="A109" s="1" t="s">
        <v>22</v>
      </c>
      <c r="B109" s="3">
        <v>44489</v>
      </c>
      <c r="C109" s="1" t="s">
        <v>12</v>
      </c>
      <c r="D109" s="1">
        <v>10331461</v>
      </c>
      <c r="E109" s="4">
        <v>4496</v>
      </c>
      <c r="F109" s="4">
        <f t="shared" si="4"/>
        <v>854.24</v>
      </c>
      <c r="G109" s="4">
        <f t="shared" si="8"/>
        <v>5350.24</v>
      </c>
      <c r="H109" s="1">
        <f t="shared" si="9"/>
        <v>10</v>
      </c>
      <c r="I109" s="1">
        <f t="shared" si="10"/>
        <v>2021</v>
      </c>
      <c r="J109" s="4"/>
      <c r="K109" s="1" t="s">
        <v>87</v>
      </c>
    </row>
    <row r="110" spans="1:13">
      <c r="A110" s="1" t="s">
        <v>66</v>
      </c>
      <c r="B110" s="3">
        <v>44491</v>
      </c>
      <c r="C110" s="1" t="s">
        <v>12</v>
      </c>
      <c r="D110" s="1">
        <v>1044889</v>
      </c>
      <c r="E110" s="4">
        <v>25193</v>
      </c>
      <c r="F110" s="4">
        <f t="shared" si="4"/>
        <v>4786.67</v>
      </c>
      <c r="G110" s="4">
        <f t="shared" si="8"/>
        <v>29979.67</v>
      </c>
      <c r="H110" s="1">
        <f t="shared" si="9"/>
        <v>10</v>
      </c>
      <c r="I110" s="1">
        <f t="shared" si="10"/>
        <v>2021</v>
      </c>
      <c r="J110" s="4"/>
      <c r="K110" s="1" t="s">
        <v>87</v>
      </c>
    </row>
    <row r="111" spans="1:13">
      <c r="A111" s="1" t="s">
        <v>105</v>
      </c>
      <c r="B111" s="3">
        <v>44495</v>
      </c>
      <c r="C111" s="1" t="s">
        <v>12</v>
      </c>
      <c r="D111" s="1">
        <v>1835804</v>
      </c>
      <c r="E111" s="4">
        <v>16630.252100000002</v>
      </c>
      <c r="F111" s="4">
        <f t="shared" si="4"/>
        <v>3159.7478990000004</v>
      </c>
      <c r="G111" s="4">
        <f t="shared" si="8"/>
        <v>19789.999999000003</v>
      </c>
      <c r="H111" s="1">
        <f t="shared" si="9"/>
        <v>10</v>
      </c>
      <c r="I111" s="1">
        <f t="shared" si="10"/>
        <v>2021</v>
      </c>
      <c r="J111" s="4"/>
      <c r="K111" s="1" t="s">
        <v>87</v>
      </c>
    </row>
    <row r="112" spans="1:13">
      <c r="A112" s="1" t="s">
        <v>95</v>
      </c>
      <c r="B112" s="3">
        <v>44494</v>
      </c>
      <c r="C112" s="1" t="s">
        <v>39</v>
      </c>
      <c r="D112" s="1">
        <v>18336017</v>
      </c>
      <c r="E112" s="4">
        <v>13496</v>
      </c>
      <c r="F112" s="4">
        <f t="shared" si="4"/>
        <v>2564.2400000000002</v>
      </c>
      <c r="G112" s="4">
        <f t="shared" si="8"/>
        <v>16060.24</v>
      </c>
      <c r="H112" s="1">
        <f t="shared" si="9"/>
        <v>10</v>
      </c>
      <c r="I112" s="1">
        <f t="shared" si="10"/>
        <v>2021</v>
      </c>
      <c r="J112" s="4"/>
      <c r="K112" s="1" t="s">
        <v>87</v>
      </c>
    </row>
    <row r="113" spans="1:11">
      <c r="A113" s="1" t="s">
        <v>106</v>
      </c>
      <c r="B113" s="3">
        <v>44495</v>
      </c>
      <c r="C113" s="1" t="s">
        <v>39</v>
      </c>
      <c r="E113" s="4">
        <v>3949.5790000000002</v>
      </c>
      <c r="F113" s="4">
        <f t="shared" si="4"/>
        <v>750.42001000000005</v>
      </c>
      <c r="G113" s="4">
        <f t="shared" si="8"/>
        <v>4699.9990100000005</v>
      </c>
      <c r="H113" s="1">
        <f t="shared" si="9"/>
        <v>10</v>
      </c>
      <c r="I113" s="1">
        <f t="shared" si="10"/>
        <v>2021</v>
      </c>
      <c r="J113" s="4"/>
      <c r="K113" s="1" t="s">
        <v>87</v>
      </c>
    </row>
    <row r="114" spans="1:11">
      <c r="A114" s="1" t="s">
        <v>107</v>
      </c>
      <c r="B114" s="3">
        <v>44498</v>
      </c>
      <c r="C114" s="1" t="s">
        <v>12</v>
      </c>
      <c r="D114" s="1">
        <v>1770</v>
      </c>
      <c r="E114" s="4">
        <v>16722.68908</v>
      </c>
      <c r="F114" s="4">
        <f t="shared" si="4"/>
        <v>3177.3109251999999</v>
      </c>
      <c r="G114" s="4">
        <f t="shared" si="8"/>
        <v>19900.0000052</v>
      </c>
      <c r="H114" s="1">
        <f t="shared" si="9"/>
        <v>10</v>
      </c>
      <c r="I114" s="1">
        <f t="shared" si="10"/>
        <v>2021</v>
      </c>
      <c r="J114" s="4"/>
      <c r="K114" s="1" t="s">
        <v>87</v>
      </c>
    </row>
    <row r="115" spans="1:11">
      <c r="A115" s="1" t="s">
        <v>14</v>
      </c>
      <c r="B115" s="3">
        <v>44498</v>
      </c>
      <c r="C115" s="1" t="s">
        <v>12</v>
      </c>
      <c r="D115" s="1">
        <v>30869</v>
      </c>
      <c r="E115" s="4">
        <v>39500</v>
      </c>
      <c r="F115" s="4">
        <f t="shared" si="4"/>
        <v>7505</v>
      </c>
      <c r="G115" s="4">
        <f t="shared" si="8"/>
        <v>47005</v>
      </c>
      <c r="H115" s="1">
        <f t="shared" si="9"/>
        <v>10</v>
      </c>
      <c r="I115" s="1">
        <f t="shared" si="10"/>
        <v>2021</v>
      </c>
      <c r="J115" s="4"/>
      <c r="K115" s="1" t="s">
        <v>87</v>
      </c>
    </row>
    <row r="116" spans="1:11">
      <c r="A116" s="1" t="s">
        <v>14</v>
      </c>
      <c r="B116" s="3">
        <v>44498</v>
      </c>
      <c r="C116" s="1" t="s">
        <v>12</v>
      </c>
      <c r="D116" s="1">
        <v>30875</v>
      </c>
      <c r="E116" s="4">
        <v>50600</v>
      </c>
      <c r="F116" s="4">
        <f t="shared" si="4"/>
        <v>9614</v>
      </c>
      <c r="G116" s="4">
        <f t="shared" si="8"/>
        <v>60214</v>
      </c>
      <c r="H116" s="1">
        <f t="shared" si="9"/>
        <v>10</v>
      </c>
      <c r="I116" s="1">
        <f t="shared" si="10"/>
        <v>2021</v>
      </c>
      <c r="J116" s="4"/>
      <c r="K116" s="1" t="s">
        <v>87</v>
      </c>
    </row>
    <row r="117" spans="1:11">
      <c r="A117" s="1" t="s">
        <v>108</v>
      </c>
      <c r="B117" s="7">
        <v>44504</v>
      </c>
      <c r="C117" s="1" t="s">
        <v>12</v>
      </c>
      <c r="D117" s="1">
        <v>6876</v>
      </c>
      <c r="E117" s="4">
        <v>37554.621850000003</v>
      </c>
      <c r="F117" s="4">
        <f t="shared" si="4"/>
        <v>7135.378151500001</v>
      </c>
      <c r="G117" s="4">
        <f t="shared" si="8"/>
        <v>44690.000001500004</v>
      </c>
      <c r="H117" s="1">
        <f t="shared" si="9"/>
        <v>11</v>
      </c>
      <c r="I117" s="1">
        <f t="shared" si="10"/>
        <v>2021</v>
      </c>
      <c r="J117" s="4"/>
      <c r="K117" s="1" t="s">
        <v>87</v>
      </c>
    </row>
    <row r="118" spans="1:11">
      <c r="A118" s="1" t="s">
        <v>109</v>
      </c>
      <c r="B118" s="7">
        <v>44506</v>
      </c>
      <c r="C118" s="1" t="s">
        <v>12</v>
      </c>
      <c r="D118" s="1">
        <v>5590</v>
      </c>
      <c r="E118" s="4">
        <v>26521.008399999999</v>
      </c>
      <c r="F118" s="4">
        <f t="shared" si="4"/>
        <v>5038.9915959999998</v>
      </c>
      <c r="G118" s="4">
        <f t="shared" si="8"/>
        <v>31559.999995999999</v>
      </c>
      <c r="H118" s="1">
        <f t="shared" si="9"/>
        <v>11</v>
      </c>
      <c r="I118" s="1">
        <f t="shared" si="10"/>
        <v>2021</v>
      </c>
      <c r="J118" s="4"/>
      <c r="K118" s="1" t="s">
        <v>87</v>
      </c>
    </row>
    <row r="119" spans="1:11">
      <c r="A119" s="1" t="s">
        <v>110</v>
      </c>
      <c r="B119" s="3">
        <v>44506</v>
      </c>
      <c r="C119" s="1" t="s">
        <v>12</v>
      </c>
      <c r="D119" s="1">
        <v>2222996</v>
      </c>
      <c r="E119" s="4">
        <v>28571.428</v>
      </c>
      <c r="F119" s="4">
        <f t="shared" si="4"/>
        <v>5428.57132</v>
      </c>
      <c r="G119" s="4">
        <f t="shared" si="8"/>
        <v>33999.999320000003</v>
      </c>
      <c r="H119" s="1">
        <f t="shared" si="9"/>
        <v>11</v>
      </c>
      <c r="I119" s="1">
        <f t="shared" si="10"/>
        <v>2021</v>
      </c>
      <c r="J119" s="4"/>
      <c r="K119" s="1" t="s">
        <v>87</v>
      </c>
    </row>
    <row r="120" spans="1:11">
      <c r="A120" s="1" t="s">
        <v>111</v>
      </c>
      <c r="B120" s="3">
        <v>44508</v>
      </c>
      <c r="C120" s="1" t="s">
        <v>12</v>
      </c>
      <c r="D120" s="1">
        <v>1834939</v>
      </c>
      <c r="E120" s="4">
        <v>6126</v>
      </c>
      <c r="F120" s="4">
        <f t="shared" si="4"/>
        <v>1163.94</v>
      </c>
      <c r="G120" s="4">
        <f t="shared" si="8"/>
        <v>7289.9400000000005</v>
      </c>
      <c r="H120" s="1">
        <f t="shared" si="9"/>
        <v>11</v>
      </c>
      <c r="I120" s="1">
        <f t="shared" si="10"/>
        <v>2021</v>
      </c>
      <c r="J120" s="4"/>
      <c r="K120" s="1" t="s">
        <v>87</v>
      </c>
    </row>
    <row r="121" spans="1:11">
      <c r="A121" s="1" t="s">
        <v>112</v>
      </c>
      <c r="B121" s="3">
        <v>44508</v>
      </c>
      <c r="C121" s="1" t="s">
        <v>12</v>
      </c>
      <c r="D121" s="1">
        <v>19827</v>
      </c>
      <c r="E121" s="4">
        <v>6639</v>
      </c>
      <c r="F121" s="4">
        <f t="shared" si="4"/>
        <v>1261.4100000000001</v>
      </c>
      <c r="G121" s="4">
        <f t="shared" si="8"/>
        <v>7900.41</v>
      </c>
      <c r="H121" s="1">
        <f t="shared" si="9"/>
        <v>11</v>
      </c>
      <c r="I121" s="1">
        <f t="shared" si="10"/>
        <v>2021</v>
      </c>
      <c r="J121" s="4"/>
      <c r="K121" s="1" t="s">
        <v>87</v>
      </c>
    </row>
    <row r="122" spans="1:11">
      <c r="A122" s="1" t="s">
        <v>113</v>
      </c>
      <c r="B122" s="3">
        <v>44509</v>
      </c>
      <c r="C122" s="1" t="s">
        <v>12</v>
      </c>
      <c r="D122" s="1">
        <v>283218</v>
      </c>
      <c r="E122" s="4">
        <v>12521</v>
      </c>
      <c r="F122" s="4">
        <f t="shared" si="4"/>
        <v>2378.9900000000002</v>
      </c>
      <c r="G122" s="4">
        <f t="shared" si="8"/>
        <v>14899.99</v>
      </c>
      <c r="H122" s="1">
        <f t="shared" si="9"/>
        <v>11</v>
      </c>
      <c r="I122" s="1">
        <f t="shared" si="10"/>
        <v>2021</v>
      </c>
      <c r="J122" s="4"/>
      <c r="K122" s="1" t="s">
        <v>87</v>
      </c>
    </row>
    <row r="123" spans="1:11">
      <c r="A123" s="1" t="s">
        <v>114</v>
      </c>
      <c r="B123" s="3">
        <v>44511</v>
      </c>
      <c r="C123" s="1" t="s">
        <v>12</v>
      </c>
      <c r="D123" s="1">
        <v>539598</v>
      </c>
      <c r="E123" s="4">
        <v>1874</v>
      </c>
      <c r="F123" s="4">
        <f t="shared" si="4"/>
        <v>356.06</v>
      </c>
      <c r="G123" s="4">
        <f t="shared" si="8"/>
        <v>2230.06</v>
      </c>
      <c r="H123" s="1">
        <f t="shared" si="9"/>
        <v>11</v>
      </c>
      <c r="I123" s="1">
        <f t="shared" si="10"/>
        <v>2021</v>
      </c>
      <c r="J123" s="4"/>
      <c r="K123" s="1" t="s">
        <v>87</v>
      </c>
    </row>
    <row r="124" spans="1:11">
      <c r="A124" s="1" t="s">
        <v>115</v>
      </c>
      <c r="B124" s="3">
        <v>44511</v>
      </c>
      <c r="C124" s="1" t="s">
        <v>12</v>
      </c>
      <c r="D124" s="1">
        <v>19881</v>
      </c>
      <c r="E124" s="4">
        <v>4118</v>
      </c>
      <c r="F124" s="4">
        <f t="shared" si="4"/>
        <v>782.42</v>
      </c>
      <c r="G124" s="4">
        <f t="shared" si="8"/>
        <v>4900.42</v>
      </c>
      <c r="H124" s="1">
        <f t="shared" si="9"/>
        <v>11</v>
      </c>
      <c r="I124" s="1">
        <f t="shared" si="10"/>
        <v>2021</v>
      </c>
      <c r="J124" s="4"/>
      <c r="K124" s="1" t="s">
        <v>87</v>
      </c>
    </row>
    <row r="125" spans="1:11">
      <c r="A125" s="1" t="s">
        <v>116</v>
      </c>
      <c r="B125" s="3">
        <v>44524</v>
      </c>
      <c r="C125" s="1" t="s">
        <v>12</v>
      </c>
      <c r="D125" s="1">
        <v>20079</v>
      </c>
      <c r="E125" s="4">
        <v>8319</v>
      </c>
      <c r="F125" s="4">
        <f t="shared" si="4"/>
        <v>1580.6100000000001</v>
      </c>
      <c r="G125" s="4">
        <f t="shared" si="8"/>
        <v>9899.61</v>
      </c>
      <c r="H125" s="1">
        <f t="shared" si="9"/>
        <v>11</v>
      </c>
      <c r="I125" s="1">
        <f t="shared" si="10"/>
        <v>2021</v>
      </c>
      <c r="J125" s="4"/>
      <c r="K125" s="1" t="s">
        <v>87</v>
      </c>
    </row>
    <row r="126" spans="1:11">
      <c r="A126" s="1" t="s">
        <v>117</v>
      </c>
      <c r="B126" s="3">
        <v>44524</v>
      </c>
      <c r="C126" s="1" t="s">
        <v>12</v>
      </c>
      <c r="D126" s="1">
        <v>64344</v>
      </c>
      <c r="E126" s="4">
        <v>15546</v>
      </c>
      <c r="F126" s="4">
        <f t="shared" si="4"/>
        <v>2953.7400000000002</v>
      </c>
      <c r="G126" s="4">
        <f t="shared" si="8"/>
        <v>18499.740000000002</v>
      </c>
      <c r="H126" s="1">
        <f t="shared" si="9"/>
        <v>11</v>
      </c>
      <c r="I126" s="1">
        <f t="shared" si="10"/>
        <v>2021</v>
      </c>
      <c r="J126" s="4"/>
      <c r="K126" s="1" t="s">
        <v>87</v>
      </c>
    </row>
    <row r="127" spans="1:11">
      <c r="A127" s="1" t="s">
        <v>14</v>
      </c>
      <c r="B127" s="7">
        <v>44532</v>
      </c>
      <c r="C127" s="1" t="s">
        <v>12</v>
      </c>
      <c r="D127" s="1">
        <v>31537</v>
      </c>
      <c r="E127" s="4">
        <v>90100</v>
      </c>
      <c r="F127" s="4">
        <f t="shared" si="4"/>
        <v>17119</v>
      </c>
      <c r="G127" s="4">
        <f t="shared" si="8"/>
        <v>107219</v>
      </c>
      <c r="H127" s="1">
        <f t="shared" si="9"/>
        <v>12</v>
      </c>
      <c r="I127" s="1">
        <f t="shared" si="10"/>
        <v>2021</v>
      </c>
      <c r="J127" s="4"/>
      <c r="K127" s="1" t="s">
        <v>87</v>
      </c>
    </row>
    <row r="128" spans="1:11">
      <c r="A128" s="1" t="s">
        <v>118</v>
      </c>
      <c r="B128" s="7">
        <v>44533</v>
      </c>
      <c r="C128" s="1" t="s">
        <v>12</v>
      </c>
      <c r="D128" s="1">
        <v>6275</v>
      </c>
      <c r="E128" s="4">
        <v>33151.26</v>
      </c>
      <c r="F128" s="4">
        <f t="shared" si="4"/>
        <v>6298.7394000000004</v>
      </c>
      <c r="G128" s="4">
        <f t="shared" si="8"/>
        <v>39449.999400000001</v>
      </c>
      <c r="H128" s="1">
        <f t="shared" si="9"/>
        <v>12</v>
      </c>
      <c r="I128" s="1">
        <f t="shared" si="10"/>
        <v>2021</v>
      </c>
      <c r="J128" s="4"/>
      <c r="K128" s="1" t="s">
        <v>87</v>
      </c>
    </row>
    <row r="129" spans="1:14">
      <c r="A129" s="1" t="s">
        <v>119</v>
      </c>
      <c r="B129" s="7">
        <v>44535</v>
      </c>
      <c r="C129" s="1" t="s">
        <v>12</v>
      </c>
      <c r="D129" s="1">
        <v>1109296</v>
      </c>
      <c r="E129" s="4">
        <v>62983.19</v>
      </c>
      <c r="F129" s="4">
        <f t="shared" si="4"/>
        <v>11966.8061</v>
      </c>
      <c r="G129" s="4">
        <f t="shared" si="8"/>
        <v>74949.996100000004</v>
      </c>
      <c r="H129" s="1">
        <f t="shared" si="9"/>
        <v>12</v>
      </c>
      <c r="I129" s="1">
        <f t="shared" si="10"/>
        <v>2021</v>
      </c>
      <c r="J129" s="4"/>
      <c r="K129" s="1" t="s">
        <v>87</v>
      </c>
    </row>
    <row r="130" spans="1:14">
      <c r="A130" s="1" t="s">
        <v>120</v>
      </c>
      <c r="B130" s="7">
        <v>44537</v>
      </c>
      <c r="C130" s="1" t="s">
        <v>12</v>
      </c>
      <c r="D130" s="1">
        <v>29</v>
      </c>
      <c r="E130" s="4">
        <v>14277.31</v>
      </c>
      <c r="F130" s="4">
        <f t="shared" si="4"/>
        <v>2712.6889000000001</v>
      </c>
      <c r="G130" s="4">
        <f t="shared" si="8"/>
        <v>16989.998899999999</v>
      </c>
      <c r="H130" s="1">
        <f t="shared" si="9"/>
        <v>12</v>
      </c>
      <c r="I130" s="1">
        <f t="shared" si="10"/>
        <v>2021</v>
      </c>
      <c r="J130" s="4"/>
      <c r="K130" s="1" t="s">
        <v>87</v>
      </c>
    </row>
    <row r="131" spans="1:14">
      <c r="A131" s="1" t="s">
        <v>121</v>
      </c>
      <c r="B131" s="3">
        <v>44538</v>
      </c>
      <c r="C131" s="1" t="s">
        <v>12</v>
      </c>
      <c r="D131" s="1">
        <v>1112092</v>
      </c>
      <c r="E131" s="4">
        <v>16722.688999999998</v>
      </c>
      <c r="F131" s="4">
        <f t="shared" si="4"/>
        <v>3177.3109099999997</v>
      </c>
      <c r="G131" s="4">
        <f t="shared" si="8"/>
        <v>19899.999909999999</v>
      </c>
      <c r="H131" s="1">
        <f t="shared" si="9"/>
        <v>12</v>
      </c>
      <c r="I131" s="1">
        <f t="shared" si="10"/>
        <v>2021</v>
      </c>
      <c r="J131" s="4"/>
      <c r="K131" s="1" t="s">
        <v>87</v>
      </c>
      <c r="M131" s="1">
        <v>2470</v>
      </c>
    </row>
    <row r="132" spans="1:14">
      <c r="A132" s="1" t="s">
        <v>122</v>
      </c>
      <c r="B132" s="3">
        <v>44539</v>
      </c>
      <c r="C132" s="1" t="s">
        <v>12</v>
      </c>
      <c r="D132" s="1">
        <v>20334</v>
      </c>
      <c r="E132" s="4">
        <v>7059</v>
      </c>
      <c r="F132" s="4">
        <f t="shared" si="4"/>
        <v>1341.21</v>
      </c>
      <c r="G132" s="4">
        <f t="shared" si="8"/>
        <v>8400.2099999999991</v>
      </c>
      <c r="H132" s="1">
        <f t="shared" si="9"/>
        <v>12</v>
      </c>
      <c r="I132" s="1">
        <f t="shared" si="10"/>
        <v>2021</v>
      </c>
      <c r="J132" s="4"/>
      <c r="K132" s="1" t="s">
        <v>87</v>
      </c>
      <c r="M132" s="8">
        <v>0.3</v>
      </c>
    </row>
    <row r="133" spans="1:14">
      <c r="A133" s="1" t="s">
        <v>123</v>
      </c>
      <c r="B133" s="3">
        <v>44540</v>
      </c>
      <c r="C133" s="1" t="s">
        <v>12</v>
      </c>
      <c r="D133" s="1">
        <v>222527</v>
      </c>
      <c r="E133" s="4">
        <v>115380</v>
      </c>
      <c r="F133" s="4">
        <f t="shared" si="4"/>
        <v>21922.2</v>
      </c>
      <c r="G133" s="4">
        <f t="shared" si="8"/>
        <v>137302.20000000001</v>
      </c>
      <c r="H133" s="1">
        <f t="shared" si="9"/>
        <v>12</v>
      </c>
      <c r="I133" s="1">
        <f t="shared" si="10"/>
        <v>2021</v>
      </c>
      <c r="J133" s="4"/>
      <c r="K133" s="1" t="s">
        <v>87</v>
      </c>
      <c r="L133" s="1">
        <v>198956.00004000001</v>
      </c>
    </row>
    <row r="134" spans="1:14">
      <c r="A134" s="1" t="s">
        <v>123</v>
      </c>
      <c r="B134" s="3">
        <v>44540</v>
      </c>
      <c r="C134" s="1" t="s">
        <v>12</v>
      </c>
      <c r="D134" s="1">
        <v>222528</v>
      </c>
      <c r="E134" s="4">
        <v>45000</v>
      </c>
      <c r="F134" s="4">
        <f t="shared" si="4"/>
        <v>8550</v>
      </c>
      <c r="G134" s="4">
        <f t="shared" si="8"/>
        <v>53550</v>
      </c>
      <c r="H134" s="1">
        <f t="shared" si="9"/>
        <v>12</v>
      </c>
      <c r="I134" s="1">
        <f t="shared" si="10"/>
        <v>2021</v>
      </c>
      <c r="J134" s="4"/>
      <c r="K134" s="1" t="s">
        <v>87</v>
      </c>
    </row>
    <row r="135" spans="1:14">
      <c r="A135" s="1" t="s">
        <v>124</v>
      </c>
      <c r="B135" s="3">
        <v>44543</v>
      </c>
      <c r="C135" s="1" t="s">
        <v>12</v>
      </c>
      <c r="D135" s="1">
        <v>225401</v>
      </c>
      <c r="E135" s="4">
        <v>9131</v>
      </c>
      <c r="F135" s="4">
        <f t="shared" si="4"/>
        <v>1734.89</v>
      </c>
      <c r="G135" s="4">
        <f t="shared" si="8"/>
        <v>10865.89</v>
      </c>
      <c r="H135" s="1">
        <f t="shared" si="9"/>
        <v>12</v>
      </c>
      <c r="I135" s="1">
        <f t="shared" si="10"/>
        <v>2021</v>
      </c>
      <c r="J135" s="4"/>
      <c r="K135" s="1" t="s">
        <v>87</v>
      </c>
      <c r="N135" s="1">
        <f>M131/(1-M132)</f>
        <v>3528.5714285714289</v>
      </c>
    </row>
    <row r="136" spans="1:14">
      <c r="A136" s="1" t="s">
        <v>14</v>
      </c>
      <c r="B136" s="3">
        <v>44544</v>
      </c>
      <c r="C136" s="1" t="s">
        <v>12</v>
      </c>
      <c r="D136" s="1">
        <v>31661</v>
      </c>
      <c r="E136" s="4">
        <v>119800</v>
      </c>
      <c r="F136" s="4">
        <f t="shared" si="4"/>
        <v>22762</v>
      </c>
      <c r="G136" s="4">
        <f t="shared" si="8"/>
        <v>142562</v>
      </c>
      <c r="H136" s="1">
        <f t="shared" si="9"/>
        <v>12</v>
      </c>
      <c r="I136" s="1">
        <f t="shared" si="10"/>
        <v>2021</v>
      </c>
      <c r="J136" s="4"/>
      <c r="K136" s="1" t="s">
        <v>87</v>
      </c>
      <c r="N136" s="1">
        <f>N135*1.19</f>
        <v>4199</v>
      </c>
    </row>
    <row r="137" spans="1:14">
      <c r="A137" s="1" t="s">
        <v>28</v>
      </c>
      <c r="B137" s="3">
        <v>44544</v>
      </c>
      <c r="C137" s="1" t="s">
        <v>12</v>
      </c>
      <c r="D137" s="1">
        <v>548975</v>
      </c>
      <c r="E137" s="4">
        <v>11076</v>
      </c>
      <c r="F137" s="4">
        <f t="shared" si="4"/>
        <v>2104.44</v>
      </c>
      <c r="G137" s="4">
        <f t="shared" si="8"/>
        <v>13180.44</v>
      </c>
      <c r="H137" s="1">
        <f t="shared" si="9"/>
        <v>12</v>
      </c>
      <c r="I137" s="1">
        <f t="shared" si="10"/>
        <v>2021</v>
      </c>
      <c r="J137" s="4"/>
      <c r="K137" s="1" t="s">
        <v>87</v>
      </c>
    </row>
    <row r="138" spans="1:14">
      <c r="A138" s="1" t="s">
        <v>125</v>
      </c>
      <c r="B138" s="3">
        <v>44545</v>
      </c>
      <c r="C138" s="1" t="s">
        <v>12</v>
      </c>
      <c r="E138" s="4">
        <v>9845.3780000000006</v>
      </c>
      <c r="F138" s="4">
        <f t="shared" si="4"/>
        <v>1870.6218200000001</v>
      </c>
      <c r="G138" s="4">
        <f t="shared" si="8"/>
        <v>11715.999820000001</v>
      </c>
      <c r="H138" s="1">
        <f t="shared" si="9"/>
        <v>12</v>
      </c>
      <c r="I138" s="1">
        <f t="shared" si="10"/>
        <v>2021</v>
      </c>
      <c r="J138" s="4"/>
      <c r="K138" s="1" t="s">
        <v>87</v>
      </c>
    </row>
    <row r="139" spans="1:14">
      <c r="A139" s="1" t="s">
        <v>126</v>
      </c>
      <c r="B139" s="3">
        <v>44552</v>
      </c>
      <c r="C139" s="1" t="s">
        <v>12</v>
      </c>
      <c r="D139" s="1">
        <v>11628</v>
      </c>
      <c r="E139" s="4">
        <v>4957.9799999999996</v>
      </c>
      <c r="F139" s="4">
        <f t="shared" si="4"/>
        <v>942.01619999999991</v>
      </c>
      <c r="G139" s="4">
        <f t="shared" si="8"/>
        <v>5899.9961999999996</v>
      </c>
      <c r="H139" s="1">
        <f t="shared" si="9"/>
        <v>12</v>
      </c>
      <c r="I139" s="1">
        <f t="shared" si="10"/>
        <v>2021</v>
      </c>
      <c r="J139" s="4"/>
      <c r="K139" s="1" t="s">
        <v>87</v>
      </c>
    </row>
    <row r="140" spans="1:14">
      <c r="A140" s="1" t="s">
        <v>127</v>
      </c>
      <c r="B140" s="3">
        <v>44552</v>
      </c>
      <c r="C140" s="1" t="s">
        <v>12</v>
      </c>
      <c r="D140" s="1">
        <v>1141294</v>
      </c>
      <c r="E140" s="4">
        <v>25193.27</v>
      </c>
      <c r="F140" s="4">
        <f t="shared" si="4"/>
        <v>4786.7213000000002</v>
      </c>
      <c r="G140" s="4">
        <f t="shared" si="8"/>
        <v>29979.991300000002</v>
      </c>
      <c r="H140" s="1">
        <f t="shared" si="9"/>
        <v>12</v>
      </c>
      <c r="I140" s="1">
        <f t="shared" si="10"/>
        <v>2021</v>
      </c>
      <c r="J140" s="4"/>
      <c r="K140" s="1" t="s">
        <v>87</v>
      </c>
    </row>
    <row r="141" spans="1:14">
      <c r="A141" s="1" t="s">
        <v>128</v>
      </c>
      <c r="B141" s="3">
        <v>44562</v>
      </c>
      <c r="C141" s="1" t="s">
        <v>12</v>
      </c>
      <c r="D141" s="1">
        <v>6565</v>
      </c>
      <c r="E141" s="4">
        <v>19890.75</v>
      </c>
      <c r="F141" s="4">
        <f t="shared" si="4"/>
        <v>3779.2424999999998</v>
      </c>
      <c r="G141" s="4">
        <f t="shared" si="8"/>
        <v>23669.9925</v>
      </c>
      <c r="H141" s="1">
        <f t="shared" si="9"/>
        <v>1</v>
      </c>
      <c r="I141" s="1">
        <f t="shared" si="10"/>
        <v>2022</v>
      </c>
      <c r="J141" s="4"/>
      <c r="K141" s="1" t="s">
        <v>87</v>
      </c>
    </row>
    <row r="142" spans="1:14">
      <c r="A142" s="1" t="s">
        <v>129</v>
      </c>
      <c r="B142" s="3">
        <v>44553</v>
      </c>
      <c r="C142" s="1" t="s">
        <v>12</v>
      </c>
      <c r="D142" s="1">
        <v>226370</v>
      </c>
      <c r="E142" s="4">
        <v>14163.86</v>
      </c>
      <c r="F142" s="4">
        <f t="shared" si="4"/>
        <v>2691.1334000000002</v>
      </c>
      <c r="G142" s="4">
        <f t="shared" si="8"/>
        <v>16854.993399999999</v>
      </c>
      <c r="H142" s="1">
        <f t="shared" si="9"/>
        <v>12</v>
      </c>
      <c r="I142" s="1">
        <f t="shared" si="10"/>
        <v>2021</v>
      </c>
      <c r="J142" s="4"/>
      <c r="K142" s="1" t="s">
        <v>87</v>
      </c>
    </row>
    <row r="143" spans="1:14">
      <c r="A143" s="1" t="s">
        <v>127</v>
      </c>
      <c r="B143" s="3">
        <v>44562</v>
      </c>
      <c r="C143" s="1" t="s">
        <v>12</v>
      </c>
      <c r="D143" s="1">
        <v>1142265</v>
      </c>
      <c r="E143" s="4">
        <v>37789.910000000003</v>
      </c>
      <c r="F143" s="4">
        <f t="shared" si="4"/>
        <v>7180.0829000000003</v>
      </c>
      <c r="G143" s="4">
        <f t="shared" si="8"/>
        <v>44969.992900000005</v>
      </c>
      <c r="H143" s="1">
        <f t="shared" si="9"/>
        <v>1</v>
      </c>
      <c r="I143" s="1">
        <f t="shared" si="10"/>
        <v>2022</v>
      </c>
      <c r="J143" s="4"/>
      <c r="K143" s="1" t="s">
        <v>87</v>
      </c>
    </row>
    <row r="144" spans="1:14">
      <c r="A144" s="1" t="s">
        <v>103</v>
      </c>
      <c r="B144" s="3">
        <v>44564</v>
      </c>
      <c r="C144" s="1" t="s">
        <v>12</v>
      </c>
      <c r="D144" s="1">
        <v>234156</v>
      </c>
      <c r="E144" s="4">
        <v>70410</v>
      </c>
      <c r="F144" s="4">
        <f t="shared" si="4"/>
        <v>13377.9</v>
      </c>
      <c r="G144" s="4">
        <f t="shared" si="8"/>
        <v>83787.899999999994</v>
      </c>
      <c r="H144" s="1">
        <f t="shared" si="9"/>
        <v>1</v>
      </c>
      <c r="I144" s="1">
        <f t="shared" si="10"/>
        <v>2022</v>
      </c>
      <c r="J144" s="4"/>
      <c r="K144" s="1" t="s">
        <v>87</v>
      </c>
    </row>
    <row r="145" spans="1:11">
      <c r="A145" s="1" t="s">
        <v>22</v>
      </c>
      <c r="B145" s="3">
        <v>44564</v>
      </c>
      <c r="C145" s="1" t="s">
        <v>12</v>
      </c>
      <c r="D145" s="1">
        <v>10440169</v>
      </c>
      <c r="E145" s="4">
        <v>3168</v>
      </c>
      <c r="F145" s="4">
        <f t="shared" si="4"/>
        <v>601.91999999999996</v>
      </c>
      <c r="G145" s="4">
        <f t="shared" si="8"/>
        <v>3769.92</v>
      </c>
      <c r="H145" s="1">
        <f t="shared" si="9"/>
        <v>1</v>
      </c>
      <c r="I145" s="1">
        <f t="shared" si="10"/>
        <v>2022</v>
      </c>
      <c r="J145" s="4"/>
      <c r="K145" s="1" t="s">
        <v>87</v>
      </c>
    </row>
    <row r="146" spans="1:11">
      <c r="A146" s="1" t="s">
        <v>130</v>
      </c>
      <c r="B146" s="3">
        <v>44564</v>
      </c>
      <c r="C146" s="1" t="s">
        <v>12</v>
      </c>
      <c r="D146" s="1">
        <v>1146382</v>
      </c>
      <c r="E146" s="4">
        <v>37789.910000000003</v>
      </c>
      <c r="F146" s="4">
        <f t="shared" si="4"/>
        <v>7180.0829000000003</v>
      </c>
      <c r="G146" s="4">
        <f t="shared" si="8"/>
        <v>44969.992900000005</v>
      </c>
      <c r="H146" s="1">
        <f t="shared" si="9"/>
        <v>1</v>
      </c>
      <c r="I146" s="1">
        <f t="shared" si="10"/>
        <v>2022</v>
      </c>
      <c r="J146" s="4"/>
      <c r="K146" s="1" t="s">
        <v>87</v>
      </c>
    </row>
    <row r="147" spans="1:11">
      <c r="A147" s="1" t="s">
        <v>28</v>
      </c>
      <c r="B147" s="3">
        <v>44564</v>
      </c>
      <c r="C147" s="1" t="s">
        <v>12</v>
      </c>
      <c r="D147" s="1">
        <v>556132</v>
      </c>
      <c r="E147" s="4">
        <v>6361</v>
      </c>
      <c r="F147" s="4">
        <f t="shared" si="4"/>
        <v>1208.5899999999999</v>
      </c>
      <c r="G147" s="4">
        <f t="shared" si="8"/>
        <v>7569.59</v>
      </c>
      <c r="H147" s="1">
        <f t="shared" si="9"/>
        <v>1</v>
      </c>
      <c r="I147" s="1">
        <f t="shared" si="10"/>
        <v>2022</v>
      </c>
      <c r="J147" s="4"/>
      <c r="K147" s="1" t="s">
        <v>87</v>
      </c>
    </row>
    <row r="148" spans="1:11">
      <c r="A148" s="1" t="s">
        <v>131</v>
      </c>
      <c r="B148" s="3">
        <v>44561</v>
      </c>
      <c r="C148" s="1" t="s">
        <v>12</v>
      </c>
      <c r="D148" s="1">
        <v>1891090</v>
      </c>
      <c r="E148" s="4">
        <v>59958</v>
      </c>
      <c r="F148" s="4">
        <f t="shared" si="4"/>
        <v>11392.02</v>
      </c>
      <c r="G148" s="4">
        <f t="shared" si="8"/>
        <v>71350.02</v>
      </c>
      <c r="H148" s="1">
        <f t="shared" si="9"/>
        <v>12</v>
      </c>
      <c r="I148" s="1">
        <f t="shared" si="10"/>
        <v>2021</v>
      </c>
      <c r="J148" s="4"/>
      <c r="K148" s="1" t="s">
        <v>87</v>
      </c>
    </row>
    <row r="149" spans="1:11">
      <c r="A149" s="1" t="s">
        <v>132</v>
      </c>
      <c r="B149" s="7">
        <v>44564</v>
      </c>
      <c r="C149" s="1" t="s">
        <v>12</v>
      </c>
      <c r="D149" s="1">
        <v>17104</v>
      </c>
      <c r="E149" s="4">
        <v>7891</v>
      </c>
      <c r="F149" s="4">
        <f t="shared" si="4"/>
        <v>1499.29</v>
      </c>
      <c r="G149" s="4">
        <f t="shared" si="8"/>
        <v>9390.2900000000009</v>
      </c>
      <c r="H149" s="1">
        <f t="shared" si="9"/>
        <v>1</v>
      </c>
      <c r="I149" s="1">
        <f t="shared" si="10"/>
        <v>2022</v>
      </c>
      <c r="J149" s="4"/>
      <c r="K149" s="1" t="s">
        <v>87</v>
      </c>
    </row>
    <row r="150" spans="1:11">
      <c r="A150" s="1" t="s">
        <v>133</v>
      </c>
      <c r="B150" s="7">
        <v>44564</v>
      </c>
      <c r="C150" s="1"/>
      <c r="E150" s="4">
        <v>2374.7890000000002</v>
      </c>
      <c r="F150" s="4">
        <f t="shared" si="4"/>
        <v>451.20991000000004</v>
      </c>
      <c r="G150" s="4">
        <f t="shared" si="8"/>
        <v>2825.9989100000003</v>
      </c>
      <c r="H150" s="1">
        <f t="shared" si="9"/>
        <v>1</v>
      </c>
      <c r="I150" s="1">
        <f t="shared" si="10"/>
        <v>2022</v>
      </c>
      <c r="J150" s="4"/>
      <c r="K150" s="1" t="s">
        <v>87</v>
      </c>
    </row>
    <row r="151" spans="1:11">
      <c r="A151" s="1" t="s">
        <v>134</v>
      </c>
      <c r="B151" s="7">
        <v>44567</v>
      </c>
      <c r="C151" s="1" t="s">
        <v>12</v>
      </c>
      <c r="D151" s="1">
        <v>32112</v>
      </c>
      <c r="E151" s="4">
        <v>125700</v>
      </c>
      <c r="F151" s="4">
        <f t="shared" si="4"/>
        <v>23883</v>
      </c>
      <c r="G151" s="4">
        <f t="shared" si="8"/>
        <v>149583</v>
      </c>
      <c r="H151" s="1">
        <f t="shared" si="9"/>
        <v>1</v>
      </c>
      <c r="I151" s="1">
        <f t="shared" si="10"/>
        <v>2022</v>
      </c>
      <c r="J151" s="4"/>
      <c r="K151" s="1" t="s">
        <v>87</v>
      </c>
    </row>
    <row r="152" spans="1:11">
      <c r="A152" s="1" t="s">
        <v>135</v>
      </c>
      <c r="B152" s="7">
        <v>44567</v>
      </c>
      <c r="C152" s="1" t="s">
        <v>12</v>
      </c>
      <c r="D152" s="1">
        <v>20777</v>
      </c>
      <c r="E152" s="4">
        <v>32605</v>
      </c>
      <c r="F152" s="4">
        <f t="shared" si="4"/>
        <v>6194.95</v>
      </c>
      <c r="G152" s="4">
        <f t="shared" si="8"/>
        <v>38799.949999999997</v>
      </c>
      <c r="H152" s="1">
        <f t="shared" si="9"/>
        <v>1</v>
      </c>
      <c r="I152" s="1">
        <f t="shared" si="10"/>
        <v>2022</v>
      </c>
      <c r="J152" s="4"/>
      <c r="K152" s="1" t="s">
        <v>87</v>
      </c>
    </row>
    <row r="153" spans="1:11">
      <c r="A153" s="1" t="s">
        <v>136</v>
      </c>
      <c r="B153" s="7">
        <v>44570</v>
      </c>
      <c r="C153" s="1" t="s">
        <v>12</v>
      </c>
      <c r="D153" s="1">
        <v>1412</v>
      </c>
      <c r="E153" s="4">
        <v>37722.688999999998</v>
      </c>
      <c r="F153" s="4">
        <f t="shared" si="4"/>
        <v>7167.3109100000001</v>
      </c>
      <c r="G153" s="4">
        <f t="shared" si="8"/>
        <v>44889.999909999999</v>
      </c>
      <c r="H153" s="1">
        <f t="shared" si="9"/>
        <v>1</v>
      </c>
      <c r="I153" s="1">
        <f t="shared" si="10"/>
        <v>2022</v>
      </c>
      <c r="J153" s="4"/>
      <c r="K153" s="1" t="s">
        <v>87</v>
      </c>
    </row>
    <row r="154" spans="1:11">
      <c r="A154" s="1" t="s">
        <v>137</v>
      </c>
      <c r="B154" s="7">
        <v>44575</v>
      </c>
      <c r="C154" s="1" t="s">
        <v>12</v>
      </c>
      <c r="D154" s="1">
        <v>32221</v>
      </c>
      <c r="E154" s="4">
        <v>59300</v>
      </c>
      <c r="F154" s="4">
        <f t="shared" si="4"/>
        <v>11267</v>
      </c>
      <c r="G154" s="4">
        <f t="shared" si="8"/>
        <v>70567</v>
      </c>
      <c r="H154" s="1">
        <f t="shared" si="9"/>
        <v>1</v>
      </c>
      <c r="I154" s="1">
        <f t="shared" si="10"/>
        <v>2022</v>
      </c>
      <c r="J154" s="4"/>
      <c r="K154" s="1" t="s">
        <v>87</v>
      </c>
    </row>
    <row r="155" spans="1:11">
      <c r="A155" s="1" t="s">
        <v>138</v>
      </c>
      <c r="B155" s="7">
        <v>44577</v>
      </c>
      <c r="C155" s="1" t="s">
        <v>12</v>
      </c>
      <c r="D155" s="1">
        <v>876</v>
      </c>
      <c r="E155" s="4">
        <v>37722.688999999998</v>
      </c>
      <c r="F155" s="4">
        <f t="shared" si="4"/>
        <v>7167.3109100000001</v>
      </c>
      <c r="G155" s="4">
        <f t="shared" si="8"/>
        <v>44889.999909999999</v>
      </c>
      <c r="H155" s="1">
        <f t="shared" si="9"/>
        <v>1</v>
      </c>
      <c r="I155" s="1">
        <f t="shared" si="10"/>
        <v>2022</v>
      </c>
      <c r="J155" s="4"/>
      <c r="K155" s="1" t="s">
        <v>87</v>
      </c>
    </row>
    <row r="156" spans="1:11">
      <c r="A156" s="1" t="s">
        <v>139</v>
      </c>
      <c r="B156" s="3">
        <v>44580</v>
      </c>
      <c r="C156" s="1" t="s">
        <v>12</v>
      </c>
      <c r="D156" s="1">
        <v>7211</v>
      </c>
      <c r="E156" s="4">
        <v>24747.899000000001</v>
      </c>
      <c r="F156" s="4">
        <f t="shared" si="4"/>
        <v>4702.1008099999999</v>
      </c>
      <c r="G156" s="4">
        <f t="shared" si="8"/>
        <v>29449.999810000001</v>
      </c>
      <c r="H156" s="1">
        <f t="shared" si="9"/>
        <v>1</v>
      </c>
      <c r="I156" s="1">
        <f t="shared" si="10"/>
        <v>2022</v>
      </c>
      <c r="J156" s="4"/>
      <c r="K156" s="1" t="s">
        <v>87</v>
      </c>
    </row>
    <row r="157" spans="1:11">
      <c r="A157" s="1" t="s">
        <v>140</v>
      </c>
      <c r="B157" s="3">
        <v>44593</v>
      </c>
      <c r="C157" s="1" t="s">
        <v>12</v>
      </c>
      <c r="D157" s="1">
        <v>207475</v>
      </c>
      <c r="E157" s="4">
        <v>32360</v>
      </c>
      <c r="F157" s="4">
        <f t="shared" si="4"/>
        <v>6148.4</v>
      </c>
      <c r="G157" s="4">
        <f t="shared" si="8"/>
        <v>38508.400000000001</v>
      </c>
      <c r="H157" s="1">
        <f t="shared" si="9"/>
        <v>2</v>
      </c>
      <c r="I157" s="1">
        <f t="shared" si="10"/>
        <v>2022</v>
      </c>
      <c r="J157" s="4"/>
      <c r="K157" s="1" t="s">
        <v>87</v>
      </c>
    </row>
    <row r="158" spans="1:11">
      <c r="A158" s="1" t="s">
        <v>28</v>
      </c>
      <c r="B158" s="7">
        <v>44593</v>
      </c>
      <c r="C158" s="1" t="s">
        <v>12</v>
      </c>
      <c r="D158" s="1">
        <v>564096</v>
      </c>
      <c r="E158" s="4">
        <v>2370</v>
      </c>
      <c r="F158" s="4">
        <f t="shared" si="4"/>
        <v>450.3</v>
      </c>
      <c r="G158" s="4">
        <f t="shared" si="8"/>
        <v>2820.3</v>
      </c>
      <c r="H158" s="1">
        <f t="shared" si="9"/>
        <v>2</v>
      </c>
      <c r="I158" s="1">
        <f t="shared" si="10"/>
        <v>2022</v>
      </c>
      <c r="J158" s="4"/>
      <c r="K158" s="1" t="s">
        <v>87</v>
      </c>
    </row>
    <row r="159" spans="1:11">
      <c r="A159" s="1" t="s">
        <v>141</v>
      </c>
      <c r="B159" s="7">
        <v>44593</v>
      </c>
      <c r="C159" s="1" t="s">
        <v>12</v>
      </c>
      <c r="D159" s="1">
        <v>21295</v>
      </c>
      <c r="E159" s="4">
        <v>4958</v>
      </c>
      <c r="F159" s="4">
        <f t="shared" si="4"/>
        <v>942.02</v>
      </c>
      <c r="G159" s="4">
        <f t="shared" si="8"/>
        <v>5900.02</v>
      </c>
      <c r="H159" s="1">
        <f t="shared" si="9"/>
        <v>2</v>
      </c>
      <c r="I159" s="1">
        <f t="shared" si="10"/>
        <v>2022</v>
      </c>
      <c r="J159" s="4"/>
      <c r="K159" s="1" t="s">
        <v>87</v>
      </c>
    </row>
    <row r="160" spans="1:11">
      <c r="A160" s="1" t="s">
        <v>14</v>
      </c>
      <c r="B160" s="3">
        <v>44593</v>
      </c>
      <c r="C160" s="1" t="s">
        <v>12</v>
      </c>
      <c r="D160" s="1">
        <v>32729</v>
      </c>
      <c r="E160" s="4">
        <v>119800</v>
      </c>
      <c r="F160" s="4">
        <f t="shared" si="4"/>
        <v>22762</v>
      </c>
      <c r="G160" s="4">
        <f t="shared" si="8"/>
        <v>142562</v>
      </c>
      <c r="H160" s="1">
        <f t="shared" si="9"/>
        <v>2</v>
      </c>
      <c r="I160" s="1">
        <f t="shared" si="10"/>
        <v>2022</v>
      </c>
      <c r="J160" s="4"/>
      <c r="K160" s="1" t="s">
        <v>87</v>
      </c>
    </row>
    <row r="161" spans="1:12">
      <c r="A161" s="1" t="s">
        <v>142</v>
      </c>
      <c r="B161" s="3">
        <v>44594</v>
      </c>
      <c r="C161" s="1" t="s">
        <v>12</v>
      </c>
      <c r="D161" s="1">
        <v>7640</v>
      </c>
      <c r="E161" s="4">
        <v>29697.477999999999</v>
      </c>
      <c r="F161" s="4">
        <f t="shared" si="4"/>
        <v>5642.5208199999997</v>
      </c>
      <c r="G161" s="4">
        <f t="shared" si="8"/>
        <v>35339.998820000001</v>
      </c>
      <c r="H161" s="1">
        <f t="shared" si="9"/>
        <v>2</v>
      </c>
      <c r="I161" s="1">
        <f t="shared" si="10"/>
        <v>2022</v>
      </c>
      <c r="J161" s="4"/>
      <c r="K161" s="1" t="s">
        <v>87</v>
      </c>
    </row>
    <row r="162" spans="1:12">
      <c r="A162" s="1" t="s">
        <v>143</v>
      </c>
      <c r="B162" s="3">
        <v>44594</v>
      </c>
      <c r="C162" s="1" t="s">
        <v>12</v>
      </c>
      <c r="D162" s="1">
        <v>21308</v>
      </c>
      <c r="E162" s="4">
        <v>17563.025000000001</v>
      </c>
      <c r="F162" s="4">
        <f t="shared" si="4"/>
        <v>3336.9747500000003</v>
      </c>
      <c r="G162" s="4">
        <f t="shared" si="8"/>
        <v>20899.999750000003</v>
      </c>
      <c r="H162" s="1">
        <f t="shared" si="9"/>
        <v>2</v>
      </c>
      <c r="I162" s="1">
        <f t="shared" si="10"/>
        <v>2022</v>
      </c>
      <c r="J162" s="4"/>
      <c r="K162" s="1" t="s">
        <v>87</v>
      </c>
    </row>
    <row r="163" spans="1:12">
      <c r="A163" s="1" t="s">
        <v>144</v>
      </c>
      <c r="B163" s="3">
        <v>44595</v>
      </c>
      <c r="C163" s="1" t="s">
        <v>12</v>
      </c>
      <c r="D163" s="1">
        <v>21332</v>
      </c>
      <c r="E163" s="4">
        <v>20084.033599999999</v>
      </c>
      <c r="F163" s="4">
        <f t="shared" si="4"/>
        <v>3815.9663839999998</v>
      </c>
      <c r="G163" s="4">
        <f t="shared" si="8"/>
        <v>23899.999983999998</v>
      </c>
      <c r="H163" s="1">
        <f t="shared" si="9"/>
        <v>2</v>
      </c>
      <c r="I163" s="1">
        <f t="shared" si="10"/>
        <v>2022</v>
      </c>
      <c r="J163" s="4"/>
      <c r="K163" s="1" t="s">
        <v>87</v>
      </c>
    </row>
    <row r="164" spans="1:12">
      <c r="A164" s="1" t="s">
        <v>145</v>
      </c>
      <c r="B164" s="3">
        <v>44603</v>
      </c>
      <c r="C164" s="1" t="s">
        <v>12</v>
      </c>
      <c r="D164" s="1">
        <v>13532</v>
      </c>
      <c r="E164" s="4">
        <v>17563.025000000001</v>
      </c>
      <c r="F164" s="4">
        <f t="shared" si="4"/>
        <v>3336.9747500000003</v>
      </c>
      <c r="G164" s="4">
        <f t="shared" si="8"/>
        <v>20899.999750000003</v>
      </c>
      <c r="H164" s="1">
        <f t="shared" si="9"/>
        <v>2</v>
      </c>
      <c r="I164" s="1">
        <f t="shared" si="10"/>
        <v>2022</v>
      </c>
      <c r="J164" s="4"/>
      <c r="K164" s="1" t="s">
        <v>87</v>
      </c>
    </row>
    <row r="165" spans="1:12">
      <c r="A165" s="1" t="s">
        <v>146</v>
      </c>
      <c r="B165" s="3">
        <v>44603</v>
      </c>
      <c r="C165" s="1" t="s">
        <v>12</v>
      </c>
      <c r="D165" s="1">
        <v>1286919</v>
      </c>
      <c r="E165" s="4">
        <v>29436.973999999998</v>
      </c>
      <c r="F165" s="4">
        <f t="shared" si="4"/>
        <v>5593.0250599999999</v>
      </c>
      <c r="G165" s="4">
        <f t="shared" si="8"/>
        <v>35029.999060000002</v>
      </c>
      <c r="H165" s="1">
        <f t="shared" si="9"/>
        <v>2</v>
      </c>
      <c r="I165" s="1">
        <f t="shared" si="10"/>
        <v>2022</v>
      </c>
      <c r="J165" s="4"/>
      <c r="K165" s="1" t="s">
        <v>87</v>
      </c>
    </row>
    <row r="166" spans="1:12">
      <c r="A166" s="1" t="s">
        <v>147</v>
      </c>
      <c r="B166" s="7">
        <v>44670</v>
      </c>
      <c r="C166" s="1" t="s">
        <v>12</v>
      </c>
      <c r="D166" s="1">
        <v>44301</v>
      </c>
      <c r="E166" s="4">
        <v>22225</v>
      </c>
      <c r="F166" s="4">
        <f t="shared" si="4"/>
        <v>4222.75</v>
      </c>
      <c r="G166" s="4">
        <f t="shared" si="8"/>
        <v>26447.75</v>
      </c>
      <c r="H166" s="1">
        <f t="shared" si="9"/>
        <v>4</v>
      </c>
      <c r="I166" s="1">
        <f t="shared" si="10"/>
        <v>2022</v>
      </c>
      <c r="J166" s="4"/>
      <c r="K166" s="1" t="s">
        <v>87</v>
      </c>
      <c r="L166" s="1" t="s">
        <v>148</v>
      </c>
    </row>
    <row r="167" spans="1:12">
      <c r="A167" s="1" t="s">
        <v>149</v>
      </c>
      <c r="B167" s="7">
        <v>44608</v>
      </c>
      <c r="C167" s="1" t="s">
        <v>12</v>
      </c>
      <c r="D167" s="1">
        <v>1791</v>
      </c>
      <c r="E167" s="4">
        <v>43663.864999999998</v>
      </c>
      <c r="F167" s="4">
        <f t="shared" si="4"/>
        <v>8296.1343500000003</v>
      </c>
      <c r="G167" s="4">
        <f t="shared" si="8"/>
        <v>51959.999349999998</v>
      </c>
      <c r="H167" s="1">
        <f t="shared" si="9"/>
        <v>2</v>
      </c>
      <c r="I167" s="1">
        <f t="shared" si="10"/>
        <v>2022</v>
      </c>
      <c r="J167" s="4"/>
      <c r="K167" s="1" t="s">
        <v>87</v>
      </c>
    </row>
    <row r="168" spans="1:12">
      <c r="A168" s="1" t="s">
        <v>150</v>
      </c>
      <c r="B168" s="7">
        <v>44608</v>
      </c>
      <c r="C168" s="1" t="s">
        <v>12</v>
      </c>
      <c r="D168" s="1">
        <v>1941382</v>
      </c>
      <c r="E168" s="4">
        <v>12428.57</v>
      </c>
      <c r="F168" s="4">
        <f t="shared" si="4"/>
        <v>2361.4283</v>
      </c>
      <c r="G168" s="4">
        <f t="shared" si="8"/>
        <v>14789.998299999999</v>
      </c>
      <c r="H168" s="1">
        <f t="shared" si="9"/>
        <v>2</v>
      </c>
      <c r="I168" s="1">
        <f t="shared" si="10"/>
        <v>2022</v>
      </c>
      <c r="J168" s="4"/>
      <c r="K168" s="1" t="s">
        <v>87</v>
      </c>
    </row>
    <row r="169" spans="1:12">
      <c r="A169" s="1" t="s">
        <v>151</v>
      </c>
      <c r="B169" s="7">
        <v>44609</v>
      </c>
      <c r="C169" s="1" t="s">
        <v>12</v>
      </c>
      <c r="D169" s="1">
        <v>208777</v>
      </c>
      <c r="E169" s="4">
        <v>36510.080000000002</v>
      </c>
      <c r="F169" s="4">
        <f t="shared" si="4"/>
        <v>6936.9152000000004</v>
      </c>
      <c r="G169" s="4">
        <f t="shared" si="8"/>
        <v>43446.995200000005</v>
      </c>
      <c r="H169" s="1">
        <f t="shared" si="9"/>
        <v>2</v>
      </c>
      <c r="I169" s="1">
        <f t="shared" si="10"/>
        <v>2022</v>
      </c>
      <c r="J169" s="4"/>
      <c r="K169" s="1" t="s">
        <v>87</v>
      </c>
    </row>
    <row r="170" spans="1:12">
      <c r="A170" s="1" t="s">
        <v>149</v>
      </c>
      <c r="B170" s="7">
        <v>44610</v>
      </c>
      <c r="C170" s="1" t="s">
        <v>12</v>
      </c>
      <c r="D170" s="1">
        <v>1819</v>
      </c>
      <c r="E170" s="4">
        <v>43663.864999999998</v>
      </c>
      <c r="F170" s="4">
        <f t="shared" si="4"/>
        <v>8296.1343500000003</v>
      </c>
      <c r="G170" s="4">
        <f t="shared" si="8"/>
        <v>51959.999349999998</v>
      </c>
      <c r="H170" s="1">
        <f t="shared" si="9"/>
        <v>2</v>
      </c>
      <c r="I170" s="1">
        <f t="shared" si="10"/>
        <v>2022</v>
      </c>
      <c r="J170" s="4"/>
      <c r="K170" s="1" t="s">
        <v>87</v>
      </c>
    </row>
    <row r="171" spans="1:12">
      <c r="A171" s="1" t="s">
        <v>28</v>
      </c>
      <c r="B171" s="7">
        <v>44618</v>
      </c>
      <c r="C171" s="1" t="s">
        <v>12</v>
      </c>
      <c r="D171" s="1">
        <v>579117</v>
      </c>
      <c r="E171" s="4">
        <v>3370</v>
      </c>
      <c r="F171" s="4">
        <f t="shared" si="4"/>
        <v>640.29999999999995</v>
      </c>
      <c r="G171" s="4">
        <f t="shared" si="8"/>
        <v>4010.3</v>
      </c>
      <c r="H171" s="1">
        <f t="shared" si="9"/>
        <v>2</v>
      </c>
      <c r="I171" s="1">
        <f t="shared" si="10"/>
        <v>2022</v>
      </c>
      <c r="J171" s="4"/>
      <c r="K171" s="1" t="s">
        <v>87</v>
      </c>
    </row>
    <row r="172" spans="1:12">
      <c r="A172" s="1" t="s">
        <v>152</v>
      </c>
      <c r="B172" s="7">
        <v>44620</v>
      </c>
      <c r="C172" s="1" t="s">
        <v>12</v>
      </c>
      <c r="D172" s="1">
        <v>21707</v>
      </c>
      <c r="E172" s="4">
        <v>14285.71</v>
      </c>
      <c r="F172" s="4">
        <f t="shared" si="4"/>
        <v>2714.2848999999997</v>
      </c>
      <c r="G172" s="4">
        <f t="shared" si="8"/>
        <v>16999.994899999998</v>
      </c>
      <c r="H172" s="1">
        <f t="shared" si="9"/>
        <v>2</v>
      </c>
      <c r="I172" s="1">
        <f t="shared" si="10"/>
        <v>2022</v>
      </c>
      <c r="J172" s="4"/>
      <c r="K172" s="1" t="s">
        <v>87</v>
      </c>
    </row>
    <row r="173" spans="1:12">
      <c r="A173" s="1" t="s">
        <v>153</v>
      </c>
      <c r="B173" s="7">
        <v>44628</v>
      </c>
      <c r="C173" s="1"/>
      <c r="E173" s="4">
        <v>8403.36</v>
      </c>
      <c r="F173" s="4">
        <f t="shared" si="4"/>
        <v>1596.6384</v>
      </c>
      <c r="G173" s="4">
        <f t="shared" si="8"/>
        <v>9999.9984000000004</v>
      </c>
      <c r="H173" s="1">
        <f t="shared" si="9"/>
        <v>3</v>
      </c>
      <c r="I173" s="1">
        <f t="shared" si="10"/>
        <v>2022</v>
      </c>
      <c r="J173" s="4"/>
      <c r="K173" s="1" t="s">
        <v>87</v>
      </c>
    </row>
    <row r="174" spans="1:12">
      <c r="A174" s="1" t="s">
        <v>154</v>
      </c>
      <c r="B174" s="7">
        <v>44628</v>
      </c>
      <c r="C174" s="1" t="s">
        <v>12</v>
      </c>
      <c r="D174" s="1">
        <v>241852</v>
      </c>
      <c r="E174" s="4">
        <v>140342.01999999999</v>
      </c>
      <c r="F174" s="4">
        <f t="shared" si="4"/>
        <v>26664.983799999998</v>
      </c>
      <c r="G174" s="4">
        <f t="shared" si="8"/>
        <v>167007.00379999998</v>
      </c>
      <c r="H174" s="1">
        <f t="shared" si="9"/>
        <v>3</v>
      </c>
      <c r="I174" s="1">
        <f t="shared" si="10"/>
        <v>2022</v>
      </c>
      <c r="J174" s="4"/>
      <c r="K174" s="1" t="s">
        <v>87</v>
      </c>
      <c r="L174" s="1">
        <v>241853</v>
      </c>
    </row>
    <row r="175" spans="1:12">
      <c r="A175" s="1" t="s">
        <v>155</v>
      </c>
      <c r="B175" s="7">
        <v>44629</v>
      </c>
      <c r="C175" s="1" t="s">
        <v>12</v>
      </c>
      <c r="D175" s="1">
        <v>8523</v>
      </c>
      <c r="E175" s="4">
        <v>19798.310000000001</v>
      </c>
      <c r="F175" s="4">
        <f t="shared" si="4"/>
        <v>3761.6789000000003</v>
      </c>
      <c r="G175" s="4">
        <f t="shared" si="8"/>
        <v>23559.9889</v>
      </c>
      <c r="H175" s="1">
        <f t="shared" si="9"/>
        <v>3</v>
      </c>
      <c r="I175" s="1">
        <f t="shared" si="10"/>
        <v>2022</v>
      </c>
      <c r="J175" s="4"/>
      <c r="K175" s="1" t="s">
        <v>87</v>
      </c>
    </row>
    <row r="176" spans="1:12">
      <c r="A176" s="1" t="s">
        <v>156</v>
      </c>
      <c r="B176" s="7">
        <v>44638</v>
      </c>
      <c r="C176" s="1" t="s">
        <v>12</v>
      </c>
      <c r="D176" s="1">
        <v>1978050</v>
      </c>
      <c r="E176" s="4">
        <v>4865.5460000000003</v>
      </c>
      <c r="F176" s="4">
        <f t="shared" si="4"/>
        <v>924.45374000000004</v>
      </c>
      <c r="G176" s="4">
        <f t="shared" si="8"/>
        <v>5789.9997400000002</v>
      </c>
      <c r="H176" s="1">
        <f t="shared" si="9"/>
        <v>3</v>
      </c>
      <c r="I176" s="1">
        <f t="shared" si="10"/>
        <v>2022</v>
      </c>
      <c r="J176" s="4"/>
      <c r="K176" s="1" t="s">
        <v>87</v>
      </c>
    </row>
    <row r="177" spans="1:11">
      <c r="A177" s="1" t="s">
        <v>14</v>
      </c>
      <c r="B177" s="7">
        <v>44636</v>
      </c>
      <c r="C177" s="1" t="s">
        <v>12</v>
      </c>
      <c r="D177" s="1">
        <v>33806</v>
      </c>
      <c r="E177" s="4">
        <v>102100</v>
      </c>
      <c r="F177" s="4">
        <f t="shared" si="4"/>
        <v>19399</v>
      </c>
      <c r="G177" s="4">
        <f t="shared" si="8"/>
        <v>121499</v>
      </c>
      <c r="H177" s="1">
        <f t="shared" si="9"/>
        <v>3</v>
      </c>
      <c r="I177" s="1">
        <f t="shared" si="10"/>
        <v>2022</v>
      </c>
      <c r="J177" s="4"/>
      <c r="K177" s="1" t="s">
        <v>87</v>
      </c>
    </row>
    <row r="178" spans="1:11">
      <c r="A178" s="1" t="s">
        <v>28</v>
      </c>
      <c r="B178" s="7">
        <v>44638</v>
      </c>
      <c r="C178" s="1" t="s">
        <v>12</v>
      </c>
      <c r="D178" s="1">
        <v>585223</v>
      </c>
      <c r="E178" s="4">
        <v>8579.83</v>
      </c>
      <c r="F178" s="4">
        <f t="shared" si="4"/>
        <v>1630.1677</v>
      </c>
      <c r="G178" s="4">
        <f t="shared" si="8"/>
        <v>10209.9977</v>
      </c>
      <c r="H178" s="1">
        <f t="shared" si="9"/>
        <v>3</v>
      </c>
      <c r="I178" s="1">
        <f t="shared" si="10"/>
        <v>2022</v>
      </c>
      <c r="J178" s="4"/>
      <c r="K178" s="1" t="s">
        <v>87</v>
      </c>
    </row>
    <row r="179" spans="1:11">
      <c r="A179" s="1" t="s">
        <v>157</v>
      </c>
      <c r="B179" s="7">
        <v>44641</v>
      </c>
      <c r="C179" s="1" t="s">
        <v>12</v>
      </c>
      <c r="D179" s="1">
        <v>22692</v>
      </c>
      <c r="E179" s="4">
        <v>20000</v>
      </c>
      <c r="F179" s="4">
        <f t="shared" si="4"/>
        <v>3800</v>
      </c>
      <c r="G179" s="4">
        <f t="shared" si="8"/>
        <v>23800</v>
      </c>
      <c r="H179" s="1">
        <f t="shared" si="9"/>
        <v>3</v>
      </c>
      <c r="I179" s="1">
        <f t="shared" si="10"/>
        <v>2022</v>
      </c>
      <c r="J179" s="4"/>
      <c r="K179" s="1" t="s">
        <v>87</v>
      </c>
    </row>
    <row r="180" spans="1:11">
      <c r="A180" s="1" t="s">
        <v>158</v>
      </c>
      <c r="B180" s="7">
        <v>44648</v>
      </c>
      <c r="C180" s="1" t="s">
        <v>12</v>
      </c>
      <c r="D180" s="1">
        <v>210463</v>
      </c>
      <c r="E180" s="4">
        <v>65190</v>
      </c>
      <c r="F180" s="4">
        <f t="shared" si="4"/>
        <v>12386.1</v>
      </c>
      <c r="G180" s="4">
        <f t="shared" si="8"/>
        <v>77576.100000000006</v>
      </c>
      <c r="H180" s="1">
        <f t="shared" si="9"/>
        <v>3</v>
      </c>
      <c r="I180" s="1">
        <f t="shared" si="10"/>
        <v>2022</v>
      </c>
      <c r="J180" s="4"/>
      <c r="K180" s="1" t="s">
        <v>87</v>
      </c>
    </row>
    <row r="181" spans="1:11">
      <c r="A181" s="1" t="s">
        <v>28</v>
      </c>
      <c r="B181" s="7">
        <v>44650</v>
      </c>
      <c r="C181" s="1" t="s">
        <v>12</v>
      </c>
      <c r="D181" s="1">
        <v>585340</v>
      </c>
      <c r="E181" s="4">
        <v>4866</v>
      </c>
      <c r="F181" s="4">
        <f t="shared" si="4"/>
        <v>924.54</v>
      </c>
      <c r="G181" s="4">
        <f t="shared" si="8"/>
        <v>5790.54</v>
      </c>
      <c r="H181" s="1">
        <f t="shared" si="9"/>
        <v>3</v>
      </c>
      <c r="I181" s="1">
        <f t="shared" si="10"/>
        <v>2022</v>
      </c>
      <c r="J181" s="4"/>
      <c r="K181" s="1" t="s">
        <v>87</v>
      </c>
    </row>
    <row r="182" spans="1:11">
      <c r="A182" s="1" t="s">
        <v>159</v>
      </c>
      <c r="B182" s="7">
        <v>44654</v>
      </c>
      <c r="C182" s="1" t="s">
        <v>12</v>
      </c>
      <c r="D182" s="1">
        <v>22927</v>
      </c>
      <c r="E182" s="4">
        <v>33361</v>
      </c>
      <c r="F182" s="4">
        <f t="shared" si="4"/>
        <v>6338.59</v>
      </c>
      <c r="G182" s="4">
        <f t="shared" si="8"/>
        <v>39699.589999999997</v>
      </c>
      <c r="H182" s="1">
        <f t="shared" si="9"/>
        <v>4</v>
      </c>
      <c r="I182" s="1">
        <f t="shared" si="10"/>
        <v>2022</v>
      </c>
      <c r="J182" s="4"/>
      <c r="K182" s="1" t="s">
        <v>87</v>
      </c>
    </row>
    <row r="183" spans="1:11">
      <c r="A183" s="1" t="s">
        <v>149</v>
      </c>
      <c r="B183" s="7">
        <v>44656</v>
      </c>
      <c r="C183" s="1" t="s">
        <v>12</v>
      </c>
      <c r="D183" s="1">
        <v>2035</v>
      </c>
      <c r="E183" s="4">
        <v>43663.8655</v>
      </c>
      <c r="F183" s="4">
        <f t="shared" si="4"/>
        <v>8296.1344449999997</v>
      </c>
      <c r="G183" s="4">
        <f t="shared" si="8"/>
        <v>51959.999945000003</v>
      </c>
      <c r="H183" s="1">
        <f t="shared" si="9"/>
        <v>4</v>
      </c>
      <c r="I183" s="1">
        <f t="shared" si="10"/>
        <v>2022</v>
      </c>
      <c r="J183" s="4"/>
      <c r="K183" s="1" t="s">
        <v>87</v>
      </c>
    </row>
    <row r="184" spans="1:11">
      <c r="A184" s="1" t="s">
        <v>14</v>
      </c>
      <c r="B184" s="7">
        <v>44656</v>
      </c>
      <c r="C184" s="1" t="s">
        <v>12</v>
      </c>
      <c r="D184" s="1">
        <v>34395</v>
      </c>
      <c r="E184" s="4">
        <v>128600</v>
      </c>
      <c r="F184" s="4">
        <f t="shared" si="4"/>
        <v>24434</v>
      </c>
      <c r="G184" s="4">
        <f t="shared" si="8"/>
        <v>153034</v>
      </c>
      <c r="H184" s="1">
        <f t="shared" si="9"/>
        <v>4</v>
      </c>
      <c r="I184" s="1">
        <f t="shared" si="10"/>
        <v>2022</v>
      </c>
      <c r="J184" s="4"/>
      <c r="K184" s="1" t="s">
        <v>87</v>
      </c>
    </row>
    <row r="185" spans="1:11">
      <c r="A185" s="1" t="s">
        <v>160</v>
      </c>
      <c r="B185" s="7">
        <v>44658</v>
      </c>
      <c r="C185" s="1" t="s">
        <v>12</v>
      </c>
      <c r="D185" s="1">
        <v>1447</v>
      </c>
      <c r="E185" s="4">
        <v>71344.5</v>
      </c>
      <c r="F185" s="4">
        <f t="shared" si="4"/>
        <v>13555.455</v>
      </c>
      <c r="G185" s="4">
        <f t="shared" si="8"/>
        <v>84899.955000000002</v>
      </c>
      <c r="H185" s="1">
        <f t="shared" si="9"/>
        <v>4</v>
      </c>
      <c r="I185" s="1">
        <f t="shared" si="10"/>
        <v>2022</v>
      </c>
      <c r="J185" s="4"/>
      <c r="K185" s="1" t="s">
        <v>87</v>
      </c>
    </row>
    <row r="186" spans="1:11">
      <c r="A186" s="1" t="s">
        <v>161</v>
      </c>
      <c r="B186" s="7">
        <v>44658</v>
      </c>
      <c r="C186" s="1"/>
      <c r="E186" s="4">
        <v>21663.865000000002</v>
      </c>
      <c r="F186" s="4">
        <f t="shared" si="4"/>
        <v>4116.1343500000003</v>
      </c>
      <c r="G186" s="4">
        <f t="shared" si="8"/>
        <v>25779.999350000002</v>
      </c>
      <c r="H186" s="1">
        <f t="shared" si="9"/>
        <v>4</v>
      </c>
      <c r="I186" s="1">
        <f t="shared" si="10"/>
        <v>2022</v>
      </c>
      <c r="J186" s="4"/>
      <c r="K186" s="1" t="s">
        <v>87</v>
      </c>
    </row>
    <row r="187" spans="1:11">
      <c r="A187" s="1" t="s">
        <v>162</v>
      </c>
      <c r="B187" s="7">
        <v>44662</v>
      </c>
      <c r="C187" s="1" t="s">
        <v>12</v>
      </c>
      <c r="D187" s="1">
        <v>165</v>
      </c>
      <c r="E187" s="4">
        <v>15042</v>
      </c>
      <c r="F187" s="4">
        <f t="shared" si="4"/>
        <v>2857.98</v>
      </c>
      <c r="G187" s="4">
        <f t="shared" si="8"/>
        <v>17899.98</v>
      </c>
      <c r="H187" s="1">
        <f t="shared" si="9"/>
        <v>4</v>
      </c>
      <c r="I187" s="1">
        <f t="shared" si="10"/>
        <v>2022</v>
      </c>
      <c r="J187" s="4"/>
      <c r="K187" s="1" t="s">
        <v>87</v>
      </c>
    </row>
    <row r="188" spans="1:11">
      <c r="A188" s="1" t="s">
        <v>163</v>
      </c>
      <c r="B188" s="7">
        <v>44663</v>
      </c>
      <c r="C188" s="1" t="s">
        <v>12</v>
      </c>
      <c r="D188" s="1">
        <v>16371</v>
      </c>
      <c r="E188" s="4">
        <v>29403.360000000001</v>
      </c>
      <c r="F188" s="4">
        <f t="shared" si="4"/>
        <v>5586.6383999999998</v>
      </c>
      <c r="G188" s="4">
        <f t="shared" si="8"/>
        <v>34989.998399999997</v>
      </c>
      <c r="H188" s="1">
        <f t="shared" si="9"/>
        <v>4</v>
      </c>
      <c r="I188" s="1">
        <f t="shared" si="10"/>
        <v>2022</v>
      </c>
      <c r="J188" s="4"/>
      <c r="K188" s="1" t="s">
        <v>87</v>
      </c>
    </row>
    <row r="189" spans="1:11">
      <c r="A189" s="1" t="s">
        <v>164</v>
      </c>
      <c r="B189" s="7">
        <v>44663</v>
      </c>
      <c r="C189" s="1" t="s">
        <v>12</v>
      </c>
      <c r="D189" s="1">
        <v>68045</v>
      </c>
      <c r="E189" s="4">
        <v>5462.19</v>
      </c>
      <c r="F189" s="4">
        <f t="shared" si="4"/>
        <v>1037.8161</v>
      </c>
      <c r="G189" s="4">
        <f t="shared" si="8"/>
        <v>6500.0060999999996</v>
      </c>
      <c r="H189" s="1">
        <f t="shared" si="9"/>
        <v>4</v>
      </c>
      <c r="I189" s="1">
        <f t="shared" si="10"/>
        <v>2022</v>
      </c>
      <c r="J189" s="4"/>
      <c r="K189" s="1" t="s">
        <v>87</v>
      </c>
    </row>
    <row r="190" spans="1:11">
      <c r="A190" s="1" t="s">
        <v>165</v>
      </c>
      <c r="B190" s="7">
        <v>44665</v>
      </c>
      <c r="C190" s="1" t="s">
        <v>12</v>
      </c>
      <c r="D190" s="1">
        <v>23150</v>
      </c>
      <c r="E190" s="4">
        <v>6303</v>
      </c>
      <c r="F190" s="4">
        <f t="shared" si="4"/>
        <v>1197.57</v>
      </c>
      <c r="G190" s="4">
        <f t="shared" si="8"/>
        <v>7500.57</v>
      </c>
      <c r="H190" s="1">
        <f t="shared" si="9"/>
        <v>4</v>
      </c>
      <c r="I190" s="1">
        <f t="shared" si="10"/>
        <v>2022</v>
      </c>
      <c r="J190" s="4"/>
      <c r="K190" s="1" t="s">
        <v>87</v>
      </c>
    </row>
    <row r="191" spans="1:11">
      <c r="A191" s="1" t="s">
        <v>166</v>
      </c>
      <c r="B191" s="7">
        <v>44670</v>
      </c>
      <c r="C191" s="1" t="s">
        <v>12</v>
      </c>
      <c r="D191" s="1">
        <v>31149</v>
      </c>
      <c r="E191" s="4">
        <v>10658</v>
      </c>
      <c r="F191" s="4">
        <f t="shared" si="4"/>
        <v>2025.02</v>
      </c>
      <c r="G191" s="4">
        <f t="shared" si="8"/>
        <v>12683.02</v>
      </c>
      <c r="H191" s="1">
        <f t="shared" si="9"/>
        <v>4</v>
      </c>
      <c r="I191" s="1">
        <f t="shared" si="10"/>
        <v>2022</v>
      </c>
      <c r="J191" s="4"/>
      <c r="K191" s="1" t="s">
        <v>87</v>
      </c>
    </row>
    <row r="192" spans="1:11">
      <c r="A192" s="1" t="s">
        <v>167</v>
      </c>
      <c r="B192" s="7">
        <v>44673</v>
      </c>
      <c r="C192" s="1"/>
      <c r="E192" s="4">
        <v>24361.34</v>
      </c>
      <c r="F192" s="4">
        <f t="shared" si="4"/>
        <v>4628.6545999999998</v>
      </c>
      <c r="G192" s="4">
        <f t="shared" si="8"/>
        <v>28989.994599999998</v>
      </c>
      <c r="H192" s="1">
        <f t="shared" si="9"/>
        <v>4</v>
      </c>
      <c r="I192" s="1">
        <f t="shared" si="10"/>
        <v>2022</v>
      </c>
      <c r="J192" s="4"/>
      <c r="K192" s="1" t="s">
        <v>87</v>
      </c>
    </row>
    <row r="193" spans="1:11">
      <c r="A193" s="1" t="s">
        <v>168</v>
      </c>
      <c r="B193" s="7">
        <v>44676</v>
      </c>
      <c r="C193" s="1" t="s">
        <v>12</v>
      </c>
      <c r="D193" s="1">
        <v>37</v>
      </c>
      <c r="E193" s="4">
        <v>16798.219000000001</v>
      </c>
      <c r="F193" s="4">
        <f t="shared" si="4"/>
        <v>3191.6616100000001</v>
      </c>
      <c r="G193" s="4">
        <f t="shared" si="8"/>
        <v>19989.88061</v>
      </c>
      <c r="H193" s="1">
        <f t="shared" si="9"/>
        <v>4</v>
      </c>
      <c r="I193" s="1">
        <f t="shared" si="10"/>
        <v>2022</v>
      </c>
      <c r="J193" s="4"/>
      <c r="K193" s="1" t="s">
        <v>87</v>
      </c>
    </row>
    <row r="194" spans="1:11">
      <c r="A194" s="1" t="s">
        <v>169</v>
      </c>
      <c r="B194" s="7">
        <v>44676</v>
      </c>
      <c r="C194" s="1"/>
      <c r="E194" s="4">
        <v>43327.74</v>
      </c>
      <c r="F194" s="4">
        <f t="shared" si="4"/>
        <v>8232.2705999999998</v>
      </c>
      <c r="G194" s="4">
        <f t="shared" si="8"/>
        <v>51560.010599999994</v>
      </c>
      <c r="H194" s="1">
        <f t="shared" si="9"/>
        <v>4</v>
      </c>
      <c r="I194" s="1">
        <f t="shared" si="10"/>
        <v>2022</v>
      </c>
      <c r="J194" s="4"/>
      <c r="K194" s="1" t="s">
        <v>87</v>
      </c>
    </row>
    <row r="195" spans="1:11">
      <c r="A195" s="1" t="s">
        <v>68</v>
      </c>
      <c r="B195" s="7">
        <v>44677</v>
      </c>
      <c r="C195" s="1" t="s">
        <v>12</v>
      </c>
      <c r="D195" s="1">
        <v>212217</v>
      </c>
      <c r="E195" s="4">
        <v>107210.084</v>
      </c>
      <c r="F195" s="4">
        <f t="shared" si="4"/>
        <v>20369.915960000002</v>
      </c>
      <c r="G195" s="4">
        <f t="shared" si="8"/>
        <v>127579.99996</v>
      </c>
      <c r="H195" s="1">
        <f t="shared" si="9"/>
        <v>4</v>
      </c>
      <c r="I195" s="1">
        <f t="shared" si="10"/>
        <v>2022</v>
      </c>
      <c r="J195" s="4"/>
      <c r="K195" s="1" t="s">
        <v>87</v>
      </c>
    </row>
    <row r="196" spans="1:11">
      <c r="A196" s="1" t="s">
        <v>170</v>
      </c>
      <c r="B196" s="7">
        <v>44677</v>
      </c>
      <c r="C196" s="1" t="s">
        <v>12</v>
      </c>
      <c r="D196" s="1">
        <v>44792</v>
      </c>
      <c r="E196" s="4">
        <v>31630.252100000002</v>
      </c>
      <c r="F196" s="4">
        <f t="shared" si="4"/>
        <v>6009.747899</v>
      </c>
      <c r="G196" s="4">
        <f t="shared" si="8"/>
        <v>37639.999999</v>
      </c>
      <c r="H196" s="1">
        <f t="shared" si="9"/>
        <v>4</v>
      </c>
      <c r="I196" s="1">
        <f t="shared" si="10"/>
        <v>2022</v>
      </c>
      <c r="J196" s="4"/>
      <c r="K196" s="1" t="s">
        <v>87</v>
      </c>
    </row>
    <row r="197" spans="1:11">
      <c r="A197" s="1" t="s">
        <v>166</v>
      </c>
      <c r="B197" s="7">
        <v>44679</v>
      </c>
      <c r="C197" s="1" t="s">
        <v>12</v>
      </c>
      <c r="D197" s="1">
        <v>31565</v>
      </c>
      <c r="E197" s="4">
        <v>10802</v>
      </c>
      <c r="F197" s="4">
        <f t="shared" si="4"/>
        <v>2052.38</v>
      </c>
      <c r="G197" s="4">
        <f t="shared" si="8"/>
        <v>12854.380000000001</v>
      </c>
      <c r="H197" s="1">
        <f t="shared" si="9"/>
        <v>4</v>
      </c>
      <c r="I197" s="1">
        <f t="shared" si="10"/>
        <v>2022</v>
      </c>
      <c r="J197" s="4"/>
      <c r="K197" s="1" t="s">
        <v>87</v>
      </c>
    </row>
    <row r="198" spans="1:11">
      <c r="A198" s="1" t="s">
        <v>171</v>
      </c>
      <c r="B198" s="7">
        <v>44680</v>
      </c>
      <c r="C198" s="1" t="s">
        <v>12</v>
      </c>
      <c r="D198" s="1">
        <v>208724</v>
      </c>
      <c r="E198" s="4">
        <v>20462</v>
      </c>
      <c r="F198" s="4">
        <f t="shared" si="4"/>
        <v>3887.78</v>
      </c>
      <c r="G198" s="4">
        <f t="shared" si="8"/>
        <v>24349.78</v>
      </c>
      <c r="H198" s="1">
        <f t="shared" si="9"/>
        <v>4</v>
      </c>
      <c r="I198" s="1">
        <f t="shared" si="10"/>
        <v>2022</v>
      </c>
      <c r="J198" s="4"/>
      <c r="K198" s="1" t="s">
        <v>87</v>
      </c>
    </row>
    <row r="199" spans="1:11">
      <c r="A199" s="1" t="s">
        <v>28</v>
      </c>
      <c r="B199" s="7">
        <v>44683</v>
      </c>
      <c r="C199" s="1" t="s">
        <v>12</v>
      </c>
      <c r="D199" s="1">
        <v>596804</v>
      </c>
      <c r="E199" s="4">
        <v>5370</v>
      </c>
      <c r="F199" s="4">
        <f t="shared" si="4"/>
        <v>1020.3000000000001</v>
      </c>
      <c r="G199" s="4">
        <f t="shared" si="8"/>
        <v>6390.3</v>
      </c>
      <c r="H199" s="1">
        <f t="shared" si="9"/>
        <v>5</v>
      </c>
      <c r="I199" s="1">
        <f t="shared" si="10"/>
        <v>2022</v>
      </c>
      <c r="J199" s="4"/>
      <c r="K199" s="1" t="s">
        <v>87</v>
      </c>
    </row>
    <row r="200" spans="1:11">
      <c r="A200" s="1" t="s">
        <v>172</v>
      </c>
      <c r="B200" s="7">
        <v>44688</v>
      </c>
      <c r="C200" s="1" t="s">
        <v>12</v>
      </c>
      <c r="D200" s="1">
        <v>23528</v>
      </c>
      <c r="E200" s="4">
        <v>3950</v>
      </c>
      <c r="F200" s="4">
        <f t="shared" si="4"/>
        <v>750.5</v>
      </c>
      <c r="G200" s="4">
        <f t="shared" si="8"/>
        <v>4700.5</v>
      </c>
      <c r="H200" s="1">
        <f t="shared" si="9"/>
        <v>5</v>
      </c>
      <c r="I200" s="1">
        <f t="shared" si="10"/>
        <v>2022</v>
      </c>
      <c r="J200" s="4"/>
      <c r="K200" s="1" t="s">
        <v>87</v>
      </c>
    </row>
    <row r="201" spans="1:11">
      <c r="A201" s="1" t="s">
        <v>173</v>
      </c>
      <c r="B201" s="7">
        <v>44684</v>
      </c>
      <c r="C201" s="1" t="s">
        <v>12</v>
      </c>
      <c r="D201" s="1">
        <v>23455</v>
      </c>
      <c r="E201" s="4">
        <v>7142.857</v>
      </c>
      <c r="F201" s="4">
        <f t="shared" si="4"/>
        <v>1357.14283</v>
      </c>
      <c r="G201" s="4">
        <f t="shared" si="8"/>
        <v>8499.9998300000007</v>
      </c>
      <c r="H201" s="1">
        <f t="shared" si="9"/>
        <v>5</v>
      </c>
      <c r="I201" s="1">
        <f t="shared" si="10"/>
        <v>2022</v>
      </c>
      <c r="J201" s="4"/>
      <c r="K201" s="1" t="s">
        <v>87</v>
      </c>
    </row>
    <row r="202" spans="1:11">
      <c r="A202" s="1" t="s">
        <v>174</v>
      </c>
      <c r="B202" s="7">
        <v>44691</v>
      </c>
      <c r="C202" s="1" t="s">
        <v>12</v>
      </c>
      <c r="D202" s="1">
        <v>23558</v>
      </c>
      <c r="E202" s="4">
        <v>8236</v>
      </c>
      <c r="F202" s="4">
        <f t="shared" si="4"/>
        <v>1564.84</v>
      </c>
      <c r="G202" s="4">
        <f t="shared" si="8"/>
        <v>9800.84</v>
      </c>
      <c r="H202" s="1">
        <f t="shared" si="9"/>
        <v>5</v>
      </c>
      <c r="I202" s="1">
        <f t="shared" si="10"/>
        <v>2022</v>
      </c>
      <c r="J202" s="4"/>
      <c r="K202" s="1" t="s">
        <v>87</v>
      </c>
    </row>
    <row r="203" spans="1:11">
      <c r="A203" s="1" t="s">
        <v>175</v>
      </c>
      <c r="B203" s="7">
        <v>44691</v>
      </c>
      <c r="C203" s="1" t="s">
        <v>12</v>
      </c>
      <c r="D203" s="1">
        <v>2186</v>
      </c>
      <c r="E203" s="4">
        <v>54580</v>
      </c>
      <c r="F203" s="4">
        <f t="shared" si="4"/>
        <v>10370.200000000001</v>
      </c>
      <c r="G203" s="4">
        <f t="shared" si="8"/>
        <v>64950.2</v>
      </c>
      <c r="H203" s="1">
        <f t="shared" si="9"/>
        <v>5</v>
      </c>
      <c r="I203" s="1">
        <f t="shared" si="10"/>
        <v>2022</v>
      </c>
      <c r="J203" s="4"/>
      <c r="K203" s="1" t="s">
        <v>87</v>
      </c>
    </row>
    <row r="204" spans="1:11">
      <c r="A204" s="1" t="s">
        <v>176</v>
      </c>
      <c r="B204" s="7">
        <v>44692</v>
      </c>
      <c r="C204" s="1" t="s">
        <v>12</v>
      </c>
      <c r="D204" s="1">
        <v>35195</v>
      </c>
      <c r="E204" s="4">
        <v>226700</v>
      </c>
      <c r="F204" s="4">
        <f t="shared" si="4"/>
        <v>43073</v>
      </c>
      <c r="G204" s="4">
        <f t="shared" si="8"/>
        <v>269773</v>
      </c>
      <c r="H204" s="1">
        <f t="shared" si="9"/>
        <v>5</v>
      </c>
      <c r="I204" s="1">
        <f t="shared" si="10"/>
        <v>2022</v>
      </c>
      <c r="J204" s="4"/>
      <c r="K204" s="1" t="s">
        <v>87</v>
      </c>
    </row>
    <row r="205" spans="1:11">
      <c r="A205" s="1" t="s">
        <v>177</v>
      </c>
      <c r="B205" s="7">
        <v>44694</v>
      </c>
      <c r="C205" s="1" t="s">
        <v>12</v>
      </c>
      <c r="D205" s="1">
        <v>213104</v>
      </c>
      <c r="E205" s="4">
        <v>57950.42</v>
      </c>
      <c r="F205" s="4">
        <f t="shared" si="4"/>
        <v>11010.5798</v>
      </c>
      <c r="G205" s="4">
        <f t="shared" si="8"/>
        <v>68960.999799999991</v>
      </c>
      <c r="H205" s="1">
        <f t="shared" si="9"/>
        <v>5</v>
      </c>
      <c r="I205" s="1">
        <f t="shared" si="10"/>
        <v>2022</v>
      </c>
      <c r="J205" s="4"/>
      <c r="K205" s="1" t="s">
        <v>87</v>
      </c>
    </row>
    <row r="206" spans="1:11">
      <c r="A206" s="1" t="s">
        <v>22</v>
      </c>
      <c r="B206" s="7">
        <v>44695</v>
      </c>
      <c r="C206" s="1" t="s">
        <v>12</v>
      </c>
      <c r="D206" s="1">
        <v>10675414</v>
      </c>
      <c r="E206" s="4">
        <v>5882</v>
      </c>
      <c r="F206" s="4">
        <f t="shared" si="4"/>
        <v>1117.58</v>
      </c>
      <c r="G206" s="4">
        <f t="shared" si="8"/>
        <v>6999.58</v>
      </c>
      <c r="H206" s="1">
        <f t="shared" si="9"/>
        <v>5</v>
      </c>
      <c r="I206" s="1">
        <f t="shared" si="10"/>
        <v>2022</v>
      </c>
      <c r="J206" s="4"/>
      <c r="K206" s="1" t="s">
        <v>87</v>
      </c>
    </row>
    <row r="207" spans="1:11">
      <c r="A207" s="1" t="s">
        <v>28</v>
      </c>
      <c r="B207" s="7">
        <v>44697</v>
      </c>
      <c r="C207" s="1" t="s">
        <v>12</v>
      </c>
      <c r="D207" s="1">
        <v>604073</v>
      </c>
      <c r="E207" s="4">
        <v>7202</v>
      </c>
      <c r="F207" s="4">
        <f t="shared" si="4"/>
        <v>1368.38</v>
      </c>
      <c r="G207" s="4">
        <f t="shared" si="8"/>
        <v>8570.380000000001</v>
      </c>
      <c r="H207" s="1">
        <f t="shared" si="9"/>
        <v>5</v>
      </c>
      <c r="I207" s="1">
        <f t="shared" si="10"/>
        <v>2022</v>
      </c>
      <c r="J207" s="4"/>
      <c r="K207" s="1" t="s">
        <v>87</v>
      </c>
    </row>
    <row r="208" spans="1:11">
      <c r="A208" s="1" t="s">
        <v>178</v>
      </c>
      <c r="B208" s="7">
        <v>44698</v>
      </c>
      <c r="C208" s="1" t="s">
        <v>12</v>
      </c>
      <c r="D208" s="1">
        <v>7701</v>
      </c>
      <c r="E208" s="4">
        <v>10504</v>
      </c>
      <c r="F208" s="4">
        <f t="shared" si="4"/>
        <v>1995.76</v>
      </c>
      <c r="G208" s="4">
        <f t="shared" si="8"/>
        <v>12499.76</v>
      </c>
      <c r="H208" s="1">
        <f t="shared" si="9"/>
        <v>5</v>
      </c>
      <c r="I208" s="1">
        <f t="shared" si="10"/>
        <v>2022</v>
      </c>
      <c r="J208" s="4"/>
      <c r="K208" s="1" t="s">
        <v>87</v>
      </c>
    </row>
    <row r="209" spans="1:12">
      <c r="A209" s="1" t="s">
        <v>179</v>
      </c>
      <c r="B209" s="7">
        <v>44698</v>
      </c>
      <c r="C209" s="1" t="s">
        <v>12</v>
      </c>
      <c r="E209" s="4">
        <v>153040</v>
      </c>
      <c r="F209" s="4">
        <f t="shared" si="4"/>
        <v>29077.599999999999</v>
      </c>
      <c r="G209" s="4">
        <f t="shared" si="8"/>
        <v>182117.6</v>
      </c>
      <c r="H209" s="1">
        <f t="shared" si="9"/>
        <v>5</v>
      </c>
      <c r="I209" s="1">
        <f t="shared" si="10"/>
        <v>2022</v>
      </c>
      <c r="J209" s="4"/>
      <c r="K209" s="1" t="s">
        <v>87</v>
      </c>
      <c r="L209" s="1" t="s">
        <v>180</v>
      </c>
    </row>
    <row r="210" spans="1:12">
      <c r="A210" s="1" t="s">
        <v>181</v>
      </c>
      <c r="B210" s="7">
        <v>44703</v>
      </c>
      <c r="C210" s="1"/>
      <c r="E210" s="4">
        <v>21663.87</v>
      </c>
      <c r="F210" s="4">
        <f t="shared" si="4"/>
        <v>4116.1352999999999</v>
      </c>
      <c r="G210" s="4">
        <f t="shared" si="8"/>
        <v>25780.005299999997</v>
      </c>
      <c r="H210" s="1">
        <f t="shared" si="9"/>
        <v>5</v>
      </c>
      <c r="I210" s="1">
        <f t="shared" si="10"/>
        <v>2022</v>
      </c>
      <c r="J210" s="4"/>
      <c r="K210" s="1" t="s">
        <v>87</v>
      </c>
    </row>
    <row r="211" spans="1:12">
      <c r="A211" s="1" t="s">
        <v>182</v>
      </c>
      <c r="B211" s="9">
        <v>44704</v>
      </c>
      <c r="C211" s="1"/>
      <c r="E211" s="4">
        <v>26873.949000000001</v>
      </c>
      <c r="F211" s="4">
        <f t="shared" si="4"/>
        <v>5106.0503100000005</v>
      </c>
      <c r="G211" s="4">
        <f t="shared" si="8"/>
        <v>31979.999309999999</v>
      </c>
      <c r="H211" s="1">
        <f t="shared" si="9"/>
        <v>5</v>
      </c>
      <c r="I211" s="1">
        <f t="shared" si="10"/>
        <v>2022</v>
      </c>
      <c r="J211" s="4"/>
      <c r="K211" s="1" t="s">
        <v>87</v>
      </c>
      <c r="L211" s="1" t="s">
        <v>183</v>
      </c>
    </row>
    <row r="212" spans="1:12">
      <c r="A212" s="1" t="s">
        <v>184</v>
      </c>
      <c r="B212" s="7">
        <v>44704</v>
      </c>
      <c r="C212" s="1" t="s">
        <v>12</v>
      </c>
      <c r="D212" s="1">
        <v>2980</v>
      </c>
      <c r="E212" s="4">
        <v>45361.343999999997</v>
      </c>
      <c r="F212" s="4">
        <f t="shared" si="4"/>
        <v>8618.6553599999988</v>
      </c>
      <c r="G212" s="4">
        <f t="shared" si="8"/>
        <v>53979.999359999994</v>
      </c>
      <c r="H212" s="1">
        <f t="shared" si="9"/>
        <v>5</v>
      </c>
      <c r="I212" s="1">
        <f t="shared" si="10"/>
        <v>2022</v>
      </c>
      <c r="J212" s="4"/>
      <c r="K212" s="1" t="s">
        <v>87</v>
      </c>
      <c r="L212" s="1" t="s">
        <v>183</v>
      </c>
    </row>
    <row r="213" spans="1:12">
      <c r="A213" s="1" t="s">
        <v>185</v>
      </c>
      <c r="B213" s="7">
        <v>44704</v>
      </c>
      <c r="C213" s="1" t="s">
        <v>12</v>
      </c>
      <c r="D213" s="1">
        <v>309553</v>
      </c>
      <c r="E213" s="4">
        <v>65378.150999999998</v>
      </c>
      <c r="F213" s="4">
        <f t="shared" si="4"/>
        <v>12421.848689999999</v>
      </c>
      <c r="G213" s="4">
        <f t="shared" si="8"/>
        <v>77799.999689999997</v>
      </c>
      <c r="H213" s="1">
        <f t="shared" si="9"/>
        <v>5</v>
      </c>
      <c r="I213" s="1">
        <f t="shared" si="10"/>
        <v>2022</v>
      </c>
      <c r="J213" s="4"/>
      <c r="K213" s="1" t="s">
        <v>87</v>
      </c>
    </row>
    <row r="214" spans="1:12">
      <c r="A214" s="1" t="s">
        <v>28</v>
      </c>
      <c r="B214" s="7">
        <v>44706</v>
      </c>
      <c r="C214" s="1" t="s">
        <v>12</v>
      </c>
      <c r="D214" s="1">
        <v>604156</v>
      </c>
      <c r="E214" s="4">
        <v>4866</v>
      </c>
      <c r="F214" s="4">
        <f t="shared" si="4"/>
        <v>924.54</v>
      </c>
      <c r="G214" s="4">
        <f t="shared" si="8"/>
        <v>5790.54</v>
      </c>
      <c r="H214" s="1">
        <f t="shared" si="9"/>
        <v>5</v>
      </c>
      <c r="I214" s="1">
        <f t="shared" si="10"/>
        <v>2022</v>
      </c>
      <c r="J214" s="4"/>
      <c r="K214" s="1" t="s">
        <v>87</v>
      </c>
    </row>
    <row r="215" spans="1:12">
      <c r="A215" s="1" t="s">
        <v>14</v>
      </c>
      <c r="B215" s="7">
        <v>44704</v>
      </c>
      <c r="C215" s="1" t="s">
        <v>12</v>
      </c>
      <c r="D215" s="1">
        <v>35493</v>
      </c>
      <c r="E215" s="4">
        <v>57500</v>
      </c>
      <c r="F215" s="4">
        <f t="shared" si="4"/>
        <v>10925</v>
      </c>
      <c r="G215" s="4">
        <f t="shared" si="8"/>
        <v>68425</v>
      </c>
      <c r="H215" s="1">
        <f t="shared" si="9"/>
        <v>5</v>
      </c>
      <c r="I215" s="1">
        <f t="shared" si="10"/>
        <v>2022</v>
      </c>
      <c r="J215" s="4"/>
      <c r="K215" s="1" t="s">
        <v>87</v>
      </c>
    </row>
    <row r="216" spans="1:12">
      <c r="A216" s="1" t="s">
        <v>186</v>
      </c>
      <c r="B216" s="7">
        <v>44707</v>
      </c>
      <c r="C216" s="1" t="s">
        <v>12</v>
      </c>
      <c r="D216" s="1">
        <v>61</v>
      </c>
      <c r="E216" s="4">
        <v>441176.47</v>
      </c>
      <c r="F216" s="4">
        <f t="shared" si="4"/>
        <v>83823.529299999995</v>
      </c>
      <c r="G216" s="4">
        <f t="shared" si="8"/>
        <v>524999.99930000002</v>
      </c>
      <c r="H216" s="1">
        <f t="shared" si="9"/>
        <v>5</v>
      </c>
      <c r="I216" s="1">
        <f t="shared" si="10"/>
        <v>2022</v>
      </c>
      <c r="J216" s="4"/>
      <c r="K216" s="1" t="s">
        <v>87</v>
      </c>
    </row>
    <row r="217" spans="1:12">
      <c r="A217" s="1" t="s">
        <v>181</v>
      </c>
      <c r="B217" s="7">
        <v>44708</v>
      </c>
      <c r="C217" s="1"/>
      <c r="E217" s="4">
        <v>43327.73</v>
      </c>
      <c r="F217" s="4">
        <f t="shared" si="4"/>
        <v>8232.2687000000005</v>
      </c>
      <c r="G217" s="4">
        <f t="shared" si="8"/>
        <v>51559.998700000004</v>
      </c>
      <c r="H217" s="1">
        <f t="shared" si="9"/>
        <v>5</v>
      </c>
      <c r="I217" s="1">
        <f t="shared" si="10"/>
        <v>2022</v>
      </c>
      <c r="J217" s="4"/>
      <c r="K217" s="1" t="s">
        <v>87</v>
      </c>
    </row>
    <row r="218" spans="1:12">
      <c r="A218" s="1" t="s">
        <v>187</v>
      </c>
      <c r="B218" s="7">
        <v>44709</v>
      </c>
      <c r="C218" s="1" t="s">
        <v>39</v>
      </c>
      <c r="E218" s="4">
        <v>4201.68</v>
      </c>
      <c r="F218" s="4">
        <f t="shared" si="4"/>
        <v>798.31920000000002</v>
      </c>
      <c r="G218" s="4">
        <f t="shared" si="8"/>
        <v>4999.9992000000002</v>
      </c>
      <c r="H218" s="1">
        <f t="shared" si="9"/>
        <v>5</v>
      </c>
      <c r="I218" s="1">
        <f t="shared" si="10"/>
        <v>2022</v>
      </c>
      <c r="J218" s="4"/>
      <c r="K218" s="1" t="s">
        <v>87</v>
      </c>
    </row>
    <row r="219" spans="1:12">
      <c r="A219" s="1" t="s">
        <v>166</v>
      </c>
      <c r="B219" s="7">
        <v>44711</v>
      </c>
      <c r="C219" s="1" t="s">
        <v>12</v>
      </c>
      <c r="D219" s="1">
        <v>33187</v>
      </c>
      <c r="E219" s="4">
        <v>10970</v>
      </c>
      <c r="F219" s="4">
        <f t="shared" si="4"/>
        <v>2084.3000000000002</v>
      </c>
      <c r="G219" s="4">
        <f t="shared" si="8"/>
        <v>13054.3</v>
      </c>
      <c r="H219" s="1">
        <f t="shared" si="9"/>
        <v>5</v>
      </c>
      <c r="I219" s="1">
        <f t="shared" si="10"/>
        <v>2022</v>
      </c>
      <c r="J219" s="4"/>
      <c r="K219" s="1" t="s">
        <v>87</v>
      </c>
    </row>
    <row r="220" spans="1:12">
      <c r="A220" s="1" t="s">
        <v>188</v>
      </c>
      <c r="B220" s="7">
        <v>44711</v>
      </c>
      <c r="C220" s="1" t="s">
        <v>12</v>
      </c>
      <c r="D220" s="1">
        <v>2048349</v>
      </c>
      <c r="E220" s="4">
        <v>8705.8799999999992</v>
      </c>
      <c r="F220" s="4">
        <f t="shared" si="4"/>
        <v>1654.1171999999999</v>
      </c>
      <c r="G220" s="4">
        <f t="shared" si="8"/>
        <v>10359.9972</v>
      </c>
      <c r="H220" s="1">
        <f t="shared" si="9"/>
        <v>5</v>
      </c>
      <c r="I220" s="1">
        <f t="shared" si="10"/>
        <v>2022</v>
      </c>
      <c r="J220" s="4"/>
      <c r="K220" s="1" t="s">
        <v>87</v>
      </c>
    </row>
    <row r="221" spans="1:12">
      <c r="A221" s="1" t="s">
        <v>189</v>
      </c>
      <c r="B221" s="7">
        <v>44714</v>
      </c>
      <c r="C221" s="1"/>
      <c r="D221" s="1">
        <v>568</v>
      </c>
      <c r="E221" s="4">
        <v>75546.217999999993</v>
      </c>
      <c r="F221" s="4">
        <f t="shared" si="4"/>
        <v>14353.781419999999</v>
      </c>
      <c r="G221" s="4">
        <f t="shared" si="8"/>
        <v>89899.999419999993</v>
      </c>
      <c r="H221" s="1">
        <f t="shared" si="9"/>
        <v>6</v>
      </c>
      <c r="I221" s="1">
        <f t="shared" si="10"/>
        <v>2022</v>
      </c>
      <c r="J221" s="4"/>
      <c r="K221" s="1" t="s">
        <v>87</v>
      </c>
    </row>
    <row r="222" spans="1:12">
      <c r="A222" s="1" t="s">
        <v>190</v>
      </c>
      <c r="B222" s="7">
        <v>44714</v>
      </c>
      <c r="C222" s="1" t="s">
        <v>12</v>
      </c>
      <c r="D222" s="1">
        <v>23949</v>
      </c>
      <c r="E222" s="4">
        <v>13278</v>
      </c>
      <c r="F222" s="4">
        <f t="shared" si="4"/>
        <v>2522.8200000000002</v>
      </c>
      <c r="G222" s="4">
        <f t="shared" si="8"/>
        <v>15800.82</v>
      </c>
      <c r="H222" s="1">
        <f t="shared" si="9"/>
        <v>6</v>
      </c>
      <c r="I222" s="1">
        <f t="shared" si="10"/>
        <v>2022</v>
      </c>
      <c r="J222" s="4"/>
      <c r="K222" s="1" t="s">
        <v>87</v>
      </c>
    </row>
    <row r="223" spans="1:12">
      <c r="A223" s="1" t="s">
        <v>191</v>
      </c>
      <c r="B223" s="7">
        <v>44715</v>
      </c>
      <c r="C223" s="1"/>
      <c r="E223" s="4">
        <v>868.90700000000004</v>
      </c>
      <c r="F223" s="4">
        <f t="shared" si="4"/>
        <v>165.09233</v>
      </c>
      <c r="G223" s="4">
        <f t="shared" si="8"/>
        <v>1033.9993300000001</v>
      </c>
      <c r="H223" s="1">
        <f t="shared" si="9"/>
        <v>6</v>
      </c>
      <c r="I223" s="1">
        <f t="shared" si="10"/>
        <v>2022</v>
      </c>
      <c r="J223" s="4"/>
      <c r="K223" s="1"/>
    </row>
    <row r="224" spans="1:12">
      <c r="A224" s="1" t="s">
        <v>192</v>
      </c>
      <c r="B224" s="7">
        <v>44715</v>
      </c>
      <c r="C224" s="1" t="s">
        <v>12</v>
      </c>
      <c r="D224" s="1">
        <v>195755</v>
      </c>
      <c r="E224" s="4">
        <v>8764.7049999999999</v>
      </c>
      <c r="F224" s="4">
        <f t="shared" si="4"/>
        <v>1665.29395</v>
      </c>
      <c r="G224" s="4">
        <f t="shared" si="8"/>
        <v>10429.998949999999</v>
      </c>
      <c r="H224" s="1">
        <f t="shared" si="9"/>
        <v>6</v>
      </c>
      <c r="I224" s="1">
        <f t="shared" si="10"/>
        <v>2022</v>
      </c>
      <c r="J224" s="4"/>
      <c r="K224" s="1" t="s">
        <v>87</v>
      </c>
    </row>
    <row r="225" spans="1:11">
      <c r="A225" s="1" t="s">
        <v>193</v>
      </c>
      <c r="B225" s="7">
        <v>44719</v>
      </c>
      <c r="C225" s="1" t="s">
        <v>12</v>
      </c>
      <c r="D225" s="1">
        <v>47174</v>
      </c>
      <c r="E225" s="4">
        <v>29922.68</v>
      </c>
      <c r="F225" s="4">
        <f t="shared" si="4"/>
        <v>5685.3091999999997</v>
      </c>
      <c r="G225" s="4">
        <f t="shared" si="8"/>
        <v>35607.989199999996</v>
      </c>
      <c r="H225" s="1">
        <f t="shared" si="9"/>
        <v>6</v>
      </c>
      <c r="I225" s="1">
        <f t="shared" si="10"/>
        <v>2022</v>
      </c>
      <c r="J225" s="4"/>
      <c r="K225" s="1" t="s">
        <v>87</v>
      </c>
    </row>
    <row r="226" spans="1:11">
      <c r="A226" s="1" t="s">
        <v>182</v>
      </c>
      <c r="B226" s="7">
        <v>44719</v>
      </c>
      <c r="C226" s="1" t="s">
        <v>12</v>
      </c>
      <c r="D226" s="1">
        <v>2648</v>
      </c>
      <c r="E226" s="4">
        <v>33605.040000000001</v>
      </c>
      <c r="F226" s="4">
        <f t="shared" si="4"/>
        <v>6384.9576000000006</v>
      </c>
      <c r="G226" s="4">
        <f t="shared" si="8"/>
        <v>39989.997600000002</v>
      </c>
      <c r="H226" s="1">
        <f t="shared" si="9"/>
        <v>6</v>
      </c>
      <c r="I226" s="1">
        <f t="shared" si="10"/>
        <v>2022</v>
      </c>
      <c r="J226" s="4"/>
      <c r="K226" s="1" t="s">
        <v>87</v>
      </c>
    </row>
    <row r="227" spans="1:11">
      <c r="A227" s="1" t="s">
        <v>194</v>
      </c>
      <c r="B227" s="7">
        <v>44713</v>
      </c>
      <c r="C227" s="1" t="s">
        <v>12</v>
      </c>
      <c r="D227" s="1">
        <v>1504487</v>
      </c>
      <c r="E227" s="4">
        <v>10795</v>
      </c>
      <c r="F227" s="4">
        <f t="shared" si="4"/>
        <v>2051.0500000000002</v>
      </c>
      <c r="G227" s="4">
        <f t="shared" si="8"/>
        <v>12846.05</v>
      </c>
      <c r="H227" s="1">
        <f t="shared" si="9"/>
        <v>6</v>
      </c>
      <c r="I227" s="1">
        <f t="shared" si="10"/>
        <v>2022</v>
      </c>
      <c r="J227" s="4"/>
      <c r="K227" s="1" t="s">
        <v>87</v>
      </c>
    </row>
    <row r="228" spans="1:11">
      <c r="A228" s="1" t="s">
        <v>195</v>
      </c>
      <c r="B228" s="7">
        <v>44716</v>
      </c>
      <c r="C228" s="1" t="s">
        <v>39</v>
      </c>
      <c r="D228" s="1">
        <v>659981692</v>
      </c>
      <c r="E228" s="4">
        <v>13328</v>
      </c>
      <c r="F228" s="4">
        <f t="shared" si="4"/>
        <v>2532.3200000000002</v>
      </c>
      <c r="G228" s="4">
        <f t="shared" si="8"/>
        <v>15860.32</v>
      </c>
      <c r="H228" s="1">
        <f t="shared" si="9"/>
        <v>6</v>
      </c>
      <c r="I228" s="1">
        <f t="shared" si="10"/>
        <v>2022</v>
      </c>
      <c r="J228" s="4"/>
      <c r="K228" s="1" t="s">
        <v>87</v>
      </c>
    </row>
    <row r="229" spans="1:11">
      <c r="A229" s="1" t="s">
        <v>196</v>
      </c>
      <c r="B229" s="7">
        <v>44722</v>
      </c>
      <c r="C229" s="1" t="s">
        <v>12</v>
      </c>
      <c r="D229" s="1">
        <v>48156</v>
      </c>
      <c r="E229" s="4">
        <v>27000</v>
      </c>
      <c r="F229" s="4">
        <f t="shared" si="4"/>
        <v>5130</v>
      </c>
      <c r="G229" s="4">
        <f t="shared" si="8"/>
        <v>32130</v>
      </c>
      <c r="H229" s="1">
        <f t="shared" si="9"/>
        <v>6</v>
      </c>
      <c r="I229" s="1">
        <f t="shared" si="10"/>
        <v>2022</v>
      </c>
      <c r="J229" s="4"/>
      <c r="K229" s="1" t="s">
        <v>87</v>
      </c>
    </row>
    <row r="230" spans="1:11">
      <c r="A230" s="1" t="s">
        <v>197</v>
      </c>
      <c r="B230" s="7">
        <v>44725</v>
      </c>
      <c r="C230" s="1" t="s">
        <v>12</v>
      </c>
      <c r="D230" s="1">
        <v>895930</v>
      </c>
      <c r="E230" s="4">
        <v>1202.52</v>
      </c>
      <c r="F230" s="4">
        <f t="shared" si="4"/>
        <v>228.47880000000001</v>
      </c>
      <c r="G230" s="4">
        <f t="shared" si="8"/>
        <v>1430.9988000000001</v>
      </c>
      <c r="H230" s="1">
        <f t="shared" si="9"/>
        <v>6</v>
      </c>
      <c r="I230" s="1">
        <f t="shared" si="10"/>
        <v>2022</v>
      </c>
      <c r="J230" s="4"/>
      <c r="K230" s="1" t="s">
        <v>87</v>
      </c>
    </row>
    <row r="231" spans="1:11">
      <c r="A231" s="1" t="s">
        <v>198</v>
      </c>
      <c r="B231" s="7">
        <v>44725</v>
      </c>
      <c r="C231" s="1" t="s">
        <v>12</v>
      </c>
      <c r="D231" s="1">
        <v>2063230</v>
      </c>
      <c r="E231" s="4">
        <v>24664</v>
      </c>
      <c r="F231" s="4">
        <f t="shared" si="4"/>
        <v>4686.16</v>
      </c>
      <c r="G231" s="4">
        <f t="shared" si="8"/>
        <v>29350.16</v>
      </c>
      <c r="H231" s="1">
        <f t="shared" si="9"/>
        <v>6</v>
      </c>
      <c r="I231" s="1">
        <f t="shared" si="10"/>
        <v>2022</v>
      </c>
      <c r="J231" s="4"/>
      <c r="K231" s="1" t="s">
        <v>87</v>
      </c>
    </row>
    <row r="232" spans="1:11">
      <c r="A232" s="1" t="s">
        <v>186</v>
      </c>
      <c r="B232" s="7">
        <v>44727</v>
      </c>
      <c r="C232" s="1" t="s">
        <v>12</v>
      </c>
      <c r="D232" s="1">
        <v>64</v>
      </c>
      <c r="E232" s="4">
        <v>404201.68</v>
      </c>
      <c r="F232" s="4">
        <f t="shared" si="4"/>
        <v>76798.319199999998</v>
      </c>
      <c r="G232" s="4">
        <f t="shared" si="8"/>
        <v>480999.99919999996</v>
      </c>
      <c r="H232" s="1">
        <f t="shared" si="9"/>
        <v>6</v>
      </c>
      <c r="I232" s="1">
        <f t="shared" si="10"/>
        <v>2022</v>
      </c>
      <c r="J232" s="4"/>
      <c r="K232" s="1" t="s">
        <v>87</v>
      </c>
    </row>
    <row r="233" spans="1:11">
      <c r="A233" s="1" t="s">
        <v>199</v>
      </c>
      <c r="B233" s="7">
        <v>44728</v>
      </c>
      <c r="C233" s="1" t="s">
        <v>39</v>
      </c>
      <c r="E233" s="4">
        <v>4202</v>
      </c>
      <c r="F233" s="4">
        <f t="shared" si="4"/>
        <v>798.38</v>
      </c>
      <c r="G233" s="4">
        <f t="shared" si="8"/>
        <v>5000.38</v>
      </c>
      <c r="H233" s="1">
        <f t="shared" si="9"/>
        <v>6</v>
      </c>
      <c r="I233" s="1">
        <f t="shared" si="10"/>
        <v>2022</v>
      </c>
      <c r="J233" s="4"/>
      <c r="K233" s="1" t="s">
        <v>87</v>
      </c>
    </row>
    <row r="234" spans="1:11">
      <c r="A234" s="1" t="s">
        <v>200</v>
      </c>
      <c r="B234" s="7">
        <v>44737</v>
      </c>
      <c r="C234" s="1" t="s">
        <v>39</v>
      </c>
      <c r="E234" s="4">
        <v>5034</v>
      </c>
      <c r="F234" s="4">
        <f t="shared" si="4"/>
        <v>956.46</v>
      </c>
      <c r="G234" s="4">
        <f t="shared" si="8"/>
        <v>5990.46</v>
      </c>
      <c r="H234" s="1">
        <f t="shared" si="9"/>
        <v>6</v>
      </c>
      <c r="I234" s="1">
        <f t="shared" si="10"/>
        <v>2022</v>
      </c>
      <c r="J234" s="4"/>
      <c r="K234" s="1" t="s">
        <v>87</v>
      </c>
    </row>
    <row r="235" spans="1:11">
      <c r="A235" s="1" t="s">
        <v>175</v>
      </c>
      <c r="B235" s="7">
        <v>44748</v>
      </c>
      <c r="C235" s="1" t="s">
        <v>12</v>
      </c>
      <c r="D235" s="1">
        <v>2477</v>
      </c>
      <c r="E235" s="4">
        <v>72588.23</v>
      </c>
      <c r="F235" s="4">
        <f t="shared" si="4"/>
        <v>13791.7637</v>
      </c>
      <c r="G235" s="4">
        <f t="shared" si="8"/>
        <v>86379.993699999992</v>
      </c>
      <c r="H235" s="1">
        <f t="shared" si="9"/>
        <v>7</v>
      </c>
      <c r="I235" s="1">
        <f t="shared" si="10"/>
        <v>2022</v>
      </c>
      <c r="J235" s="4"/>
      <c r="K235" s="1" t="s">
        <v>87</v>
      </c>
    </row>
    <row r="236" spans="1:11">
      <c r="A236" s="1" t="s">
        <v>201</v>
      </c>
      <c r="B236" s="7">
        <v>44755</v>
      </c>
      <c r="C236" s="1" t="s">
        <v>12</v>
      </c>
      <c r="D236" s="1">
        <v>439</v>
      </c>
      <c r="E236" s="4">
        <v>26537.81</v>
      </c>
      <c r="F236" s="4">
        <f t="shared" si="4"/>
        <v>5042.1839</v>
      </c>
      <c r="G236" s="4">
        <f t="shared" si="8"/>
        <v>31579.993900000001</v>
      </c>
      <c r="H236" s="1">
        <f t="shared" si="9"/>
        <v>7</v>
      </c>
      <c r="I236" s="1">
        <f t="shared" si="10"/>
        <v>2022</v>
      </c>
      <c r="J236" s="4"/>
      <c r="K236" s="1" t="s">
        <v>87</v>
      </c>
    </row>
    <row r="237" spans="1:11">
      <c r="A237" s="1" t="s">
        <v>202</v>
      </c>
      <c r="B237" s="7">
        <v>44756</v>
      </c>
      <c r="C237" s="1" t="s">
        <v>12</v>
      </c>
      <c r="D237" s="1">
        <v>925151</v>
      </c>
      <c r="E237" s="4">
        <v>550.41999999999996</v>
      </c>
      <c r="F237" s="4">
        <f t="shared" si="4"/>
        <v>104.57979999999999</v>
      </c>
      <c r="G237" s="4">
        <f t="shared" si="8"/>
        <v>654.99979999999994</v>
      </c>
      <c r="H237" s="1">
        <f t="shared" si="9"/>
        <v>7</v>
      </c>
      <c r="I237" s="1">
        <f t="shared" si="10"/>
        <v>2022</v>
      </c>
      <c r="J237" s="4"/>
      <c r="K237" s="1" t="s">
        <v>87</v>
      </c>
    </row>
    <row r="238" spans="1:11">
      <c r="A238" s="1" t="s">
        <v>203</v>
      </c>
      <c r="B238" s="7">
        <v>44735</v>
      </c>
      <c r="C238" s="1" t="s">
        <v>12</v>
      </c>
      <c r="D238" s="1">
        <v>34325160</v>
      </c>
      <c r="E238" s="4">
        <v>19608</v>
      </c>
      <c r="F238" s="4">
        <f t="shared" si="4"/>
        <v>3725.52</v>
      </c>
      <c r="G238" s="4">
        <f t="shared" si="8"/>
        <v>23333.52</v>
      </c>
      <c r="H238" s="1">
        <f t="shared" si="9"/>
        <v>6</v>
      </c>
      <c r="I238" s="1">
        <f t="shared" si="10"/>
        <v>2022</v>
      </c>
      <c r="J238" s="4"/>
      <c r="K238" s="1" t="s">
        <v>87</v>
      </c>
    </row>
    <row r="239" spans="1:11">
      <c r="A239" s="1" t="s">
        <v>166</v>
      </c>
      <c r="B239" s="7">
        <v>44740</v>
      </c>
      <c r="C239" s="1" t="s">
        <v>12</v>
      </c>
      <c r="D239" s="1">
        <v>34633</v>
      </c>
      <c r="E239" s="4">
        <v>11112.6</v>
      </c>
      <c r="F239" s="4">
        <f t="shared" si="4"/>
        <v>2111.3940000000002</v>
      </c>
      <c r="G239" s="4">
        <f t="shared" si="8"/>
        <v>13223.994000000001</v>
      </c>
      <c r="H239" s="1">
        <f t="shared" si="9"/>
        <v>6</v>
      </c>
      <c r="I239" s="1">
        <f t="shared" si="10"/>
        <v>2022</v>
      </c>
      <c r="J239" s="4"/>
      <c r="K239" s="1" t="s">
        <v>87</v>
      </c>
    </row>
    <row r="240" spans="1:11">
      <c r="A240" s="1" t="s">
        <v>204</v>
      </c>
      <c r="B240" s="7">
        <v>44756</v>
      </c>
      <c r="C240" s="1"/>
      <c r="E240" s="4">
        <v>390.75599999999997</v>
      </c>
      <c r="F240" s="4">
        <f t="shared" si="4"/>
        <v>74.243639999999999</v>
      </c>
      <c r="G240" s="4">
        <f t="shared" si="8"/>
        <v>464.99964</v>
      </c>
      <c r="H240" s="1">
        <f t="shared" si="9"/>
        <v>7</v>
      </c>
      <c r="I240" s="1">
        <f t="shared" si="10"/>
        <v>2022</v>
      </c>
      <c r="J240" s="4"/>
      <c r="K240" s="1" t="s">
        <v>87</v>
      </c>
    </row>
    <row r="241" spans="1:11">
      <c r="A241" s="1" t="s">
        <v>205</v>
      </c>
      <c r="B241" s="7">
        <v>44757</v>
      </c>
      <c r="C241" s="1" t="s">
        <v>12</v>
      </c>
      <c r="D241" s="1">
        <v>24782</v>
      </c>
      <c r="E241" s="4">
        <v>16806.72</v>
      </c>
      <c r="F241" s="4">
        <f t="shared" si="4"/>
        <v>3193.2768000000001</v>
      </c>
      <c r="G241" s="4">
        <f t="shared" si="8"/>
        <v>19999.996800000001</v>
      </c>
      <c r="H241" s="1">
        <f t="shared" si="9"/>
        <v>7</v>
      </c>
      <c r="I241" s="1">
        <f t="shared" si="10"/>
        <v>2022</v>
      </c>
      <c r="J241" s="4"/>
      <c r="K241" s="1" t="s">
        <v>87</v>
      </c>
    </row>
    <row r="242" spans="1:11">
      <c r="A242" s="1" t="s">
        <v>206</v>
      </c>
      <c r="B242" s="7">
        <v>44757</v>
      </c>
      <c r="C242" s="1" t="s">
        <v>12</v>
      </c>
      <c r="D242" s="1">
        <v>24783</v>
      </c>
      <c r="E242" s="4">
        <v>20000</v>
      </c>
      <c r="F242" s="4">
        <f t="shared" si="4"/>
        <v>3800</v>
      </c>
      <c r="G242" s="4">
        <f t="shared" si="8"/>
        <v>23800</v>
      </c>
      <c r="H242" s="1">
        <f t="shared" si="9"/>
        <v>7</v>
      </c>
      <c r="I242" s="1">
        <f t="shared" si="10"/>
        <v>2022</v>
      </c>
      <c r="J242" s="4"/>
      <c r="K242" s="1" t="s">
        <v>87</v>
      </c>
    </row>
    <row r="243" spans="1:11">
      <c r="A243" s="1" t="s">
        <v>175</v>
      </c>
      <c r="B243" s="7">
        <v>44769</v>
      </c>
      <c r="C243" s="1" t="s">
        <v>12</v>
      </c>
      <c r="E243" s="4">
        <v>62218.48</v>
      </c>
      <c r="F243" s="4">
        <f t="shared" si="4"/>
        <v>11821.511200000001</v>
      </c>
      <c r="G243" s="4">
        <f t="shared" si="8"/>
        <v>74039.991200000004</v>
      </c>
      <c r="H243" s="1">
        <f t="shared" si="9"/>
        <v>7</v>
      </c>
      <c r="I243" s="1">
        <f t="shared" si="10"/>
        <v>2022</v>
      </c>
      <c r="J243" s="4"/>
      <c r="K243" s="1" t="s">
        <v>87</v>
      </c>
    </row>
    <row r="244" spans="1:11">
      <c r="A244" s="1" t="s">
        <v>166</v>
      </c>
      <c r="B244" s="7">
        <v>44770</v>
      </c>
      <c r="C244" s="1" t="s">
        <v>12</v>
      </c>
      <c r="D244" s="1">
        <v>36058</v>
      </c>
      <c r="E244" s="4">
        <v>11220.168</v>
      </c>
      <c r="F244" s="4">
        <f t="shared" si="4"/>
        <v>2131.8319200000001</v>
      </c>
      <c r="G244" s="4">
        <f t="shared" si="8"/>
        <v>13351.99992</v>
      </c>
      <c r="H244" s="1">
        <f t="shared" si="9"/>
        <v>7</v>
      </c>
      <c r="I244" s="1">
        <f t="shared" si="10"/>
        <v>2022</v>
      </c>
      <c r="J244" s="4"/>
      <c r="K244" s="1" t="s">
        <v>87</v>
      </c>
    </row>
    <row r="245" spans="1:11">
      <c r="A245" s="1" t="s">
        <v>175</v>
      </c>
      <c r="B245" s="7">
        <v>44781</v>
      </c>
      <c r="C245" s="1" t="s">
        <v>12</v>
      </c>
      <c r="D245" s="1">
        <v>2670</v>
      </c>
      <c r="E245" s="4">
        <v>98243.69</v>
      </c>
      <c r="F245" s="4">
        <f t="shared" si="4"/>
        <v>18666.301100000001</v>
      </c>
      <c r="G245" s="4">
        <f t="shared" si="8"/>
        <v>116909.9911</v>
      </c>
      <c r="H245" s="1">
        <f t="shared" si="9"/>
        <v>8</v>
      </c>
      <c r="I245" s="1">
        <f t="shared" si="10"/>
        <v>2022</v>
      </c>
      <c r="J245" s="4"/>
      <c r="K245" s="1" t="s">
        <v>87</v>
      </c>
    </row>
    <row r="246" spans="1:11">
      <c r="A246" s="1" t="s">
        <v>203</v>
      </c>
      <c r="B246" s="7">
        <v>44757</v>
      </c>
      <c r="C246" s="1" t="s">
        <v>12</v>
      </c>
      <c r="D246" s="1">
        <v>34546081</v>
      </c>
      <c r="E246" s="4">
        <v>19852</v>
      </c>
      <c r="F246" s="4">
        <f t="shared" si="4"/>
        <v>3771.88</v>
      </c>
      <c r="G246" s="4">
        <f t="shared" si="8"/>
        <v>23623.88</v>
      </c>
      <c r="H246" s="1">
        <f t="shared" si="9"/>
        <v>7</v>
      </c>
      <c r="I246" s="1">
        <f t="shared" si="10"/>
        <v>2022</v>
      </c>
      <c r="J246" s="4"/>
      <c r="K246" s="1" t="s">
        <v>87</v>
      </c>
    </row>
    <row r="247" spans="1:11">
      <c r="A247" s="1" t="s">
        <v>207</v>
      </c>
      <c r="B247" s="7">
        <v>44782</v>
      </c>
      <c r="C247" s="1"/>
      <c r="E247" s="4">
        <v>431.93</v>
      </c>
      <c r="F247" s="4">
        <f t="shared" si="4"/>
        <v>82.066699999999997</v>
      </c>
      <c r="G247" s="4">
        <f t="shared" si="8"/>
        <v>513.99670000000003</v>
      </c>
      <c r="H247" s="1">
        <f t="shared" si="9"/>
        <v>8</v>
      </c>
      <c r="I247" s="1">
        <f t="shared" si="10"/>
        <v>2022</v>
      </c>
      <c r="J247" s="4"/>
      <c r="K247" s="1"/>
    </row>
    <row r="248" spans="1:11">
      <c r="A248" s="1" t="s">
        <v>208</v>
      </c>
      <c r="B248" s="7">
        <v>44782</v>
      </c>
      <c r="C248" s="1" t="s">
        <v>12</v>
      </c>
      <c r="D248" s="1">
        <v>25256</v>
      </c>
      <c r="E248" s="4">
        <v>4622</v>
      </c>
      <c r="F248" s="4">
        <f t="shared" si="4"/>
        <v>878.18000000000006</v>
      </c>
      <c r="G248" s="4">
        <f t="shared" si="8"/>
        <v>5500.18</v>
      </c>
      <c r="H248" s="1">
        <f t="shared" si="9"/>
        <v>8</v>
      </c>
      <c r="I248" s="1">
        <f t="shared" si="10"/>
        <v>2022</v>
      </c>
      <c r="J248" s="4"/>
      <c r="K248" s="1" t="s">
        <v>87</v>
      </c>
    </row>
    <row r="249" spans="1:11">
      <c r="A249" s="1" t="s">
        <v>209</v>
      </c>
      <c r="B249" s="7">
        <v>44782</v>
      </c>
      <c r="C249" s="1" t="s">
        <v>12</v>
      </c>
      <c r="D249" s="1">
        <v>71133</v>
      </c>
      <c r="E249" s="4">
        <v>5042</v>
      </c>
      <c r="F249" s="4">
        <f t="shared" si="4"/>
        <v>957.98</v>
      </c>
      <c r="G249" s="4">
        <f t="shared" si="8"/>
        <v>5999.98</v>
      </c>
      <c r="H249" s="1">
        <f t="shared" si="9"/>
        <v>8</v>
      </c>
      <c r="I249" s="1">
        <f t="shared" si="10"/>
        <v>2022</v>
      </c>
      <c r="J249" s="4"/>
      <c r="K249" s="1" t="s">
        <v>87</v>
      </c>
    </row>
    <row r="250" spans="1:11">
      <c r="A250" s="1" t="s">
        <v>210</v>
      </c>
      <c r="B250" s="7">
        <v>44786</v>
      </c>
      <c r="C250" s="1" t="s">
        <v>12</v>
      </c>
      <c r="D250" s="1">
        <v>25356</v>
      </c>
      <c r="E250" s="4">
        <v>8655</v>
      </c>
      <c r="F250" s="4">
        <f t="shared" si="4"/>
        <v>1644.45</v>
      </c>
      <c r="G250" s="4">
        <f t="shared" si="8"/>
        <v>10299.450000000001</v>
      </c>
      <c r="H250" s="1">
        <f t="shared" si="9"/>
        <v>8</v>
      </c>
      <c r="I250" s="1">
        <f t="shared" si="10"/>
        <v>2022</v>
      </c>
      <c r="J250" s="4"/>
      <c r="K250" s="1" t="s">
        <v>87</v>
      </c>
    </row>
    <row r="251" spans="1:11">
      <c r="A251" s="1" t="s">
        <v>211</v>
      </c>
      <c r="B251" s="7">
        <v>44790</v>
      </c>
      <c r="C251" s="1"/>
      <c r="E251" s="4">
        <v>6302.52</v>
      </c>
      <c r="F251" s="4">
        <f t="shared" si="4"/>
        <v>1197.4788000000001</v>
      </c>
      <c r="G251" s="4">
        <f t="shared" si="8"/>
        <v>7499.9988000000003</v>
      </c>
      <c r="H251" s="1">
        <f t="shared" si="9"/>
        <v>8</v>
      </c>
      <c r="I251" s="1">
        <f t="shared" si="10"/>
        <v>2022</v>
      </c>
      <c r="J251" s="4"/>
      <c r="K251" s="1" t="s">
        <v>87</v>
      </c>
    </row>
    <row r="252" spans="1:11">
      <c r="A252" s="1" t="s">
        <v>14</v>
      </c>
      <c r="B252" s="7">
        <v>44791</v>
      </c>
      <c r="C252" s="1" t="s">
        <v>12</v>
      </c>
      <c r="D252" s="1">
        <v>37214</v>
      </c>
      <c r="E252" s="4">
        <v>273100</v>
      </c>
      <c r="F252" s="4">
        <f t="shared" si="4"/>
        <v>51889</v>
      </c>
      <c r="G252" s="4">
        <f t="shared" si="8"/>
        <v>324989</v>
      </c>
      <c r="H252" s="1">
        <f t="shared" si="9"/>
        <v>8</v>
      </c>
      <c r="I252" s="1">
        <f t="shared" si="10"/>
        <v>2022</v>
      </c>
      <c r="J252" s="4"/>
      <c r="K252" s="1" t="s">
        <v>87</v>
      </c>
    </row>
    <row r="253" spans="1:11">
      <c r="A253" s="1" t="s">
        <v>212</v>
      </c>
      <c r="B253" s="7">
        <v>44790</v>
      </c>
      <c r="C253" s="1" t="s">
        <v>12</v>
      </c>
      <c r="D253" s="1">
        <v>1655878</v>
      </c>
      <c r="E253" s="4">
        <v>175656</v>
      </c>
      <c r="F253" s="4">
        <f t="shared" si="4"/>
        <v>33374.639999999999</v>
      </c>
      <c r="G253" s="4">
        <f t="shared" si="8"/>
        <v>209030.64</v>
      </c>
      <c r="H253" s="1">
        <f t="shared" si="9"/>
        <v>8</v>
      </c>
      <c r="I253" s="1">
        <f t="shared" si="10"/>
        <v>2022</v>
      </c>
      <c r="J253" s="4"/>
      <c r="K253" s="1" t="s">
        <v>87</v>
      </c>
    </row>
    <row r="254" spans="1:11">
      <c r="A254" s="1" t="s">
        <v>28</v>
      </c>
      <c r="B254" s="7">
        <v>44792</v>
      </c>
      <c r="C254" s="1" t="s">
        <v>12</v>
      </c>
      <c r="D254" s="1">
        <v>6344536</v>
      </c>
      <c r="E254" s="4">
        <v>11866</v>
      </c>
      <c r="F254" s="4">
        <f t="shared" si="4"/>
        <v>2254.54</v>
      </c>
      <c r="G254" s="4">
        <f t="shared" si="8"/>
        <v>14120.54</v>
      </c>
      <c r="H254" s="1">
        <f t="shared" si="9"/>
        <v>8</v>
      </c>
      <c r="I254" s="1">
        <f t="shared" si="10"/>
        <v>2022</v>
      </c>
      <c r="J254" s="4"/>
      <c r="K254" s="1" t="s">
        <v>87</v>
      </c>
    </row>
    <row r="255" spans="1:11">
      <c r="A255" s="1" t="s">
        <v>175</v>
      </c>
      <c r="B255" s="7">
        <v>44795</v>
      </c>
      <c r="C255" s="1" t="s">
        <v>12</v>
      </c>
      <c r="D255" s="1">
        <v>2748</v>
      </c>
      <c r="E255" s="4">
        <v>54579.83</v>
      </c>
      <c r="F255" s="4">
        <f t="shared" si="4"/>
        <v>10370.1677</v>
      </c>
      <c r="G255" s="4">
        <f t="shared" si="8"/>
        <v>64949.9977</v>
      </c>
      <c r="H255" s="1">
        <f t="shared" si="9"/>
        <v>8</v>
      </c>
      <c r="I255" s="1">
        <f t="shared" si="10"/>
        <v>2022</v>
      </c>
      <c r="J255" s="4"/>
      <c r="K255" s="1" t="s">
        <v>87</v>
      </c>
    </row>
    <row r="256" spans="1:11">
      <c r="A256" s="1" t="s">
        <v>166</v>
      </c>
      <c r="B256" s="7">
        <v>44802</v>
      </c>
      <c r="C256" s="1" t="s">
        <v>12</v>
      </c>
      <c r="D256" s="1">
        <v>37570</v>
      </c>
      <c r="E256" s="4">
        <v>11358</v>
      </c>
      <c r="F256" s="4">
        <f t="shared" si="4"/>
        <v>2158.02</v>
      </c>
      <c r="G256" s="4">
        <f t="shared" si="8"/>
        <v>13516.02</v>
      </c>
      <c r="H256" s="1">
        <f t="shared" si="9"/>
        <v>8</v>
      </c>
      <c r="I256" s="1">
        <f t="shared" si="10"/>
        <v>2022</v>
      </c>
      <c r="J256" s="4"/>
      <c r="K256" s="1" t="s">
        <v>87</v>
      </c>
    </row>
    <row r="257" spans="1:11">
      <c r="A257" s="1" t="s">
        <v>59</v>
      </c>
      <c r="B257" s="7">
        <v>44804</v>
      </c>
      <c r="C257" s="1" t="s">
        <v>12</v>
      </c>
      <c r="D257" s="1">
        <v>25711</v>
      </c>
      <c r="E257" s="4">
        <v>13361.343999999999</v>
      </c>
      <c r="F257" s="4">
        <f t="shared" si="4"/>
        <v>2538.6553599999997</v>
      </c>
      <c r="G257" s="4">
        <f t="shared" si="8"/>
        <v>15899.999359999998</v>
      </c>
      <c r="H257" s="1">
        <f t="shared" si="9"/>
        <v>8</v>
      </c>
      <c r="I257" s="1">
        <f t="shared" si="10"/>
        <v>2022</v>
      </c>
      <c r="J257" s="4"/>
      <c r="K257" s="1" t="s">
        <v>87</v>
      </c>
    </row>
    <row r="258" spans="1:11">
      <c r="A258" s="1" t="s">
        <v>95</v>
      </c>
      <c r="B258" s="7">
        <v>44807</v>
      </c>
      <c r="C258" s="1" t="s">
        <v>12</v>
      </c>
      <c r="D258" s="1">
        <v>2137725</v>
      </c>
      <c r="E258" s="4">
        <v>13916</v>
      </c>
      <c r="F258" s="4">
        <f t="shared" si="4"/>
        <v>2644.04</v>
      </c>
      <c r="G258" s="4">
        <f t="shared" si="8"/>
        <v>16560.04</v>
      </c>
      <c r="H258" s="1">
        <f t="shared" si="9"/>
        <v>9</v>
      </c>
      <c r="I258" s="1">
        <f t="shared" si="10"/>
        <v>2022</v>
      </c>
      <c r="J258" s="4"/>
      <c r="K258" s="1" t="s">
        <v>87</v>
      </c>
    </row>
    <row r="259" spans="1:11">
      <c r="A259" s="1" t="s">
        <v>103</v>
      </c>
      <c r="B259" s="7">
        <v>44811</v>
      </c>
      <c r="C259" s="1" t="s">
        <v>12</v>
      </c>
      <c r="D259" s="1">
        <v>258961</v>
      </c>
      <c r="E259" s="4">
        <v>106630</v>
      </c>
      <c r="F259" s="4">
        <f t="shared" si="4"/>
        <v>20259.7</v>
      </c>
      <c r="G259" s="4">
        <f t="shared" si="8"/>
        <v>126889.7</v>
      </c>
      <c r="H259" s="1">
        <f t="shared" si="9"/>
        <v>9</v>
      </c>
      <c r="I259" s="1">
        <f t="shared" si="10"/>
        <v>2022</v>
      </c>
      <c r="J259" s="4"/>
      <c r="K259" s="1" t="s">
        <v>87</v>
      </c>
    </row>
    <row r="260" spans="1:11">
      <c r="A260" s="1" t="s">
        <v>213</v>
      </c>
      <c r="B260" s="7">
        <v>44811</v>
      </c>
      <c r="C260" s="1" t="s">
        <v>12</v>
      </c>
      <c r="D260" s="1">
        <v>219496</v>
      </c>
      <c r="E260" s="4">
        <v>68470</v>
      </c>
      <c r="F260" s="4">
        <f t="shared" si="4"/>
        <v>13009.3</v>
      </c>
      <c r="G260" s="4">
        <f t="shared" si="8"/>
        <v>81479.3</v>
      </c>
      <c r="H260" s="1">
        <f t="shared" si="9"/>
        <v>9</v>
      </c>
      <c r="I260" s="1">
        <f t="shared" si="10"/>
        <v>2022</v>
      </c>
      <c r="J260" s="4"/>
      <c r="K260" s="1" t="s">
        <v>87</v>
      </c>
    </row>
    <row r="261" spans="1:11">
      <c r="A261" s="1" t="s">
        <v>175</v>
      </c>
      <c r="B261" s="7">
        <v>44811</v>
      </c>
      <c r="C261" s="1"/>
      <c r="E261" s="4">
        <v>75823.520000000004</v>
      </c>
      <c r="F261" s="4">
        <f t="shared" si="4"/>
        <v>14406.468800000001</v>
      </c>
      <c r="G261" s="4">
        <f t="shared" si="8"/>
        <v>90229.988800000006</v>
      </c>
      <c r="H261" s="1">
        <f t="shared" si="9"/>
        <v>9</v>
      </c>
      <c r="I261" s="1">
        <f t="shared" si="10"/>
        <v>2022</v>
      </c>
      <c r="J261" s="4"/>
      <c r="K261" s="1" t="s">
        <v>87</v>
      </c>
    </row>
    <row r="262" spans="1:11">
      <c r="A262" s="1" t="s">
        <v>203</v>
      </c>
      <c r="B262" s="7">
        <v>44809</v>
      </c>
      <c r="C262" s="1" t="s">
        <v>12</v>
      </c>
      <c r="D262" s="1">
        <v>34775622</v>
      </c>
      <c r="E262" s="4">
        <v>20039</v>
      </c>
      <c r="F262" s="4">
        <f t="shared" si="4"/>
        <v>3807.41</v>
      </c>
      <c r="G262" s="4">
        <f t="shared" si="8"/>
        <v>23846.41</v>
      </c>
      <c r="H262" s="1">
        <f t="shared" si="9"/>
        <v>9</v>
      </c>
      <c r="I262" s="1">
        <f t="shared" si="10"/>
        <v>2022</v>
      </c>
      <c r="J262" s="4"/>
      <c r="K262" s="1" t="s">
        <v>87</v>
      </c>
    </row>
    <row r="263" spans="1:11">
      <c r="A263" s="1" t="s">
        <v>28</v>
      </c>
      <c r="B263" s="7">
        <v>44813</v>
      </c>
      <c r="C263" s="1" t="s">
        <v>12</v>
      </c>
      <c r="D263" s="1">
        <v>642198</v>
      </c>
      <c r="E263" s="4">
        <v>5899</v>
      </c>
      <c r="F263" s="4">
        <f t="shared" si="4"/>
        <v>1120.81</v>
      </c>
      <c r="G263" s="4">
        <f t="shared" si="8"/>
        <v>7019.8099999999995</v>
      </c>
      <c r="H263" s="1">
        <f t="shared" si="9"/>
        <v>9</v>
      </c>
      <c r="I263" s="1">
        <f t="shared" si="10"/>
        <v>2022</v>
      </c>
      <c r="J263" s="4"/>
      <c r="K263" s="1" t="s">
        <v>87</v>
      </c>
    </row>
    <row r="264" spans="1:11">
      <c r="A264" s="1" t="s">
        <v>202</v>
      </c>
      <c r="B264" s="7">
        <v>44813</v>
      </c>
      <c r="C264" s="1" t="s">
        <v>12</v>
      </c>
      <c r="D264" s="1">
        <v>977501</v>
      </c>
      <c r="E264" s="4">
        <v>753.78</v>
      </c>
      <c r="F264" s="4">
        <f t="shared" ref="F264:F518" si="11">E264*0.19</f>
        <v>143.2182</v>
      </c>
      <c r="G264" s="4">
        <f t="shared" si="8"/>
        <v>896.9982</v>
      </c>
      <c r="H264" s="1">
        <f t="shared" si="9"/>
        <v>9</v>
      </c>
      <c r="I264" s="1">
        <f t="shared" si="10"/>
        <v>2022</v>
      </c>
      <c r="J264" s="4"/>
      <c r="K264" s="1" t="s">
        <v>87</v>
      </c>
    </row>
    <row r="265" spans="1:11">
      <c r="A265" s="1" t="s">
        <v>212</v>
      </c>
      <c r="B265" s="7">
        <v>44814</v>
      </c>
      <c r="C265" s="1" t="s">
        <v>12</v>
      </c>
      <c r="D265" s="1">
        <v>1668112</v>
      </c>
      <c r="E265" s="4">
        <v>20896</v>
      </c>
      <c r="F265" s="4">
        <f t="shared" si="11"/>
        <v>3970.2400000000002</v>
      </c>
      <c r="G265" s="4">
        <f t="shared" si="8"/>
        <v>24866.240000000002</v>
      </c>
      <c r="H265" s="1">
        <f t="shared" si="9"/>
        <v>9</v>
      </c>
      <c r="I265" s="1">
        <f t="shared" si="10"/>
        <v>2022</v>
      </c>
      <c r="J265" s="4"/>
      <c r="K265" s="1" t="s">
        <v>87</v>
      </c>
    </row>
    <row r="266" spans="1:11">
      <c r="A266" s="1" t="s">
        <v>212</v>
      </c>
      <c r="B266" s="7">
        <v>44814</v>
      </c>
      <c r="C266" s="1" t="s">
        <v>12</v>
      </c>
      <c r="D266" s="1">
        <v>1668113</v>
      </c>
      <c r="E266" s="4">
        <v>106300</v>
      </c>
      <c r="F266" s="4">
        <f t="shared" si="11"/>
        <v>20197</v>
      </c>
      <c r="G266" s="4">
        <f t="shared" si="8"/>
        <v>126497</v>
      </c>
      <c r="H266" s="1">
        <f t="shared" si="9"/>
        <v>9</v>
      </c>
      <c r="I266" s="1">
        <f t="shared" si="10"/>
        <v>2022</v>
      </c>
      <c r="J266" s="4"/>
      <c r="K266" s="1" t="s">
        <v>87</v>
      </c>
    </row>
    <row r="267" spans="1:11">
      <c r="A267" s="1" t="s">
        <v>175</v>
      </c>
      <c r="B267" s="7">
        <v>44826</v>
      </c>
      <c r="C267" s="1"/>
      <c r="E267" s="4">
        <v>21663.865000000002</v>
      </c>
      <c r="F267" s="4">
        <f t="shared" si="11"/>
        <v>4116.1343500000003</v>
      </c>
      <c r="G267" s="4">
        <f t="shared" si="8"/>
        <v>25779.999350000002</v>
      </c>
      <c r="H267" s="1">
        <f t="shared" si="9"/>
        <v>9</v>
      </c>
      <c r="I267" s="1">
        <f t="shared" si="10"/>
        <v>2022</v>
      </c>
      <c r="J267" s="4"/>
      <c r="K267" s="1" t="s">
        <v>87</v>
      </c>
    </row>
    <row r="268" spans="1:11">
      <c r="A268" s="1" t="s">
        <v>214</v>
      </c>
      <c r="B268" s="7">
        <v>44829</v>
      </c>
      <c r="C268" s="1" t="s">
        <v>12</v>
      </c>
      <c r="D268" s="1">
        <v>220276</v>
      </c>
      <c r="E268" s="4">
        <v>41750.42</v>
      </c>
      <c r="F268" s="4">
        <f t="shared" si="11"/>
        <v>7932.5797999999995</v>
      </c>
      <c r="G268" s="4">
        <f t="shared" si="8"/>
        <v>49682.999799999998</v>
      </c>
      <c r="H268" s="1">
        <f t="shared" si="9"/>
        <v>9</v>
      </c>
      <c r="I268" s="1">
        <f t="shared" si="10"/>
        <v>2022</v>
      </c>
      <c r="J268" s="4"/>
      <c r="K268" s="1" t="s">
        <v>87</v>
      </c>
    </row>
    <row r="269" spans="1:11">
      <c r="A269" s="1" t="s">
        <v>215</v>
      </c>
      <c r="B269" s="7">
        <v>44829</v>
      </c>
      <c r="C269" s="1" t="s">
        <v>12</v>
      </c>
      <c r="D269" s="1">
        <v>104</v>
      </c>
      <c r="E269" s="4">
        <v>49478.99</v>
      </c>
      <c r="F269" s="4">
        <f t="shared" si="11"/>
        <v>9401.0080999999991</v>
      </c>
      <c r="G269" s="4">
        <f t="shared" si="8"/>
        <v>58879.998099999997</v>
      </c>
      <c r="H269" s="1">
        <f t="shared" si="9"/>
        <v>9</v>
      </c>
      <c r="I269" s="1">
        <f t="shared" si="10"/>
        <v>2022</v>
      </c>
      <c r="J269" s="4"/>
      <c r="K269" s="1" t="s">
        <v>87</v>
      </c>
    </row>
    <row r="270" spans="1:11">
      <c r="A270" s="1" t="s">
        <v>216</v>
      </c>
      <c r="B270" s="7">
        <v>44829</v>
      </c>
      <c r="C270" s="1"/>
      <c r="E270" s="4">
        <v>28403.360000000001</v>
      </c>
      <c r="F270" s="4">
        <f t="shared" si="11"/>
        <v>5396.6383999999998</v>
      </c>
      <c r="G270" s="4">
        <f t="shared" si="8"/>
        <v>33799.998399999997</v>
      </c>
      <c r="H270" s="1">
        <f t="shared" si="9"/>
        <v>9</v>
      </c>
      <c r="I270" s="1">
        <f t="shared" si="10"/>
        <v>2022</v>
      </c>
      <c r="J270" s="4"/>
      <c r="K270" s="1" t="s">
        <v>87</v>
      </c>
    </row>
    <row r="271" spans="1:11">
      <c r="A271" s="1" t="s">
        <v>212</v>
      </c>
      <c r="B271" s="7">
        <v>44830</v>
      </c>
      <c r="C271" s="1" t="s">
        <v>12</v>
      </c>
      <c r="D271" s="1">
        <v>1701257</v>
      </c>
      <c r="E271" s="4">
        <v>106988.23</v>
      </c>
      <c r="F271" s="4">
        <f t="shared" si="11"/>
        <v>20327.7637</v>
      </c>
      <c r="G271" s="4">
        <f t="shared" si="8"/>
        <v>127315.99369999999</v>
      </c>
      <c r="H271" s="1">
        <f t="shared" si="9"/>
        <v>9</v>
      </c>
      <c r="I271" s="1">
        <f t="shared" si="10"/>
        <v>2022</v>
      </c>
      <c r="J271" s="4"/>
      <c r="K271" s="1" t="s">
        <v>87</v>
      </c>
    </row>
    <row r="272" spans="1:11">
      <c r="A272" s="1" t="s">
        <v>28</v>
      </c>
      <c r="B272" s="7">
        <v>44832</v>
      </c>
      <c r="C272" s="1" t="s">
        <v>12</v>
      </c>
      <c r="D272" s="1">
        <v>652801</v>
      </c>
      <c r="E272" s="4">
        <v>3160</v>
      </c>
      <c r="F272" s="4">
        <f t="shared" si="11"/>
        <v>600.4</v>
      </c>
      <c r="G272" s="4">
        <f t="shared" si="8"/>
        <v>3760.4</v>
      </c>
      <c r="H272" s="1">
        <f t="shared" si="9"/>
        <v>9</v>
      </c>
      <c r="I272" s="1">
        <f t="shared" si="10"/>
        <v>2022</v>
      </c>
      <c r="J272" s="4"/>
      <c r="K272" s="1" t="s">
        <v>87</v>
      </c>
    </row>
    <row r="273" spans="1:11">
      <c r="A273" s="1" t="s">
        <v>175</v>
      </c>
      <c r="B273" s="7">
        <v>44837</v>
      </c>
      <c r="C273" s="1"/>
      <c r="E273" s="4">
        <v>42026.89</v>
      </c>
      <c r="F273" s="4">
        <f t="shared" si="11"/>
        <v>7985.1090999999997</v>
      </c>
      <c r="G273" s="4">
        <f t="shared" si="8"/>
        <v>50011.999100000001</v>
      </c>
      <c r="H273" s="1">
        <f t="shared" si="9"/>
        <v>10</v>
      </c>
      <c r="I273" s="1">
        <f t="shared" si="10"/>
        <v>2022</v>
      </c>
      <c r="J273" s="4"/>
      <c r="K273" s="1" t="s">
        <v>87</v>
      </c>
    </row>
    <row r="274" spans="1:11">
      <c r="A274" s="1" t="s">
        <v>217</v>
      </c>
      <c r="B274" s="7">
        <v>44839</v>
      </c>
      <c r="C274" s="1" t="s">
        <v>12</v>
      </c>
      <c r="D274" s="1">
        <v>26354</v>
      </c>
      <c r="E274" s="4">
        <v>4118</v>
      </c>
      <c r="F274" s="4">
        <f t="shared" si="11"/>
        <v>782.42</v>
      </c>
      <c r="G274" s="4">
        <f t="shared" si="8"/>
        <v>4900.42</v>
      </c>
      <c r="H274" s="1">
        <f t="shared" si="9"/>
        <v>10</v>
      </c>
      <c r="I274" s="1">
        <f t="shared" si="10"/>
        <v>2022</v>
      </c>
      <c r="J274" s="4"/>
      <c r="K274" s="1" t="s">
        <v>87</v>
      </c>
    </row>
    <row r="275" spans="1:11">
      <c r="A275" s="1" t="s">
        <v>14</v>
      </c>
      <c r="B275" s="7">
        <v>44839</v>
      </c>
      <c r="C275" s="1" t="s">
        <v>12</v>
      </c>
      <c r="D275" s="1">
        <v>38021</v>
      </c>
      <c r="E275" s="4">
        <v>266500</v>
      </c>
      <c r="F275" s="4">
        <f t="shared" si="11"/>
        <v>50635</v>
      </c>
      <c r="G275" s="4">
        <f t="shared" si="8"/>
        <v>317135</v>
      </c>
      <c r="H275" s="1">
        <f t="shared" si="9"/>
        <v>10</v>
      </c>
      <c r="I275" s="1">
        <f t="shared" si="10"/>
        <v>2022</v>
      </c>
      <c r="J275" s="4"/>
      <c r="K275" s="1" t="s">
        <v>87</v>
      </c>
    </row>
    <row r="276" spans="1:11">
      <c r="A276" s="1" t="s">
        <v>218</v>
      </c>
      <c r="B276" s="7">
        <v>44842</v>
      </c>
      <c r="C276" s="1" t="s">
        <v>12</v>
      </c>
      <c r="D276" s="1">
        <v>26428</v>
      </c>
      <c r="E276" s="4">
        <v>6554</v>
      </c>
      <c r="F276" s="4">
        <f t="shared" si="11"/>
        <v>1245.26</v>
      </c>
      <c r="G276" s="4">
        <f t="shared" si="8"/>
        <v>7799.26</v>
      </c>
      <c r="H276" s="1">
        <f t="shared" si="9"/>
        <v>10</v>
      </c>
      <c r="I276" s="1">
        <f t="shared" si="10"/>
        <v>2022</v>
      </c>
      <c r="J276" s="4"/>
      <c r="K276" s="1" t="s">
        <v>87</v>
      </c>
    </row>
    <row r="277" spans="1:11">
      <c r="A277" s="1" t="s">
        <v>14</v>
      </c>
      <c r="B277" s="7">
        <v>44841</v>
      </c>
      <c r="C277" s="1" t="s">
        <v>12</v>
      </c>
      <c r="D277" s="1">
        <v>38051</v>
      </c>
      <c r="E277" s="4">
        <v>72000</v>
      </c>
      <c r="F277" s="4">
        <f t="shared" si="11"/>
        <v>13680</v>
      </c>
      <c r="G277" s="4">
        <f t="shared" si="8"/>
        <v>85680</v>
      </c>
      <c r="H277" s="1">
        <f t="shared" si="9"/>
        <v>10</v>
      </c>
      <c r="I277" s="1">
        <f t="shared" si="10"/>
        <v>2022</v>
      </c>
      <c r="J277" s="4"/>
      <c r="K277" s="1" t="s">
        <v>87</v>
      </c>
    </row>
    <row r="278" spans="1:11">
      <c r="A278" s="1" t="s">
        <v>14</v>
      </c>
      <c r="B278" s="3">
        <v>44845</v>
      </c>
      <c r="C278" s="1" t="s">
        <v>12</v>
      </c>
      <c r="D278" s="1">
        <v>38102</v>
      </c>
      <c r="E278" s="4">
        <v>65500</v>
      </c>
      <c r="F278" s="4">
        <f t="shared" si="11"/>
        <v>12445</v>
      </c>
      <c r="G278" s="4">
        <f t="shared" si="8"/>
        <v>77945</v>
      </c>
      <c r="H278" s="1">
        <f t="shared" si="9"/>
        <v>10</v>
      </c>
      <c r="I278" s="1">
        <f t="shared" si="10"/>
        <v>2022</v>
      </c>
      <c r="J278" s="4"/>
      <c r="K278" s="1" t="s">
        <v>87</v>
      </c>
    </row>
    <row r="279" spans="1:11">
      <c r="A279" s="1" t="s">
        <v>219</v>
      </c>
      <c r="B279" s="3">
        <v>44846</v>
      </c>
      <c r="C279" s="1" t="s">
        <v>12</v>
      </c>
      <c r="D279" s="1">
        <v>3997</v>
      </c>
      <c r="E279" s="4">
        <v>36974.78</v>
      </c>
      <c r="F279" s="4">
        <f t="shared" si="11"/>
        <v>7025.2082</v>
      </c>
      <c r="G279" s="4">
        <f t="shared" ref="G279:G533" si="12">E279+F279</f>
        <v>43999.9882</v>
      </c>
      <c r="H279" s="1">
        <f t="shared" si="9"/>
        <v>10</v>
      </c>
      <c r="I279" s="1">
        <f t="shared" si="10"/>
        <v>2022</v>
      </c>
      <c r="J279" s="4"/>
      <c r="K279" s="1" t="s">
        <v>87</v>
      </c>
    </row>
    <row r="280" spans="1:11">
      <c r="A280" s="1" t="s">
        <v>220</v>
      </c>
      <c r="B280" s="3">
        <v>44846</v>
      </c>
      <c r="C280" s="1"/>
      <c r="E280" s="4">
        <v>289025</v>
      </c>
      <c r="F280" s="4">
        <f t="shared" si="11"/>
        <v>54914.75</v>
      </c>
      <c r="G280" s="4">
        <f t="shared" si="12"/>
        <v>343939.75</v>
      </c>
      <c r="H280" s="1">
        <f t="shared" si="9"/>
        <v>10</v>
      </c>
      <c r="I280" s="1">
        <f t="shared" si="10"/>
        <v>2022</v>
      </c>
      <c r="J280" s="4" t="s">
        <v>221</v>
      </c>
      <c r="K280" s="1" t="s">
        <v>87</v>
      </c>
    </row>
    <row r="281" spans="1:11">
      <c r="A281" s="1" t="s">
        <v>28</v>
      </c>
      <c r="B281" s="3">
        <v>44847</v>
      </c>
      <c r="C281" s="1" t="s">
        <v>12</v>
      </c>
      <c r="D281" s="1">
        <v>652953</v>
      </c>
      <c r="E281" s="4">
        <v>2059</v>
      </c>
      <c r="F281" s="4">
        <f t="shared" si="11"/>
        <v>391.21</v>
      </c>
      <c r="G281" s="4">
        <f t="shared" si="12"/>
        <v>2450.21</v>
      </c>
      <c r="H281" s="1">
        <f t="shared" si="9"/>
        <v>10</v>
      </c>
      <c r="I281" s="1">
        <f t="shared" si="10"/>
        <v>2022</v>
      </c>
      <c r="J281" s="4"/>
      <c r="K281" s="1" t="s">
        <v>87</v>
      </c>
    </row>
    <row r="282" spans="1:11">
      <c r="A282" s="1" t="s">
        <v>40</v>
      </c>
      <c r="B282" s="3">
        <v>44849</v>
      </c>
      <c r="C282" s="1" t="s">
        <v>12</v>
      </c>
      <c r="D282" s="1">
        <v>26537</v>
      </c>
      <c r="E282" s="4">
        <v>9916</v>
      </c>
      <c r="F282" s="4">
        <f t="shared" si="11"/>
        <v>1884.04</v>
      </c>
      <c r="G282" s="4">
        <f t="shared" si="12"/>
        <v>11800.04</v>
      </c>
      <c r="H282" s="1">
        <f t="shared" si="9"/>
        <v>10</v>
      </c>
      <c r="I282" s="1">
        <f t="shared" si="10"/>
        <v>2022</v>
      </c>
      <c r="J282" s="4"/>
      <c r="K282" s="1" t="s">
        <v>87</v>
      </c>
    </row>
    <row r="283" spans="1:11">
      <c r="A283" s="1" t="s">
        <v>222</v>
      </c>
      <c r="B283" s="3">
        <v>44852</v>
      </c>
      <c r="C283" s="1"/>
      <c r="E283" s="4">
        <v>32747.9</v>
      </c>
      <c r="F283" s="4">
        <f t="shared" si="11"/>
        <v>6222.1010000000006</v>
      </c>
      <c r="G283" s="4">
        <f t="shared" si="12"/>
        <v>38970.001000000004</v>
      </c>
      <c r="H283" s="1">
        <f t="shared" si="9"/>
        <v>10</v>
      </c>
      <c r="I283" s="1">
        <f t="shared" si="10"/>
        <v>2022</v>
      </c>
      <c r="J283" s="4"/>
      <c r="K283" s="1" t="s">
        <v>87</v>
      </c>
    </row>
    <row r="284" spans="1:11">
      <c r="A284" s="1" t="s">
        <v>223</v>
      </c>
      <c r="B284" s="3">
        <v>44852</v>
      </c>
      <c r="C284" s="1"/>
      <c r="E284" s="4">
        <v>21663.86</v>
      </c>
      <c r="F284" s="4">
        <f t="shared" si="11"/>
        <v>4116.1333999999997</v>
      </c>
      <c r="G284" s="4">
        <f t="shared" si="12"/>
        <v>25779.993399999999</v>
      </c>
      <c r="H284" s="1">
        <f t="shared" si="9"/>
        <v>10</v>
      </c>
      <c r="I284" s="1">
        <f t="shared" si="10"/>
        <v>2022</v>
      </c>
      <c r="J284" s="4"/>
      <c r="K284" s="1" t="s">
        <v>87</v>
      </c>
    </row>
    <row r="285" spans="1:11">
      <c r="A285" s="1" t="s">
        <v>202</v>
      </c>
      <c r="B285" s="3">
        <v>44848</v>
      </c>
      <c r="C285" s="1" t="s">
        <v>12</v>
      </c>
      <c r="D285" s="1">
        <v>1010309</v>
      </c>
      <c r="E285" s="4">
        <v>4201.68</v>
      </c>
      <c r="F285" s="4">
        <f t="shared" si="11"/>
        <v>798.31920000000002</v>
      </c>
      <c r="G285" s="4">
        <f t="shared" si="12"/>
        <v>4999.9992000000002</v>
      </c>
      <c r="H285" s="1">
        <f t="shared" si="9"/>
        <v>10</v>
      </c>
      <c r="I285" s="1">
        <f t="shared" si="10"/>
        <v>2022</v>
      </c>
      <c r="J285" s="4"/>
      <c r="K285" s="1" t="s">
        <v>87</v>
      </c>
    </row>
    <row r="286" spans="1:11">
      <c r="A286" s="1" t="s">
        <v>224</v>
      </c>
      <c r="B286" s="3">
        <v>44848</v>
      </c>
      <c r="C286" s="1"/>
      <c r="E286" s="4">
        <v>-4202</v>
      </c>
      <c r="F286" s="4">
        <f t="shared" si="11"/>
        <v>-798.38</v>
      </c>
      <c r="G286" s="4">
        <f t="shared" si="12"/>
        <v>-5000.38</v>
      </c>
      <c r="H286" s="1">
        <f t="shared" si="9"/>
        <v>10</v>
      </c>
      <c r="I286" s="1">
        <f t="shared" si="10"/>
        <v>2022</v>
      </c>
      <c r="J286" s="4"/>
      <c r="K286" s="1"/>
    </row>
    <row r="287" spans="1:11">
      <c r="A287" s="1" t="s">
        <v>166</v>
      </c>
      <c r="B287" s="7">
        <v>44869</v>
      </c>
      <c r="C287" s="1" t="s">
        <v>12</v>
      </c>
      <c r="D287" s="1">
        <v>40721</v>
      </c>
      <c r="E287" s="4">
        <v>11620.168</v>
      </c>
      <c r="F287" s="4">
        <f t="shared" si="11"/>
        <v>2207.8319200000001</v>
      </c>
      <c r="G287" s="4">
        <f t="shared" si="12"/>
        <v>13827.99992</v>
      </c>
      <c r="H287" s="1">
        <f t="shared" si="9"/>
        <v>11</v>
      </c>
      <c r="I287" s="1">
        <f t="shared" si="10"/>
        <v>2022</v>
      </c>
      <c r="J287" s="4"/>
      <c r="K287" s="1" t="s">
        <v>87</v>
      </c>
    </row>
    <row r="288" spans="1:11">
      <c r="A288" s="1" t="s">
        <v>225</v>
      </c>
      <c r="B288" s="7">
        <v>44868</v>
      </c>
      <c r="C288" s="1" t="s">
        <v>12</v>
      </c>
      <c r="D288" s="1">
        <v>73739</v>
      </c>
      <c r="E288" s="4">
        <v>7146.21</v>
      </c>
      <c r="F288" s="4">
        <f t="shared" si="11"/>
        <v>1357.7799</v>
      </c>
      <c r="G288" s="4">
        <f t="shared" si="12"/>
        <v>8503.9899000000005</v>
      </c>
      <c r="H288" s="1">
        <f t="shared" si="9"/>
        <v>11</v>
      </c>
      <c r="I288" s="1">
        <f t="shared" si="10"/>
        <v>2022</v>
      </c>
      <c r="J288" s="4"/>
      <c r="K288" s="1" t="s">
        <v>87</v>
      </c>
    </row>
    <row r="289" spans="1:11">
      <c r="A289" s="1" t="s">
        <v>226</v>
      </c>
      <c r="B289" s="7">
        <v>44869</v>
      </c>
      <c r="C289" s="1" t="s">
        <v>12</v>
      </c>
      <c r="D289" s="1">
        <v>4035</v>
      </c>
      <c r="E289" s="4">
        <v>14706</v>
      </c>
      <c r="F289" s="4">
        <f t="shared" si="11"/>
        <v>2794.14</v>
      </c>
      <c r="G289" s="4">
        <f t="shared" si="12"/>
        <v>17500.14</v>
      </c>
      <c r="H289" s="1">
        <f t="shared" si="9"/>
        <v>11</v>
      </c>
      <c r="I289" s="1">
        <f t="shared" si="10"/>
        <v>2022</v>
      </c>
      <c r="J289" s="4"/>
      <c r="K289" s="1" t="s">
        <v>87</v>
      </c>
    </row>
    <row r="290" spans="1:11">
      <c r="A290" s="1" t="s">
        <v>227</v>
      </c>
      <c r="B290" s="7">
        <v>44869</v>
      </c>
      <c r="C290" s="1" t="s">
        <v>12</v>
      </c>
      <c r="D290" s="1">
        <v>78266</v>
      </c>
      <c r="E290" s="4">
        <v>22689</v>
      </c>
      <c r="F290" s="4">
        <f t="shared" si="11"/>
        <v>4310.91</v>
      </c>
      <c r="G290" s="4">
        <f t="shared" si="12"/>
        <v>26999.91</v>
      </c>
      <c r="H290" s="1">
        <f t="shared" si="9"/>
        <v>11</v>
      </c>
      <c r="I290" s="1">
        <f t="shared" si="10"/>
        <v>2022</v>
      </c>
      <c r="J290" s="4"/>
      <c r="K290" s="1" t="s">
        <v>87</v>
      </c>
    </row>
    <row r="291" spans="1:11">
      <c r="A291" s="1" t="s">
        <v>203</v>
      </c>
      <c r="B291" s="3">
        <v>44869</v>
      </c>
      <c r="C291" s="1" t="s">
        <v>12</v>
      </c>
      <c r="D291" s="1">
        <v>35224256</v>
      </c>
      <c r="E291" s="4">
        <v>20554.62185</v>
      </c>
      <c r="F291" s="4">
        <f t="shared" si="11"/>
        <v>3905.3781515000001</v>
      </c>
      <c r="G291" s="4">
        <f t="shared" si="12"/>
        <v>24460.000001500001</v>
      </c>
      <c r="H291" s="1">
        <f t="shared" si="9"/>
        <v>11</v>
      </c>
      <c r="I291" s="1">
        <f t="shared" si="10"/>
        <v>2022</v>
      </c>
      <c r="J291" s="4"/>
      <c r="K291" s="1" t="s">
        <v>87</v>
      </c>
    </row>
    <row r="292" spans="1:11">
      <c r="A292" s="1" t="s">
        <v>228</v>
      </c>
      <c r="B292" s="7">
        <v>44869</v>
      </c>
      <c r="C292" s="1" t="s">
        <v>12</v>
      </c>
      <c r="D292" s="1">
        <v>15444</v>
      </c>
      <c r="E292" s="4">
        <v>11765</v>
      </c>
      <c r="F292" s="4">
        <f t="shared" si="11"/>
        <v>2235.35</v>
      </c>
      <c r="G292" s="4">
        <f t="shared" si="12"/>
        <v>14000.35</v>
      </c>
      <c r="H292" s="1">
        <f t="shared" si="9"/>
        <v>11</v>
      </c>
      <c r="I292" s="1">
        <f t="shared" si="10"/>
        <v>2022</v>
      </c>
      <c r="J292" s="4"/>
      <c r="K292" s="1" t="s">
        <v>87</v>
      </c>
    </row>
    <row r="293" spans="1:11">
      <c r="A293" s="1" t="s">
        <v>229</v>
      </c>
      <c r="B293" s="7">
        <v>44871</v>
      </c>
      <c r="C293" s="1" t="s">
        <v>12</v>
      </c>
      <c r="D293" s="1">
        <v>2159</v>
      </c>
      <c r="E293" s="4">
        <v>21000</v>
      </c>
      <c r="F293" s="4">
        <f t="shared" si="11"/>
        <v>3990</v>
      </c>
      <c r="G293" s="4">
        <f t="shared" si="12"/>
        <v>24990</v>
      </c>
      <c r="H293" s="1">
        <f t="shared" si="9"/>
        <v>11</v>
      </c>
      <c r="I293" s="1">
        <f t="shared" si="10"/>
        <v>2022</v>
      </c>
      <c r="J293" s="4"/>
      <c r="K293" s="1" t="s">
        <v>87</v>
      </c>
    </row>
    <row r="294" spans="1:11">
      <c r="A294" s="1" t="s">
        <v>175</v>
      </c>
      <c r="B294" s="7">
        <v>44871</v>
      </c>
      <c r="C294" s="1"/>
      <c r="E294" s="4">
        <v>54159.66</v>
      </c>
      <c r="F294" s="4">
        <f t="shared" si="11"/>
        <v>10290.3354</v>
      </c>
      <c r="G294" s="4">
        <f t="shared" si="12"/>
        <v>64449.9954</v>
      </c>
      <c r="H294" s="1">
        <f t="shared" si="9"/>
        <v>11</v>
      </c>
      <c r="I294" s="1">
        <f t="shared" si="10"/>
        <v>2022</v>
      </c>
      <c r="J294" s="4"/>
      <c r="K294" s="1" t="s">
        <v>87</v>
      </c>
    </row>
    <row r="295" spans="1:11">
      <c r="A295" s="1" t="s">
        <v>230</v>
      </c>
      <c r="B295" s="3">
        <v>44880</v>
      </c>
      <c r="C295" s="1" t="s">
        <v>12</v>
      </c>
      <c r="D295" s="1">
        <v>293473</v>
      </c>
      <c r="E295" s="4">
        <v>9613</v>
      </c>
      <c r="F295" s="4">
        <f t="shared" si="11"/>
        <v>1826.47</v>
      </c>
      <c r="G295" s="4">
        <f t="shared" si="12"/>
        <v>11439.47</v>
      </c>
      <c r="H295" s="1">
        <f t="shared" si="9"/>
        <v>11</v>
      </c>
      <c r="I295" s="1">
        <f t="shared" si="10"/>
        <v>2022</v>
      </c>
      <c r="J295" s="4"/>
      <c r="K295" s="1" t="s">
        <v>87</v>
      </c>
    </row>
    <row r="296" spans="1:11">
      <c r="A296" s="1" t="s">
        <v>202</v>
      </c>
      <c r="B296" s="3">
        <v>44880</v>
      </c>
      <c r="C296" s="1" t="s">
        <v>12</v>
      </c>
      <c r="D296" s="1">
        <v>1036964</v>
      </c>
      <c r="E296" s="4">
        <v>450.4</v>
      </c>
      <c r="F296" s="4">
        <f t="shared" si="11"/>
        <v>85.575999999999993</v>
      </c>
      <c r="G296" s="4">
        <f t="shared" si="12"/>
        <v>535.976</v>
      </c>
      <c r="H296" s="1">
        <f t="shared" si="9"/>
        <v>11</v>
      </c>
      <c r="I296" s="1">
        <f t="shared" si="10"/>
        <v>2022</v>
      </c>
      <c r="J296" s="4"/>
      <c r="K296" s="1" t="s">
        <v>87</v>
      </c>
    </row>
    <row r="297" spans="1:11">
      <c r="A297" s="1" t="s">
        <v>231</v>
      </c>
      <c r="B297" s="3">
        <v>44881</v>
      </c>
      <c r="C297" s="1" t="s">
        <v>12</v>
      </c>
      <c r="D297" s="1">
        <v>2091465</v>
      </c>
      <c r="E297" s="4">
        <v>67210.080000000002</v>
      </c>
      <c r="F297" s="4">
        <f t="shared" si="11"/>
        <v>12769.915200000001</v>
      </c>
      <c r="G297" s="4">
        <f t="shared" si="12"/>
        <v>79979.995200000005</v>
      </c>
      <c r="H297" s="1">
        <f t="shared" si="9"/>
        <v>11</v>
      </c>
      <c r="I297" s="1">
        <f t="shared" si="10"/>
        <v>2022</v>
      </c>
      <c r="J297" s="4"/>
      <c r="K297" s="1" t="s">
        <v>87</v>
      </c>
    </row>
    <row r="298" spans="1:11">
      <c r="A298" s="1" t="s">
        <v>14</v>
      </c>
      <c r="B298" s="3">
        <v>44881</v>
      </c>
      <c r="C298" s="1" t="s">
        <v>12</v>
      </c>
      <c r="D298" s="1">
        <v>38689</v>
      </c>
      <c r="E298" s="4">
        <v>147900</v>
      </c>
      <c r="F298" s="4">
        <f t="shared" si="11"/>
        <v>28101</v>
      </c>
      <c r="G298" s="4">
        <f t="shared" si="12"/>
        <v>176001</v>
      </c>
      <c r="H298" s="1">
        <f t="shared" si="9"/>
        <v>11</v>
      </c>
      <c r="I298" s="1">
        <f t="shared" si="10"/>
        <v>2022</v>
      </c>
      <c r="J298" s="4"/>
      <c r="K298" s="1" t="s">
        <v>87</v>
      </c>
    </row>
    <row r="299" spans="1:11">
      <c r="A299" s="1" t="s">
        <v>232</v>
      </c>
      <c r="B299" s="3">
        <v>44885</v>
      </c>
      <c r="C299" s="1" t="s">
        <v>12</v>
      </c>
      <c r="D299" s="1">
        <v>2100270</v>
      </c>
      <c r="E299" s="4">
        <v>8071.43</v>
      </c>
      <c r="F299" s="4">
        <f t="shared" si="11"/>
        <v>1533.5717</v>
      </c>
      <c r="G299" s="4">
        <f t="shared" si="12"/>
        <v>9605.0017000000007</v>
      </c>
      <c r="H299" s="1">
        <f t="shared" si="9"/>
        <v>11</v>
      </c>
      <c r="I299" s="1">
        <f t="shared" si="10"/>
        <v>2022</v>
      </c>
      <c r="J299" s="4"/>
      <c r="K299" s="1" t="s">
        <v>87</v>
      </c>
    </row>
    <row r="300" spans="1:11">
      <c r="A300" s="1" t="s">
        <v>233</v>
      </c>
      <c r="B300" s="3">
        <v>44883</v>
      </c>
      <c r="C300" s="1" t="s">
        <v>12</v>
      </c>
      <c r="D300" s="1">
        <v>2236806</v>
      </c>
      <c r="E300" s="4">
        <v>10663.86</v>
      </c>
      <c r="F300" s="4">
        <f t="shared" si="11"/>
        <v>2026.1334000000002</v>
      </c>
      <c r="G300" s="4">
        <f t="shared" si="12"/>
        <v>12689.993400000001</v>
      </c>
      <c r="H300" s="1">
        <f t="shared" si="9"/>
        <v>11</v>
      </c>
      <c r="I300" s="1">
        <f t="shared" si="10"/>
        <v>2022</v>
      </c>
      <c r="J300" s="4"/>
      <c r="K300" s="1" t="s">
        <v>87</v>
      </c>
    </row>
    <row r="301" spans="1:11">
      <c r="A301" s="1" t="s">
        <v>233</v>
      </c>
      <c r="B301" s="3">
        <v>44883</v>
      </c>
      <c r="C301" s="1"/>
      <c r="E301" s="4">
        <v>-10663.86</v>
      </c>
      <c r="F301" s="4">
        <f t="shared" si="11"/>
        <v>-2026.1334000000002</v>
      </c>
      <c r="G301" s="4">
        <f t="shared" si="12"/>
        <v>-12689.993400000001</v>
      </c>
      <c r="H301" s="1">
        <f t="shared" si="9"/>
        <v>11</v>
      </c>
      <c r="I301" s="1">
        <f t="shared" si="10"/>
        <v>2022</v>
      </c>
      <c r="J301" s="4"/>
      <c r="K301" s="1"/>
    </row>
    <row r="302" spans="1:11">
      <c r="A302" s="1" t="s">
        <v>175</v>
      </c>
      <c r="B302" s="7">
        <v>44900</v>
      </c>
      <c r="C302" s="1"/>
      <c r="E302" s="4">
        <v>43327.73</v>
      </c>
      <c r="F302" s="4">
        <f t="shared" si="11"/>
        <v>8232.2687000000005</v>
      </c>
      <c r="G302" s="4">
        <f t="shared" si="12"/>
        <v>51559.998700000004</v>
      </c>
      <c r="H302" s="1">
        <f t="shared" si="9"/>
        <v>12</v>
      </c>
      <c r="I302" s="1">
        <f t="shared" si="10"/>
        <v>2022</v>
      </c>
      <c r="J302" s="4"/>
      <c r="K302" s="1" t="s">
        <v>87</v>
      </c>
    </row>
    <row r="303" spans="1:11">
      <c r="A303" s="1" t="s">
        <v>234</v>
      </c>
      <c r="B303" s="3">
        <v>44901</v>
      </c>
      <c r="C303" s="1" t="s">
        <v>12</v>
      </c>
      <c r="D303" s="1">
        <v>2255425</v>
      </c>
      <c r="E303" s="4">
        <v>14269</v>
      </c>
      <c r="F303" s="4">
        <f t="shared" si="11"/>
        <v>2711.11</v>
      </c>
      <c r="G303" s="4">
        <f t="shared" si="12"/>
        <v>16980.11</v>
      </c>
      <c r="H303" s="1">
        <f t="shared" si="9"/>
        <v>12</v>
      </c>
      <c r="I303" s="1">
        <f t="shared" si="10"/>
        <v>2022</v>
      </c>
      <c r="J303" s="4"/>
      <c r="K303" s="1" t="s">
        <v>87</v>
      </c>
    </row>
    <row r="304" spans="1:11">
      <c r="A304" s="1" t="s">
        <v>234</v>
      </c>
      <c r="B304" s="3">
        <v>44901</v>
      </c>
      <c r="C304" s="1"/>
      <c r="E304" s="4">
        <v>-14629</v>
      </c>
      <c r="F304" s="4">
        <f t="shared" si="11"/>
        <v>-2779.51</v>
      </c>
      <c r="G304" s="4">
        <f t="shared" si="12"/>
        <v>-17408.510000000002</v>
      </c>
      <c r="H304" s="1">
        <f t="shared" si="9"/>
        <v>12</v>
      </c>
      <c r="I304" s="1">
        <f t="shared" si="10"/>
        <v>2022</v>
      </c>
      <c r="J304" s="4"/>
      <c r="K304" s="1"/>
    </row>
    <row r="305" spans="1:11">
      <c r="A305" s="1" t="s">
        <v>68</v>
      </c>
      <c r="B305" s="3">
        <v>44902</v>
      </c>
      <c r="C305" s="1" t="s">
        <v>12</v>
      </c>
      <c r="D305" s="1">
        <v>224243</v>
      </c>
      <c r="E305" s="4">
        <v>77540.33</v>
      </c>
      <c r="F305" s="4">
        <f t="shared" si="11"/>
        <v>14732.662700000001</v>
      </c>
      <c r="G305" s="4">
        <f t="shared" si="12"/>
        <v>92272.992700000003</v>
      </c>
      <c r="H305" s="1">
        <f t="shared" si="9"/>
        <v>12</v>
      </c>
      <c r="I305" s="1">
        <f t="shared" si="10"/>
        <v>2022</v>
      </c>
      <c r="J305" s="4"/>
      <c r="K305" s="1" t="s">
        <v>87</v>
      </c>
    </row>
    <row r="306" spans="1:11">
      <c r="A306" s="1" t="s">
        <v>14</v>
      </c>
      <c r="B306" s="3">
        <v>44904</v>
      </c>
      <c r="C306" s="1" t="s">
        <v>12</v>
      </c>
      <c r="D306" s="1">
        <v>39089</v>
      </c>
      <c r="E306" s="4">
        <v>149500</v>
      </c>
      <c r="F306" s="4">
        <f t="shared" si="11"/>
        <v>28405</v>
      </c>
      <c r="G306" s="4">
        <f t="shared" si="12"/>
        <v>177905</v>
      </c>
      <c r="H306" s="1">
        <f t="shared" si="9"/>
        <v>12</v>
      </c>
      <c r="I306" s="1">
        <f t="shared" si="10"/>
        <v>2022</v>
      </c>
      <c r="J306" s="4"/>
      <c r="K306" s="1" t="s">
        <v>87</v>
      </c>
    </row>
    <row r="307" spans="1:11">
      <c r="A307" s="1" t="s">
        <v>166</v>
      </c>
      <c r="B307" s="3">
        <v>44893</v>
      </c>
      <c r="C307" s="1" t="s">
        <v>12</v>
      </c>
      <c r="D307" s="1">
        <v>42335</v>
      </c>
      <c r="E307" s="4">
        <v>11698.32</v>
      </c>
      <c r="F307" s="4">
        <f t="shared" si="11"/>
        <v>2222.6808000000001</v>
      </c>
      <c r="G307" s="4">
        <f t="shared" si="12"/>
        <v>13921.0008</v>
      </c>
      <c r="H307" s="1">
        <f t="shared" si="9"/>
        <v>11</v>
      </c>
      <c r="I307" s="1">
        <f t="shared" si="10"/>
        <v>2022</v>
      </c>
      <c r="J307" s="4"/>
      <c r="K307" s="1" t="s">
        <v>87</v>
      </c>
    </row>
    <row r="308" spans="1:11">
      <c r="A308" s="1" t="s">
        <v>203</v>
      </c>
      <c r="B308" s="7">
        <v>44898</v>
      </c>
      <c r="C308" s="1" t="s">
        <v>12</v>
      </c>
      <c r="D308" s="1">
        <v>35454761</v>
      </c>
      <c r="E308" s="4">
        <v>20742</v>
      </c>
      <c r="F308" s="4">
        <f t="shared" si="11"/>
        <v>3940.98</v>
      </c>
      <c r="G308" s="4">
        <f t="shared" si="12"/>
        <v>24682.98</v>
      </c>
      <c r="H308" s="1">
        <f t="shared" si="9"/>
        <v>12</v>
      </c>
      <c r="I308" s="1">
        <f t="shared" si="10"/>
        <v>2022</v>
      </c>
      <c r="J308" s="4"/>
      <c r="K308" s="1" t="s">
        <v>87</v>
      </c>
    </row>
    <row r="309" spans="1:11">
      <c r="A309" s="1" t="s">
        <v>235</v>
      </c>
      <c r="B309" s="7">
        <v>44900</v>
      </c>
      <c r="C309" s="1" t="s">
        <v>12</v>
      </c>
      <c r="D309" s="1">
        <v>3009351</v>
      </c>
      <c r="E309" s="4">
        <v>9201.68</v>
      </c>
      <c r="F309" s="4">
        <f t="shared" si="11"/>
        <v>1748.3192000000001</v>
      </c>
      <c r="G309" s="4">
        <f t="shared" si="12"/>
        <v>10949.9992</v>
      </c>
      <c r="H309" s="1">
        <f t="shared" si="9"/>
        <v>12</v>
      </c>
      <c r="I309" s="1">
        <f t="shared" si="10"/>
        <v>2022</v>
      </c>
      <c r="J309" s="4"/>
      <c r="K309" s="1" t="s">
        <v>87</v>
      </c>
    </row>
    <row r="310" spans="1:11">
      <c r="A310" s="1" t="s">
        <v>235</v>
      </c>
      <c r="B310" s="7">
        <v>44900</v>
      </c>
      <c r="C310" s="1"/>
      <c r="E310" s="4">
        <v>-9201.68</v>
      </c>
      <c r="F310" s="4">
        <f t="shared" si="11"/>
        <v>-1748.3192000000001</v>
      </c>
      <c r="G310" s="4">
        <f t="shared" si="12"/>
        <v>-10949.9992</v>
      </c>
      <c r="H310" s="1">
        <f t="shared" si="9"/>
        <v>12</v>
      </c>
      <c r="I310" s="1">
        <f t="shared" si="10"/>
        <v>2022</v>
      </c>
      <c r="J310" s="4"/>
      <c r="K310" s="1" t="s">
        <v>87</v>
      </c>
    </row>
    <row r="311" spans="1:11">
      <c r="A311" s="1" t="s">
        <v>28</v>
      </c>
      <c r="B311" s="7">
        <v>44904</v>
      </c>
      <c r="C311" s="1" t="s">
        <v>12</v>
      </c>
      <c r="D311" s="1">
        <v>675144</v>
      </c>
      <c r="E311" s="4">
        <v>3159.66</v>
      </c>
      <c r="F311" s="4">
        <f t="shared" si="11"/>
        <v>600.33539999999994</v>
      </c>
      <c r="G311" s="4">
        <f t="shared" si="12"/>
        <v>3759.9953999999998</v>
      </c>
      <c r="H311" s="1">
        <f t="shared" si="9"/>
        <v>12</v>
      </c>
      <c r="I311" s="1">
        <f t="shared" si="10"/>
        <v>2022</v>
      </c>
      <c r="J311" s="4"/>
      <c r="K311" s="1" t="s">
        <v>87</v>
      </c>
    </row>
    <row r="312" spans="1:11">
      <c r="A312" s="1" t="s">
        <v>236</v>
      </c>
      <c r="B312" s="3">
        <v>44908</v>
      </c>
      <c r="C312" s="1" t="s">
        <v>12</v>
      </c>
      <c r="D312" s="1">
        <v>27666</v>
      </c>
      <c r="E312" s="4">
        <v>2941.18</v>
      </c>
      <c r="F312" s="4">
        <f t="shared" si="11"/>
        <v>558.82420000000002</v>
      </c>
      <c r="G312" s="4">
        <f t="shared" si="12"/>
        <v>3500.0041999999999</v>
      </c>
      <c r="H312" s="1">
        <f t="shared" si="9"/>
        <v>12</v>
      </c>
      <c r="I312" s="1">
        <f t="shared" si="10"/>
        <v>2022</v>
      </c>
      <c r="J312" s="4"/>
      <c r="K312" s="1" t="s">
        <v>87</v>
      </c>
    </row>
    <row r="313" spans="1:11">
      <c r="A313" s="1" t="s">
        <v>236</v>
      </c>
      <c r="B313" s="3">
        <v>44912</v>
      </c>
      <c r="C313" s="1" t="s">
        <v>12</v>
      </c>
      <c r="D313" s="1">
        <v>27744</v>
      </c>
      <c r="E313" s="4">
        <v>10084</v>
      </c>
      <c r="F313" s="4">
        <f t="shared" si="11"/>
        <v>1915.96</v>
      </c>
      <c r="G313" s="4">
        <f t="shared" si="12"/>
        <v>11999.96</v>
      </c>
      <c r="H313" s="1">
        <f t="shared" ref="H313:H567" si="13">MONTH(B313)</f>
        <v>12</v>
      </c>
      <c r="I313" s="1">
        <f t="shared" ref="I313:I567" si="14">YEAR(B313)</f>
        <v>2022</v>
      </c>
      <c r="J313" s="4"/>
      <c r="K313" s="1" t="s">
        <v>87</v>
      </c>
    </row>
    <row r="314" spans="1:11">
      <c r="A314" s="1" t="s">
        <v>237</v>
      </c>
      <c r="B314" s="3">
        <v>44912</v>
      </c>
      <c r="C314" s="1"/>
      <c r="E314" s="4">
        <v>-5966</v>
      </c>
      <c r="F314" s="4">
        <f t="shared" si="11"/>
        <v>-1133.54</v>
      </c>
      <c r="G314" s="4">
        <f t="shared" si="12"/>
        <v>-7099.54</v>
      </c>
      <c r="H314" s="1">
        <f t="shared" si="13"/>
        <v>12</v>
      </c>
      <c r="I314" s="1">
        <f t="shared" si="14"/>
        <v>2022</v>
      </c>
      <c r="J314" s="4"/>
      <c r="K314" s="1"/>
    </row>
    <row r="315" spans="1:11">
      <c r="A315" s="1" t="s">
        <v>238</v>
      </c>
      <c r="B315" s="3">
        <v>44914</v>
      </c>
      <c r="C315" s="1" t="s">
        <v>12</v>
      </c>
      <c r="D315" s="1">
        <v>55843</v>
      </c>
      <c r="E315" s="4">
        <v>30291.596000000001</v>
      </c>
      <c r="F315" s="4">
        <f t="shared" si="11"/>
        <v>5755.4032400000006</v>
      </c>
      <c r="G315" s="4">
        <f t="shared" si="12"/>
        <v>36046.999240000005</v>
      </c>
      <c r="H315" s="1">
        <f t="shared" si="13"/>
        <v>12</v>
      </c>
      <c r="I315" s="1">
        <f t="shared" si="14"/>
        <v>2022</v>
      </c>
      <c r="J315" s="4"/>
      <c r="K315" s="1" t="s">
        <v>87</v>
      </c>
    </row>
    <row r="316" spans="1:11">
      <c r="A316" s="1" t="s">
        <v>14</v>
      </c>
      <c r="B316" s="3">
        <v>44929</v>
      </c>
      <c r="C316" s="1" t="s">
        <v>12</v>
      </c>
      <c r="D316" s="1">
        <v>39355</v>
      </c>
      <c r="E316" s="4">
        <v>147900</v>
      </c>
      <c r="F316" s="4">
        <f t="shared" si="11"/>
        <v>28101</v>
      </c>
      <c r="G316" s="4">
        <f t="shared" si="12"/>
        <v>176001</v>
      </c>
      <c r="H316" s="1">
        <f t="shared" si="13"/>
        <v>1</v>
      </c>
      <c r="I316" s="1">
        <f t="shared" si="14"/>
        <v>2023</v>
      </c>
      <c r="J316" s="4"/>
      <c r="K316" s="1" t="s">
        <v>87</v>
      </c>
    </row>
    <row r="317" spans="1:11">
      <c r="A317" s="1" t="s">
        <v>175</v>
      </c>
      <c r="B317" s="7">
        <v>44930</v>
      </c>
      <c r="C317" s="1"/>
      <c r="E317" s="4">
        <v>54159.66</v>
      </c>
      <c r="F317" s="4">
        <f t="shared" si="11"/>
        <v>10290.3354</v>
      </c>
      <c r="G317" s="4">
        <f t="shared" si="12"/>
        <v>64449.9954</v>
      </c>
      <c r="H317" s="1">
        <f t="shared" si="13"/>
        <v>1</v>
      </c>
      <c r="I317" s="1">
        <f t="shared" si="14"/>
        <v>2023</v>
      </c>
      <c r="J317" s="4"/>
      <c r="K317" s="1" t="s">
        <v>87</v>
      </c>
    </row>
    <row r="318" spans="1:11">
      <c r="A318" s="1" t="s">
        <v>212</v>
      </c>
      <c r="B318" s="7">
        <v>44933</v>
      </c>
      <c r="C318" s="1" t="s">
        <v>12</v>
      </c>
      <c r="D318" s="1">
        <v>1832014</v>
      </c>
      <c r="E318" s="4">
        <v>82494</v>
      </c>
      <c r="F318" s="4">
        <f t="shared" si="11"/>
        <v>15673.86</v>
      </c>
      <c r="G318" s="4">
        <f t="shared" si="12"/>
        <v>98167.86</v>
      </c>
      <c r="H318" s="1">
        <f t="shared" si="13"/>
        <v>1</v>
      </c>
      <c r="I318" s="1">
        <f t="shared" si="14"/>
        <v>2023</v>
      </c>
      <c r="J318" s="4"/>
      <c r="K318" s="1" t="s">
        <v>87</v>
      </c>
    </row>
    <row r="319" spans="1:11">
      <c r="A319" s="1" t="s">
        <v>212</v>
      </c>
      <c r="B319" s="7">
        <v>44933</v>
      </c>
      <c r="C319" s="1" t="s">
        <v>12</v>
      </c>
      <c r="D319" s="1">
        <v>1712580</v>
      </c>
      <c r="E319" s="4">
        <v>63012</v>
      </c>
      <c r="F319" s="4">
        <f t="shared" si="11"/>
        <v>11972.28</v>
      </c>
      <c r="G319" s="4">
        <f t="shared" si="12"/>
        <v>74984.28</v>
      </c>
      <c r="H319" s="1">
        <f t="shared" si="13"/>
        <v>1</v>
      </c>
      <c r="I319" s="1">
        <f t="shared" si="14"/>
        <v>2023</v>
      </c>
      <c r="J319" s="4"/>
      <c r="K319" s="1" t="s">
        <v>87</v>
      </c>
    </row>
    <row r="320" spans="1:11">
      <c r="A320" s="1" t="s">
        <v>166</v>
      </c>
      <c r="B320" s="7">
        <v>44930</v>
      </c>
      <c r="C320" s="1" t="s">
        <v>12</v>
      </c>
      <c r="D320" s="1">
        <v>43898</v>
      </c>
      <c r="E320" s="4">
        <v>11790.76</v>
      </c>
      <c r="F320" s="4">
        <f t="shared" si="11"/>
        <v>2240.2444</v>
      </c>
      <c r="G320" s="4">
        <f t="shared" si="12"/>
        <v>14031.0044</v>
      </c>
      <c r="H320" s="1">
        <f t="shared" si="13"/>
        <v>1</v>
      </c>
      <c r="I320" s="1">
        <f t="shared" si="14"/>
        <v>2023</v>
      </c>
      <c r="J320" s="4"/>
      <c r="K320" s="1" t="s">
        <v>87</v>
      </c>
    </row>
    <row r="321" spans="1:11">
      <c r="A321" s="1" t="s">
        <v>203</v>
      </c>
      <c r="B321" s="7">
        <v>44931</v>
      </c>
      <c r="C321" s="1" t="s">
        <v>12</v>
      </c>
      <c r="D321" s="1">
        <v>35688363</v>
      </c>
      <c r="E321" s="4">
        <v>20887.39</v>
      </c>
      <c r="F321" s="4">
        <f t="shared" si="11"/>
        <v>3968.6041</v>
      </c>
      <c r="G321" s="4">
        <f t="shared" si="12"/>
        <v>24855.9941</v>
      </c>
      <c r="H321" s="1">
        <f t="shared" si="13"/>
        <v>1</v>
      </c>
      <c r="I321" s="1">
        <f t="shared" si="14"/>
        <v>2023</v>
      </c>
      <c r="J321" s="4"/>
      <c r="K321" s="1" t="s">
        <v>87</v>
      </c>
    </row>
    <row r="322" spans="1:11">
      <c r="A322" s="1" t="s">
        <v>202</v>
      </c>
      <c r="B322" s="7">
        <v>44935</v>
      </c>
      <c r="C322" s="1" t="s">
        <v>12</v>
      </c>
      <c r="D322" s="1">
        <v>1086424</v>
      </c>
      <c r="E322" s="4">
        <v>4161.34</v>
      </c>
      <c r="F322" s="4">
        <f t="shared" si="11"/>
        <v>790.65460000000007</v>
      </c>
      <c r="G322" s="4">
        <f t="shared" si="12"/>
        <v>4951.9946</v>
      </c>
      <c r="H322" s="1">
        <f t="shared" si="13"/>
        <v>1</v>
      </c>
      <c r="I322" s="1">
        <f t="shared" si="14"/>
        <v>2023</v>
      </c>
      <c r="J322" s="4"/>
      <c r="K322" s="1" t="s">
        <v>87</v>
      </c>
    </row>
    <row r="323" spans="1:11">
      <c r="A323" s="1" t="s">
        <v>103</v>
      </c>
      <c r="B323" s="7">
        <v>44938</v>
      </c>
      <c r="C323" s="1" t="s">
        <v>12</v>
      </c>
      <c r="D323" s="1">
        <v>271785</v>
      </c>
      <c r="E323" s="4">
        <v>115150</v>
      </c>
      <c r="F323" s="4">
        <f t="shared" si="11"/>
        <v>21878.5</v>
      </c>
      <c r="G323" s="4">
        <f t="shared" si="12"/>
        <v>137028.5</v>
      </c>
      <c r="H323" s="1">
        <f t="shared" si="13"/>
        <v>1</v>
      </c>
      <c r="I323" s="1">
        <f t="shared" si="14"/>
        <v>2023</v>
      </c>
      <c r="J323" s="4"/>
      <c r="K323" s="1" t="s">
        <v>87</v>
      </c>
    </row>
    <row r="324" spans="1:11">
      <c r="A324" s="1" t="s">
        <v>28</v>
      </c>
      <c r="B324" s="7">
        <v>44939</v>
      </c>
      <c r="C324" s="1" t="s">
        <v>12</v>
      </c>
      <c r="D324" s="1">
        <v>689546</v>
      </c>
      <c r="E324" s="4">
        <v>7613.5</v>
      </c>
      <c r="F324" s="4">
        <f t="shared" si="11"/>
        <v>1446.5650000000001</v>
      </c>
      <c r="G324" s="4">
        <f t="shared" si="12"/>
        <v>9060.0650000000005</v>
      </c>
      <c r="H324" s="1">
        <f t="shared" si="13"/>
        <v>1</v>
      </c>
      <c r="I324" s="1">
        <f t="shared" si="14"/>
        <v>2023</v>
      </c>
      <c r="J324" s="4"/>
      <c r="K324" s="1" t="s">
        <v>87</v>
      </c>
    </row>
    <row r="325" spans="1:11">
      <c r="A325" s="1" t="s">
        <v>239</v>
      </c>
      <c r="B325" s="7">
        <v>44939</v>
      </c>
      <c r="C325" s="1" t="s">
        <v>12</v>
      </c>
      <c r="D325" s="1">
        <v>121586</v>
      </c>
      <c r="E325" s="4">
        <v>84033.61</v>
      </c>
      <c r="F325" s="4">
        <f t="shared" si="11"/>
        <v>15966.385900000001</v>
      </c>
      <c r="G325" s="4">
        <f t="shared" si="12"/>
        <v>99999.995900000009</v>
      </c>
      <c r="H325" s="1">
        <f t="shared" si="13"/>
        <v>1</v>
      </c>
      <c r="I325" s="1">
        <f t="shared" si="14"/>
        <v>2023</v>
      </c>
      <c r="J325" s="4"/>
      <c r="K325" s="1" t="s">
        <v>87</v>
      </c>
    </row>
    <row r="326" spans="1:11">
      <c r="A326" s="1" t="s">
        <v>240</v>
      </c>
      <c r="B326" s="7">
        <v>44943</v>
      </c>
      <c r="C326" s="1" t="s">
        <v>12</v>
      </c>
      <c r="D326" s="1">
        <v>795</v>
      </c>
      <c r="E326" s="4">
        <v>13361.34</v>
      </c>
      <c r="F326" s="4">
        <f t="shared" si="11"/>
        <v>2538.6545999999998</v>
      </c>
      <c r="G326" s="4">
        <f t="shared" si="12"/>
        <v>15899.9946</v>
      </c>
      <c r="H326" s="1">
        <f t="shared" si="13"/>
        <v>1</v>
      </c>
      <c r="I326" s="1">
        <f t="shared" si="14"/>
        <v>2023</v>
      </c>
      <c r="J326" s="4"/>
      <c r="K326" s="1" t="s">
        <v>87</v>
      </c>
    </row>
    <row r="327" spans="1:11">
      <c r="A327" s="1" t="s">
        <v>241</v>
      </c>
      <c r="B327" s="7">
        <v>44943</v>
      </c>
      <c r="C327" s="1"/>
      <c r="E327" s="4">
        <v>5579.83</v>
      </c>
      <c r="F327" s="4">
        <f t="shared" si="11"/>
        <v>1060.1677</v>
      </c>
      <c r="G327" s="4">
        <f t="shared" si="12"/>
        <v>6639.9976999999999</v>
      </c>
      <c r="H327" s="1">
        <f t="shared" si="13"/>
        <v>1</v>
      </c>
      <c r="I327" s="1">
        <f t="shared" si="14"/>
        <v>2023</v>
      </c>
      <c r="J327" s="4"/>
      <c r="K327" s="1" t="s">
        <v>87</v>
      </c>
    </row>
    <row r="328" spans="1:11">
      <c r="A328" s="1" t="s">
        <v>242</v>
      </c>
      <c r="B328" s="7">
        <v>44940</v>
      </c>
      <c r="C328" s="1" t="s">
        <v>12</v>
      </c>
      <c r="D328" s="1">
        <v>2296196</v>
      </c>
      <c r="E328" s="4">
        <v>7025.21</v>
      </c>
      <c r="F328" s="4">
        <f t="shared" si="11"/>
        <v>1334.7899</v>
      </c>
      <c r="G328" s="4">
        <f t="shared" si="12"/>
        <v>8359.9999000000007</v>
      </c>
      <c r="H328" s="1">
        <f t="shared" si="13"/>
        <v>1</v>
      </c>
      <c r="I328" s="1">
        <f t="shared" si="14"/>
        <v>2023</v>
      </c>
      <c r="J328" s="4"/>
      <c r="K328" s="1" t="s">
        <v>87</v>
      </c>
    </row>
    <row r="329" spans="1:11">
      <c r="A329" s="1" t="s">
        <v>243</v>
      </c>
      <c r="B329" s="7">
        <v>44949</v>
      </c>
      <c r="C329" s="1" t="s">
        <v>12</v>
      </c>
      <c r="E329" s="4">
        <v>53773.108999999997</v>
      </c>
      <c r="F329" s="4">
        <f t="shared" si="11"/>
        <v>10216.89071</v>
      </c>
      <c r="G329" s="4">
        <f t="shared" si="12"/>
        <v>63989.999709999996</v>
      </c>
      <c r="H329" s="1">
        <f t="shared" si="13"/>
        <v>1</v>
      </c>
      <c r="I329" s="1">
        <f t="shared" si="14"/>
        <v>2023</v>
      </c>
      <c r="J329" s="4"/>
      <c r="K329" s="1" t="s">
        <v>87</v>
      </c>
    </row>
    <row r="330" spans="1:11">
      <c r="A330" s="1" t="s">
        <v>175</v>
      </c>
      <c r="B330" s="7">
        <v>44948</v>
      </c>
      <c r="C330" s="1"/>
      <c r="E330" s="4">
        <v>67588.235000000001</v>
      </c>
      <c r="F330" s="4">
        <f t="shared" si="11"/>
        <v>12841.764650000001</v>
      </c>
      <c r="G330" s="4">
        <f t="shared" si="12"/>
        <v>80429.999649999998</v>
      </c>
      <c r="H330" s="1">
        <f t="shared" si="13"/>
        <v>1</v>
      </c>
      <c r="I330" s="1">
        <f t="shared" si="14"/>
        <v>2023</v>
      </c>
      <c r="J330" s="4"/>
      <c r="K330" s="1" t="s">
        <v>87</v>
      </c>
    </row>
    <row r="331" spans="1:11">
      <c r="A331" s="1" t="s">
        <v>242</v>
      </c>
      <c r="B331" s="7">
        <v>44945</v>
      </c>
      <c r="C331" s="1" t="s">
        <v>12</v>
      </c>
      <c r="D331" s="1">
        <v>2302947</v>
      </c>
      <c r="E331" s="4">
        <v>12059</v>
      </c>
      <c r="F331" s="4">
        <f t="shared" si="11"/>
        <v>2291.21</v>
      </c>
      <c r="G331" s="4">
        <f t="shared" si="12"/>
        <v>14350.21</v>
      </c>
      <c r="H331" s="1">
        <f t="shared" si="13"/>
        <v>1</v>
      </c>
      <c r="I331" s="1">
        <f t="shared" si="14"/>
        <v>2023</v>
      </c>
      <c r="J331" s="4"/>
      <c r="K331" s="1" t="s">
        <v>87</v>
      </c>
    </row>
    <row r="332" spans="1:11">
      <c r="A332" s="1" t="s">
        <v>244</v>
      </c>
      <c r="B332" s="7">
        <v>44953</v>
      </c>
      <c r="C332" s="1"/>
      <c r="E332" s="4">
        <v>57974.788999999997</v>
      </c>
      <c r="F332" s="4">
        <f t="shared" si="11"/>
        <v>11015.20991</v>
      </c>
      <c r="G332" s="4">
        <f t="shared" si="12"/>
        <v>68989.998909999995</v>
      </c>
      <c r="H332" s="1">
        <f t="shared" si="13"/>
        <v>1</v>
      </c>
      <c r="I332" s="1">
        <f t="shared" si="14"/>
        <v>2023</v>
      </c>
      <c r="J332" s="4"/>
      <c r="K332" s="1" t="s">
        <v>87</v>
      </c>
    </row>
    <row r="333" spans="1:11">
      <c r="A333" s="1" t="s">
        <v>245</v>
      </c>
      <c r="B333" s="7">
        <v>44963</v>
      </c>
      <c r="C333" s="1" t="s">
        <v>12</v>
      </c>
      <c r="D333" s="1">
        <v>2389505</v>
      </c>
      <c r="E333" s="4">
        <v>19327.73</v>
      </c>
      <c r="F333" s="4">
        <f t="shared" si="11"/>
        <v>3672.2687000000001</v>
      </c>
      <c r="G333" s="4">
        <f t="shared" si="12"/>
        <v>22999.9987</v>
      </c>
      <c r="H333" s="1">
        <f t="shared" si="13"/>
        <v>2</v>
      </c>
      <c r="I333" s="1">
        <f t="shared" si="14"/>
        <v>2023</v>
      </c>
      <c r="J333" s="4"/>
      <c r="K333" s="1" t="s">
        <v>87</v>
      </c>
    </row>
    <row r="334" spans="1:11">
      <c r="A334" s="1" t="s">
        <v>245</v>
      </c>
      <c r="B334" s="7">
        <v>44963</v>
      </c>
      <c r="C334" s="1" t="s">
        <v>12</v>
      </c>
      <c r="D334" s="1">
        <v>2389506</v>
      </c>
      <c r="E334" s="4">
        <v>28966.38</v>
      </c>
      <c r="F334" s="4">
        <f t="shared" si="11"/>
        <v>5503.6122000000005</v>
      </c>
      <c r="G334" s="4">
        <f t="shared" si="12"/>
        <v>34469.992200000001</v>
      </c>
      <c r="H334" s="1">
        <f t="shared" si="13"/>
        <v>2</v>
      </c>
      <c r="I334" s="1">
        <f t="shared" si="14"/>
        <v>2023</v>
      </c>
      <c r="J334" s="4"/>
      <c r="K334" s="1" t="s">
        <v>87</v>
      </c>
    </row>
    <row r="335" spans="1:11">
      <c r="A335" s="1" t="s">
        <v>245</v>
      </c>
      <c r="B335" s="7">
        <v>44963</v>
      </c>
      <c r="C335" s="1"/>
      <c r="E335" s="4">
        <v>32747.899000000001</v>
      </c>
      <c r="F335" s="4">
        <f t="shared" si="11"/>
        <v>6222.1008099999999</v>
      </c>
      <c r="G335" s="4">
        <f t="shared" si="12"/>
        <v>38969.999810000001</v>
      </c>
      <c r="H335" s="1">
        <f t="shared" si="13"/>
        <v>2</v>
      </c>
      <c r="I335" s="1">
        <f t="shared" si="14"/>
        <v>2023</v>
      </c>
      <c r="J335" s="4"/>
      <c r="K335" s="1" t="s">
        <v>87</v>
      </c>
    </row>
    <row r="336" spans="1:11">
      <c r="A336" s="1" t="s">
        <v>166</v>
      </c>
      <c r="B336" s="7">
        <v>44963</v>
      </c>
      <c r="C336" s="1" t="s">
        <v>12</v>
      </c>
      <c r="D336" s="1">
        <v>45513</v>
      </c>
      <c r="E336" s="4">
        <v>11857.98</v>
      </c>
      <c r="F336" s="4">
        <f t="shared" si="11"/>
        <v>2253.0162</v>
      </c>
      <c r="G336" s="4">
        <f t="shared" si="12"/>
        <v>14110.9962</v>
      </c>
      <c r="H336" s="1">
        <f t="shared" si="13"/>
        <v>2</v>
      </c>
      <c r="I336" s="1">
        <f t="shared" si="14"/>
        <v>2023</v>
      </c>
      <c r="J336" s="4"/>
      <c r="K336" s="1" t="s">
        <v>87</v>
      </c>
    </row>
    <row r="337" spans="1:13">
      <c r="A337" s="1" t="s">
        <v>246</v>
      </c>
      <c r="B337" s="7">
        <v>44959</v>
      </c>
      <c r="C337" s="1" t="s">
        <v>12</v>
      </c>
      <c r="D337" s="1">
        <v>28601</v>
      </c>
      <c r="E337" s="4">
        <v>4958</v>
      </c>
      <c r="F337" s="4">
        <f t="shared" si="11"/>
        <v>942.02</v>
      </c>
      <c r="G337" s="4">
        <f t="shared" si="12"/>
        <v>5900.02</v>
      </c>
      <c r="H337" s="1">
        <f t="shared" si="13"/>
        <v>2</v>
      </c>
      <c r="I337" s="1">
        <f t="shared" si="14"/>
        <v>2023</v>
      </c>
      <c r="J337" s="4"/>
      <c r="K337" s="1" t="s">
        <v>87</v>
      </c>
    </row>
    <row r="338" spans="1:13">
      <c r="A338" s="1" t="s">
        <v>203</v>
      </c>
      <c r="B338" s="7">
        <v>44960</v>
      </c>
      <c r="C338" s="1" t="s">
        <v>12</v>
      </c>
      <c r="D338" s="1">
        <v>35917739</v>
      </c>
      <c r="E338" s="4">
        <v>21059.66</v>
      </c>
      <c r="F338" s="4">
        <f t="shared" si="11"/>
        <v>4001.3353999999999</v>
      </c>
      <c r="G338" s="4">
        <f t="shared" si="12"/>
        <v>25060.9954</v>
      </c>
      <c r="H338" s="1">
        <f t="shared" si="13"/>
        <v>2</v>
      </c>
      <c r="I338" s="1">
        <f t="shared" si="14"/>
        <v>2023</v>
      </c>
      <c r="J338" s="4"/>
      <c r="K338" s="1" t="s">
        <v>87</v>
      </c>
    </row>
    <row r="339" spans="1:13">
      <c r="A339" s="1" t="s">
        <v>247</v>
      </c>
      <c r="B339" s="7">
        <v>44964</v>
      </c>
      <c r="C339" s="1" t="s">
        <v>12</v>
      </c>
      <c r="D339" s="1">
        <v>28686</v>
      </c>
      <c r="E339" s="4">
        <v>23445</v>
      </c>
      <c r="F339" s="4">
        <f t="shared" si="11"/>
        <v>4454.55</v>
      </c>
      <c r="G339" s="4">
        <f t="shared" si="12"/>
        <v>27899.55</v>
      </c>
      <c r="H339" s="1">
        <f t="shared" si="13"/>
        <v>2</v>
      </c>
      <c r="I339" s="1">
        <f t="shared" si="14"/>
        <v>2023</v>
      </c>
      <c r="J339" s="4"/>
      <c r="K339" s="1" t="s">
        <v>87</v>
      </c>
    </row>
    <row r="340" spans="1:13">
      <c r="A340" s="1" t="s">
        <v>248</v>
      </c>
      <c r="B340" s="7">
        <v>44965</v>
      </c>
      <c r="C340" s="1" t="s">
        <v>12</v>
      </c>
      <c r="D340" s="1">
        <v>28726</v>
      </c>
      <c r="E340" s="4">
        <v>6723</v>
      </c>
      <c r="F340" s="4">
        <f t="shared" si="11"/>
        <v>1277.3700000000001</v>
      </c>
      <c r="G340" s="4">
        <f t="shared" si="12"/>
        <v>8000.37</v>
      </c>
      <c r="H340" s="1">
        <f t="shared" si="13"/>
        <v>2</v>
      </c>
      <c r="I340" s="1">
        <f t="shared" si="14"/>
        <v>2023</v>
      </c>
      <c r="J340" s="4"/>
      <c r="K340" s="1" t="s">
        <v>87</v>
      </c>
    </row>
    <row r="341" spans="1:13">
      <c r="A341" s="1" t="s">
        <v>249</v>
      </c>
      <c r="B341" s="7">
        <v>44967</v>
      </c>
      <c r="C341" s="1" t="s">
        <v>12</v>
      </c>
      <c r="D341" s="1">
        <v>1405</v>
      </c>
      <c r="E341" s="4">
        <v>68907.56</v>
      </c>
      <c r="F341" s="4">
        <f t="shared" si="11"/>
        <v>13092.436400000001</v>
      </c>
      <c r="G341" s="4">
        <f t="shared" si="12"/>
        <v>81999.996400000004</v>
      </c>
      <c r="H341" s="1">
        <f t="shared" si="13"/>
        <v>2</v>
      </c>
      <c r="I341" s="1">
        <f t="shared" si="14"/>
        <v>2023</v>
      </c>
      <c r="J341" s="4"/>
      <c r="K341" s="1" t="s">
        <v>87</v>
      </c>
    </row>
    <row r="342" spans="1:13">
      <c r="A342" s="1" t="s">
        <v>250</v>
      </c>
      <c r="B342" s="7">
        <v>44967</v>
      </c>
      <c r="C342" s="1"/>
      <c r="E342" s="4">
        <v>29411.759999999998</v>
      </c>
      <c r="F342" s="4">
        <f t="shared" si="11"/>
        <v>5588.2343999999994</v>
      </c>
      <c r="G342" s="4">
        <f t="shared" si="12"/>
        <v>34999.994399999996</v>
      </c>
      <c r="H342" s="1">
        <f t="shared" si="13"/>
        <v>2</v>
      </c>
      <c r="I342" s="1">
        <f t="shared" si="14"/>
        <v>2023</v>
      </c>
      <c r="J342" s="4"/>
      <c r="K342" s="1" t="s">
        <v>87</v>
      </c>
    </row>
    <row r="343" spans="1:13">
      <c r="A343" s="1" t="s">
        <v>251</v>
      </c>
      <c r="B343" s="7">
        <v>44968</v>
      </c>
      <c r="C343" s="1" t="s">
        <v>12</v>
      </c>
      <c r="D343" s="1">
        <v>2329787</v>
      </c>
      <c r="E343" s="4">
        <v>7705.88</v>
      </c>
      <c r="F343" s="4">
        <f t="shared" si="11"/>
        <v>1464.1172000000001</v>
      </c>
      <c r="G343" s="4">
        <f t="shared" si="12"/>
        <v>9169.9971999999998</v>
      </c>
      <c r="H343" s="1">
        <f t="shared" si="13"/>
        <v>2</v>
      </c>
      <c r="I343" s="1">
        <f t="shared" si="14"/>
        <v>2023</v>
      </c>
      <c r="J343" s="4"/>
      <c r="K343" s="1" t="s">
        <v>87</v>
      </c>
    </row>
    <row r="344" spans="1:13">
      <c r="A344" s="1" t="s">
        <v>14</v>
      </c>
      <c r="B344" s="7">
        <v>44971</v>
      </c>
      <c r="C344" s="1" t="s">
        <v>12</v>
      </c>
      <c r="D344" s="1">
        <v>40309</v>
      </c>
      <c r="E344" s="4">
        <v>118200</v>
      </c>
      <c r="F344" s="4">
        <f t="shared" si="11"/>
        <v>22458</v>
      </c>
      <c r="G344" s="4">
        <f t="shared" si="12"/>
        <v>140658</v>
      </c>
      <c r="H344" s="1">
        <f t="shared" si="13"/>
        <v>2</v>
      </c>
      <c r="I344" s="1">
        <f t="shared" si="14"/>
        <v>2023</v>
      </c>
      <c r="J344" s="4"/>
      <c r="K344" s="1" t="s">
        <v>87</v>
      </c>
    </row>
    <row r="345" spans="1:13">
      <c r="A345" s="1" t="s">
        <v>249</v>
      </c>
      <c r="B345" s="7">
        <v>44971</v>
      </c>
      <c r="C345" s="1" t="s">
        <v>12</v>
      </c>
      <c r="D345" s="1">
        <v>1418</v>
      </c>
      <c r="E345" s="4">
        <v>91596.64</v>
      </c>
      <c r="F345" s="4">
        <f t="shared" si="11"/>
        <v>17403.3616</v>
      </c>
      <c r="G345" s="4">
        <f t="shared" si="12"/>
        <v>109000.0016</v>
      </c>
      <c r="H345" s="1">
        <f t="shared" si="13"/>
        <v>2</v>
      </c>
      <c r="I345" s="1">
        <f t="shared" si="14"/>
        <v>2023</v>
      </c>
      <c r="J345" s="4"/>
      <c r="K345" s="1" t="s">
        <v>87</v>
      </c>
      <c r="L345" s="1">
        <v>103000</v>
      </c>
    </row>
    <row r="346" spans="1:13">
      <c r="A346" s="1" t="s">
        <v>212</v>
      </c>
      <c r="B346" s="7">
        <v>44977</v>
      </c>
      <c r="C346" s="1" t="s">
        <v>12</v>
      </c>
      <c r="D346" s="1">
        <v>1886011</v>
      </c>
      <c r="E346" s="4">
        <v>58442.857000000004</v>
      </c>
      <c r="F346" s="4">
        <f t="shared" si="11"/>
        <v>11104.142830000001</v>
      </c>
      <c r="G346" s="4">
        <f t="shared" si="12"/>
        <v>69546.999830000001</v>
      </c>
      <c r="H346" s="1">
        <f t="shared" si="13"/>
        <v>2</v>
      </c>
      <c r="I346" s="1">
        <f t="shared" si="14"/>
        <v>2023</v>
      </c>
      <c r="J346" s="4"/>
      <c r="K346" s="1" t="s">
        <v>87</v>
      </c>
    </row>
    <row r="347" spans="1:13">
      <c r="A347" s="1" t="s">
        <v>212</v>
      </c>
      <c r="B347" s="7">
        <v>44977</v>
      </c>
      <c r="C347" s="1" t="s">
        <v>12</v>
      </c>
      <c r="D347" s="1">
        <v>1876875</v>
      </c>
      <c r="E347" s="4">
        <v>139959.66</v>
      </c>
      <c r="F347" s="4">
        <f t="shared" si="11"/>
        <v>26592.3354</v>
      </c>
      <c r="G347" s="4">
        <f t="shared" si="12"/>
        <v>166551.99540000001</v>
      </c>
      <c r="H347" s="1">
        <f t="shared" si="13"/>
        <v>2</v>
      </c>
      <c r="I347" s="1">
        <f t="shared" si="14"/>
        <v>2023</v>
      </c>
      <c r="J347" s="4"/>
      <c r="K347" s="1" t="s">
        <v>87</v>
      </c>
      <c r="M347" s="1">
        <v>236100</v>
      </c>
    </row>
    <row r="348" spans="1:13">
      <c r="A348" s="1" t="s">
        <v>252</v>
      </c>
      <c r="B348" s="7">
        <v>44973</v>
      </c>
      <c r="C348" s="1" t="s">
        <v>12</v>
      </c>
      <c r="D348" s="1">
        <v>58418</v>
      </c>
      <c r="E348" s="4">
        <v>23100</v>
      </c>
      <c r="F348" s="4">
        <f t="shared" si="11"/>
        <v>4389</v>
      </c>
      <c r="G348" s="4">
        <f t="shared" si="12"/>
        <v>27489</v>
      </c>
      <c r="H348" s="1">
        <f t="shared" si="13"/>
        <v>2</v>
      </c>
      <c r="I348" s="1">
        <f t="shared" si="14"/>
        <v>2023</v>
      </c>
      <c r="J348" s="4"/>
      <c r="K348" s="1" t="s">
        <v>87</v>
      </c>
    </row>
    <row r="349" spans="1:13">
      <c r="A349" s="1" t="s">
        <v>253</v>
      </c>
      <c r="B349" s="7">
        <v>44973</v>
      </c>
      <c r="C349" s="1" t="s">
        <v>12</v>
      </c>
      <c r="D349" s="1">
        <v>28868</v>
      </c>
      <c r="E349" s="4">
        <v>20841.18</v>
      </c>
      <c r="F349" s="4">
        <f t="shared" si="11"/>
        <v>3959.8242</v>
      </c>
      <c r="G349" s="4">
        <f t="shared" si="12"/>
        <v>24801.004199999999</v>
      </c>
      <c r="H349" s="1">
        <f t="shared" si="13"/>
        <v>2</v>
      </c>
      <c r="I349" s="1">
        <f t="shared" si="14"/>
        <v>2023</v>
      </c>
      <c r="J349" s="4"/>
      <c r="K349" s="1" t="s">
        <v>87</v>
      </c>
    </row>
    <row r="350" spans="1:13">
      <c r="A350" s="1" t="s">
        <v>254</v>
      </c>
      <c r="B350" s="7">
        <v>44973</v>
      </c>
      <c r="C350" s="1"/>
      <c r="E350" s="4">
        <v>33613.449999999997</v>
      </c>
      <c r="F350" s="4">
        <f t="shared" si="11"/>
        <v>6386.5554999999995</v>
      </c>
      <c r="G350" s="4">
        <f t="shared" si="12"/>
        <v>40000.005499999999</v>
      </c>
      <c r="H350" s="1">
        <f t="shared" si="13"/>
        <v>2</v>
      </c>
      <c r="I350" s="1">
        <f t="shared" si="14"/>
        <v>2023</v>
      </c>
      <c r="J350" s="4"/>
      <c r="K350" s="1" t="s">
        <v>87</v>
      </c>
    </row>
    <row r="351" spans="1:13">
      <c r="A351" s="1" t="s">
        <v>255</v>
      </c>
      <c r="B351" s="7">
        <v>44977</v>
      </c>
      <c r="C351" s="1" t="s">
        <v>12</v>
      </c>
      <c r="D351" s="1">
        <v>397268</v>
      </c>
      <c r="E351" s="4">
        <v>105714</v>
      </c>
      <c r="F351" s="4">
        <f t="shared" si="11"/>
        <v>20085.66</v>
      </c>
      <c r="G351" s="4">
        <f t="shared" si="12"/>
        <v>125799.66</v>
      </c>
      <c r="H351" s="1">
        <f t="shared" si="13"/>
        <v>2</v>
      </c>
      <c r="I351" s="1">
        <f t="shared" si="14"/>
        <v>2023</v>
      </c>
      <c r="J351" s="4"/>
      <c r="K351" s="1" t="s">
        <v>87</v>
      </c>
    </row>
    <row r="352" spans="1:13">
      <c r="A352" s="1" t="s">
        <v>256</v>
      </c>
      <c r="B352" s="7">
        <v>44977</v>
      </c>
      <c r="C352" s="1" t="s">
        <v>12</v>
      </c>
      <c r="D352" s="1">
        <v>28946</v>
      </c>
      <c r="E352" s="4">
        <v>8236.134</v>
      </c>
      <c r="F352" s="4">
        <f t="shared" si="11"/>
        <v>1564.86546</v>
      </c>
      <c r="G352" s="4">
        <f t="shared" si="12"/>
        <v>9800.9994599999991</v>
      </c>
      <c r="H352" s="1">
        <f t="shared" si="13"/>
        <v>2</v>
      </c>
      <c r="I352" s="1">
        <f t="shared" si="14"/>
        <v>2023</v>
      </c>
      <c r="J352" s="4"/>
      <c r="K352" s="1" t="s">
        <v>87</v>
      </c>
    </row>
    <row r="353" spans="1:11">
      <c r="A353" s="1" t="s">
        <v>256</v>
      </c>
      <c r="B353" s="7">
        <v>44980</v>
      </c>
      <c r="C353" s="1" t="s">
        <v>12</v>
      </c>
      <c r="D353" s="1">
        <v>29009</v>
      </c>
      <c r="E353" s="4">
        <v>4117.6469999999999</v>
      </c>
      <c r="F353" s="4">
        <f t="shared" si="11"/>
        <v>782.35293000000001</v>
      </c>
      <c r="G353" s="4">
        <f t="shared" si="12"/>
        <v>4899.9999299999999</v>
      </c>
      <c r="H353" s="1">
        <f t="shared" si="13"/>
        <v>2</v>
      </c>
      <c r="I353" s="1">
        <f t="shared" si="14"/>
        <v>2023</v>
      </c>
      <c r="J353" s="4"/>
      <c r="K353" s="1" t="s">
        <v>87</v>
      </c>
    </row>
    <row r="354" spans="1:11">
      <c r="A354" s="1" t="s">
        <v>257</v>
      </c>
      <c r="B354" s="7">
        <v>44981</v>
      </c>
      <c r="C354" s="1" t="s">
        <v>12</v>
      </c>
      <c r="D354" s="1">
        <v>2438659</v>
      </c>
      <c r="E354" s="4">
        <v>42008.4</v>
      </c>
      <c r="F354" s="4">
        <f t="shared" si="11"/>
        <v>7981.5960000000005</v>
      </c>
      <c r="G354" s="4">
        <f t="shared" si="12"/>
        <v>49989.995999999999</v>
      </c>
      <c r="H354" s="1">
        <f t="shared" si="13"/>
        <v>2</v>
      </c>
      <c r="I354" s="1">
        <f t="shared" si="14"/>
        <v>2023</v>
      </c>
      <c r="J354" s="4"/>
      <c r="K354" s="1" t="s">
        <v>87</v>
      </c>
    </row>
    <row r="355" spans="1:11">
      <c r="A355" s="1" t="s">
        <v>258</v>
      </c>
      <c r="B355" s="7">
        <v>44981</v>
      </c>
      <c r="C355" s="1" t="s">
        <v>12</v>
      </c>
      <c r="D355" s="1">
        <v>29033</v>
      </c>
      <c r="E355" s="4">
        <v>3361.34</v>
      </c>
      <c r="F355" s="4">
        <f t="shared" si="11"/>
        <v>638.65460000000007</v>
      </c>
      <c r="G355" s="4">
        <f t="shared" si="12"/>
        <v>3999.9946</v>
      </c>
      <c r="H355" s="1">
        <f t="shared" si="13"/>
        <v>2</v>
      </c>
      <c r="I355" s="1">
        <f t="shared" si="14"/>
        <v>2023</v>
      </c>
      <c r="J355" s="4"/>
      <c r="K355" s="1" t="s">
        <v>87</v>
      </c>
    </row>
    <row r="356" spans="1:11">
      <c r="A356" s="1" t="s">
        <v>259</v>
      </c>
      <c r="B356" s="7">
        <v>44982</v>
      </c>
      <c r="C356" s="1" t="s">
        <v>12</v>
      </c>
      <c r="D356" s="1">
        <v>2341721</v>
      </c>
      <c r="E356" s="4">
        <v>5286</v>
      </c>
      <c r="F356" s="4">
        <f t="shared" si="11"/>
        <v>1004.34</v>
      </c>
      <c r="G356" s="4">
        <f t="shared" si="12"/>
        <v>6290.34</v>
      </c>
      <c r="H356" s="1">
        <f t="shared" si="13"/>
        <v>2</v>
      </c>
      <c r="I356" s="1">
        <f t="shared" si="14"/>
        <v>2023</v>
      </c>
      <c r="J356" s="4"/>
      <c r="K356" s="1" t="s">
        <v>87</v>
      </c>
    </row>
    <row r="357" spans="1:11">
      <c r="A357" s="1" t="s">
        <v>260</v>
      </c>
      <c r="B357" s="7">
        <v>44985</v>
      </c>
      <c r="C357" s="1" t="s">
        <v>12</v>
      </c>
      <c r="D357" s="1">
        <v>2343539</v>
      </c>
      <c r="E357" s="4">
        <v>3774</v>
      </c>
      <c r="F357" s="4">
        <f t="shared" si="11"/>
        <v>717.06000000000006</v>
      </c>
      <c r="G357" s="4">
        <f t="shared" si="12"/>
        <v>4491.0600000000004</v>
      </c>
      <c r="H357" s="1">
        <f t="shared" si="13"/>
        <v>2</v>
      </c>
      <c r="I357" s="1">
        <f t="shared" si="14"/>
        <v>2023</v>
      </c>
      <c r="J357" s="4"/>
      <c r="K357" s="1" t="s">
        <v>87</v>
      </c>
    </row>
    <row r="358" spans="1:11">
      <c r="A358" s="1" t="s">
        <v>261</v>
      </c>
      <c r="B358" s="7">
        <v>44985</v>
      </c>
      <c r="C358" s="1" t="s">
        <v>12</v>
      </c>
      <c r="D358" s="1">
        <v>29093</v>
      </c>
      <c r="E358" s="4">
        <v>4958</v>
      </c>
      <c r="F358" s="4">
        <f t="shared" si="11"/>
        <v>942.02</v>
      </c>
      <c r="G358" s="4">
        <f t="shared" si="12"/>
        <v>5900.02</v>
      </c>
      <c r="H358" s="1">
        <f t="shared" si="13"/>
        <v>2</v>
      </c>
      <c r="I358" s="1">
        <f t="shared" si="14"/>
        <v>2023</v>
      </c>
      <c r="J358" s="4"/>
      <c r="K358" s="1" t="s">
        <v>87</v>
      </c>
    </row>
    <row r="359" spans="1:11">
      <c r="A359" s="1" t="s">
        <v>14</v>
      </c>
      <c r="B359" s="7">
        <v>44987</v>
      </c>
      <c r="C359" s="1" t="s">
        <v>12</v>
      </c>
      <c r="D359" s="1">
        <v>40643</v>
      </c>
      <c r="E359" s="4">
        <v>137500</v>
      </c>
      <c r="F359" s="4">
        <f t="shared" si="11"/>
        <v>26125</v>
      </c>
      <c r="G359" s="4">
        <f t="shared" si="12"/>
        <v>163625</v>
      </c>
      <c r="H359" s="1">
        <f t="shared" si="13"/>
        <v>3</v>
      </c>
      <c r="I359" s="1">
        <f t="shared" si="14"/>
        <v>2023</v>
      </c>
      <c r="J359" s="4"/>
      <c r="K359" s="1" t="s">
        <v>87</v>
      </c>
    </row>
    <row r="360" spans="1:11">
      <c r="A360" s="1" t="s">
        <v>262</v>
      </c>
      <c r="B360" s="7">
        <v>44987</v>
      </c>
      <c r="C360" s="1" t="s">
        <v>12</v>
      </c>
      <c r="D360" s="1">
        <v>29155</v>
      </c>
      <c r="E360" s="4">
        <v>7142.8559999999998</v>
      </c>
      <c r="F360" s="4">
        <f t="shared" si="11"/>
        <v>1357.14264</v>
      </c>
      <c r="G360" s="4">
        <f t="shared" si="12"/>
        <v>8499.9986399999998</v>
      </c>
      <c r="H360" s="1">
        <f t="shared" si="13"/>
        <v>3</v>
      </c>
      <c r="I360" s="1">
        <f t="shared" si="14"/>
        <v>2023</v>
      </c>
      <c r="J360" s="4"/>
      <c r="K360" s="1" t="s">
        <v>87</v>
      </c>
    </row>
    <row r="361" spans="1:11">
      <c r="A361" s="1" t="s">
        <v>253</v>
      </c>
      <c r="B361" s="7">
        <v>44988</v>
      </c>
      <c r="C361" s="1" t="s">
        <v>12</v>
      </c>
      <c r="D361" s="1">
        <v>29173</v>
      </c>
      <c r="E361" s="4">
        <v>16806.722000000002</v>
      </c>
      <c r="F361" s="4">
        <f t="shared" si="11"/>
        <v>3193.2771800000005</v>
      </c>
      <c r="G361" s="4">
        <f t="shared" si="12"/>
        <v>19999.999180000003</v>
      </c>
      <c r="H361" s="1">
        <f t="shared" si="13"/>
        <v>3</v>
      </c>
      <c r="I361" s="1">
        <f t="shared" si="14"/>
        <v>2023</v>
      </c>
      <c r="J361" s="4"/>
      <c r="K361" s="1" t="s">
        <v>87</v>
      </c>
    </row>
    <row r="362" spans="1:11">
      <c r="A362" s="1" t="s">
        <v>203</v>
      </c>
      <c r="B362" s="7">
        <v>44988</v>
      </c>
      <c r="C362" s="1" t="s">
        <v>12</v>
      </c>
      <c r="D362" s="1">
        <v>36142295</v>
      </c>
      <c r="E362" s="4">
        <v>21173.1</v>
      </c>
      <c r="F362" s="4">
        <f t="shared" si="11"/>
        <v>4022.8889999999997</v>
      </c>
      <c r="G362" s="4">
        <f t="shared" si="12"/>
        <v>25195.988999999998</v>
      </c>
      <c r="H362" s="1">
        <f t="shared" si="13"/>
        <v>3</v>
      </c>
      <c r="I362" s="1">
        <f t="shared" si="14"/>
        <v>2023</v>
      </c>
      <c r="J362" s="4"/>
      <c r="K362" s="1" t="s">
        <v>87</v>
      </c>
    </row>
    <row r="363" spans="1:11">
      <c r="A363" s="1" t="s">
        <v>263</v>
      </c>
      <c r="B363" s="7">
        <v>44998</v>
      </c>
      <c r="C363" s="1"/>
      <c r="E363" s="4">
        <v>1015.967</v>
      </c>
      <c r="F363" s="4">
        <f t="shared" si="11"/>
        <v>193.03372999999999</v>
      </c>
      <c r="G363" s="4">
        <f t="shared" si="12"/>
        <v>1209.00073</v>
      </c>
      <c r="H363" s="1">
        <f t="shared" si="13"/>
        <v>3</v>
      </c>
      <c r="I363" s="1">
        <f t="shared" si="14"/>
        <v>2023</v>
      </c>
      <c r="J363" s="4"/>
      <c r="K363" s="1" t="s">
        <v>87</v>
      </c>
    </row>
    <row r="364" spans="1:11">
      <c r="A364" s="1" t="s">
        <v>264</v>
      </c>
      <c r="B364" s="7">
        <v>44999</v>
      </c>
      <c r="C364" s="1" t="s">
        <v>12</v>
      </c>
      <c r="D364" s="1">
        <v>2503817</v>
      </c>
      <c r="E364" s="4">
        <v>48277.21</v>
      </c>
      <c r="F364" s="4">
        <f t="shared" si="11"/>
        <v>9172.6699000000008</v>
      </c>
      <c r="G364" s="4">
        <f t="shared" si="12"/>
        <v>57449.8799</v>
      </c>
      <c r="H364" s="1">
        <f t="shared" si="13"/>
        <v>3</v>
      </c>
      <c r="I364" s="1">
        <f t="shared" si="14"/>
        <v>2023</v>
      </c>
      <c r="J364" s="4"/>
      <c r="K364" s="1" t="s">
        <v>87</v>
      </c>
    </row>
    <row r="365" spans="1:11">
      <c r="A365" s="1" t="s">
        <v>264</v>
      </c>
      <c r="B365" s="7">
        <v>44999</v>
      </c>
      <c r="C365" s="1"/>
      <c r="E365" s="4">
        <v>31109.24</v>
      </c>
      <c r="F365" s="4">
        <f t="shared" si="11"/>
        <v>5910.7556000000004</v>
      </c>
      <c r="G365" s="4">
        <f t="shared" si="12"/>
        <v>37019.995600000002</v>
      </c>
      <c r="H365" s="1">
        <f t="shared" si="13"/>
        <v>3</v>
      </c>
      <c r="I365" s="1">
        <f t="shared" si="14"/>
        <v>2023</v>
      </c>
      <c r="J365" s="4"/>
      <c r="K365" s="1" t="s">
        <v>87</v>
      </c>
    </row>
    <row r="366" spans="1:11">
      <c r="A366" s="1" t="s">
        <v>265</v>
      </c>
      <c r="B366" s="7">
        <v>44989</v>
      </c>
      <c r="C366" s="1" t="s">
        <v>12</v>
      </c>
      <c r="D366" s="1">
        <v>2461353</v>
      </c>
      <c r="E366" s="4">
        <v>27638.65</v>
      </c>
      <c r="F366" s="4">
        <f t="shared" si="11"/>
        <v>5251.3434999999999</v>
      </c>
      <c r="G366" s="4">
        <f t="shared" si="12"/>
        <v>32889.993500000004</v>
      </c>
      <c r="H366" s="1">
        <f t="shared" si="13"/>
        <v>3</v>
      </c>
      <c r="I366" s="1">
        <f t="shared" si="14"/>
        <v>2023</v>
      </c>
      <c r="J366" s="4"/>
      <c r="K366" s="1" t="s">
        <v>87</v>
      </c>
    </row>
    <row r="367" spans="1:11">
      <c r="A367" s="1" t="s">
        <v>253</v>
      </c>
      <c r="B367" s="7">
        <v>44991</v>
      </c>
      <c r="C367" s="1" t="s">
        <v>12</v>
      </c>
      <c r="D367" s="1">
        <v>29220</v>
      </c>
      <c r="E367" s="4">
        <v>8740</v>
      </c>
      <c r="F367" s="4">
        <f t="shared" si="11"/>
        <v>1660.6</v>
      </c>
      <c r="G367" s="4">
        <f t="shared" si="12"/>
        <v>10400.6</v>
      </c>
      <c r="H367" s="1">
        <f t="shared" si="13"/>
        <v>3</v>
      </c>
      <c r="I367" s="1">
        <f t="shared" si="14"/>
        <v>2023</v>
      </c>
      <c r="J367" s="4"/>
      <c r="K367" s="1" t="s">
        <v>87</v>
      </c>
    </row>
    <row r="368" spans="1:11">
      <c r="A368" s="1" t="s">
        <v>14</v>
      </c>
      <c r="B368" s="7">
        <v>44991</v>
      </c>
      <c r="C368" s="1" t="s">
        <v>12</v>
      </c>
      <c r="D368" s="1">
        <v>40702</v>
      </c>
      <c r="E368" s="4">
        <v>404000</v>
      </c>
      <c r="F368" s="4">
        <f t="shared" si="11"/>
        <v>76760</v>
      </c>
      <c r="G368" s="4">
        <f t="shared" si="12"/>
        <v>480760</v>
      </c>
      <c r="H368" s="1">
        <f t="shared" si="13"/>
        <v>3</v>
      </c>
      <c r="I368" s="1">
        <f t="shared" si="14"/>
        <v>2023</v>
      </c>
      <c r="J368" s="4"/>
      <c r="K368" s="1" t="s">
        <v>87</v>
      </c>
    </row>
    <row r="369" spans="1:11">
      <c r="A369" s="1" t="s">
        <v>22</v>
      </c>
      <c r="B369" s="7">
        <v>44992</v>
      </c>
      <c r="C369" s="1" t="s">
        <v>12</v>
      </c>
      <c r="D369" s="1">
        <v>11313760</v>
      </c>
      <c r="E369" s="4">
        <v>3865.55</v>
      </c>
      <c r="F369" s="4">
        <f t="shared" si="11"/>
        <v>734.45450000000005</v>
      </c>
      <c r="G369" s="4">
        <f t="shared" si="12"/>
        <v>4600.0045</v>
      </c>
      <c r="H369" s="1">
        <f t="shared" si="13"/>
        <v>3</v>
      </c>
      <c r="I369" s="1">
        <f t="shared" si="14"/>
        <v>2023</v>
      </c>
      <c r="J369" s="4"/>
      <c r="K369" s="1" t="s">
        <v>87</v>
      </c>
    </row>
    <row r="370" spans="1:11">
      <c r="A370" s="1" t="s">
        <v>266</v>
      </c>
      <c r="B370" s="7">
        <v>44993</v>
      </c>
      <c r="C370" s="1" t="s">
        <v>12</v>
      </c>
      <c r="D370" s="1">
        <v>6</v>
      </c>
      <c r="E370" s="4">
        <v>20168</v>
      </c>
      <c r="F370" s="4">
        <f t="shared" si="11"/>
        <v>3831.92</v>
      </c>
      <c r="G370" s="4">
        <f t="shared" si="12"/>
        <v>23999.919999999998</v>
      </c>
      <c r="H370" s="1">
        <f t="shared" si="13"/>
        <v>3</v>
      </c>
      <c r="I370" s="1">
        <f t="shared" si="14"/>
        <v>2023</v>
      </c>
      <c r="J370" s="4"/>
      <c r="K370" s="1" t="s">
        <v>87</v>
      </c>
    </row>
    <row r="371" spans="1:11">
      <c r="A371" s="1" t="s">
        <v>14</v>
      </c>
      <c r="B371" s="7">
        <v>44994</v>
      </c>
      <c r="C371" s="1" t="s">
        <v>12</v>
      </c>
      <c r="D371" s="1">
        <v>40759</v>
      </c>
      <c r="E371" s="4">
        <v>54000</v>
      </c>
      <c r="F371" s="4">
        <f t="shared" si="11"/>
        <v>10260</v>
      </c>
      <c r="G371" s="4">
        <f t="shared" si="12"/>
        <v>64260</v>
      </c>
      <c r="H371" s="1">
        <f t="shared" si="13"/>
        <v>3</v>
      </c>
      <c r="I371" s="1">
        <f t="shared" si="14"/>
        <v>2023</v>
      </c>
      <c r="J371" s="4"/>
      <c r="K371" s="1" t="s">
        <v>87</v>
      </c>
    </row>
    <row r="372" spans="1:11">
      <c r="A372" s="1" t="s">
        <v>253</v>
      </c>
      <c r="B372" s="7">
        <v>44994</v>
      </c>
      <c r="C372" s="1" t="s">
        <v>12</v>
      </c>
      <c r="D372" s="1">
        <v>29335</v>
      </c>
      <c r="E372" s="4">
        <v>3782</v>
      </c>
      <c r="F372" s="4">
        <f t="shared" si="11"/>
        <v>718.58</v>
      </c>
      <c r="G372" s="4">
        <f t="shared" si="12"/>
        <v>4500.58</v>
      </c>
      <c r="H372" s="1">
        <f t="shared" si="13"/>
        <v>3</v>
      </c>
      <c r="I372" s="1">
        <f t="shared" si="14"/>
        <v>2023</v>
      </c>
      <c r="J372" s="4"/>
      <c r="K372" s="1" t="s">
        <v>87</v>
      </c>
    </row>
    <row r="373" spans="1:11">
      <c r="A373" s="1" t="s">
        <v>267</v>
      </c>
      <c r="B373" s="7">
        <v>44999</v>
      </c>
      <c r="C373" s="1" t="s">
        <v>12</v>
      </c>
      <c r="D373" s="1">
        <v>29415</v>
      </c>
      <c r="E373" s="4">
        <v>7984</v>
      </c>
      <c r="F373" s="4">
        <f t="shared" si="11"/>
        <v>1516.96</v>
      </c>
      <c r="G373" s="4">
        <f t="shared" si="12"/>
        <v>9500.9599999999991</v>
      </c>
      <c r="H373" s="1">
        <f t="shared" si="13"/>
        <v>3</v>
      </c>
      <c r="I373" s="1">
        <f t="shared" si="14"/>
        <v>2023</v>
      </c>
      <c r="J373" s="4"/>
      <c r="K373" s="1" t="s">
        <v>87</v>
      </c>
    </row>
    <row r="374" spans="1:11">
      <c r="A374" s="1" t="s">
        <v>202</v>
      </c>
      <c r="B374" s="7">
        <v>44999</v>
      </c>
      <c r="C374" s="1" t="s">
        <v>12</v>
      </c>
      <c r="D374" s="1">
        <v>1150483</v>
      </c>
      <c r="E374" s="4">
        <v>2450.42</v>
      </c>
      <c r="F374" s="4">
        <f t="shared" si="11"/>
        <v>465.57980000000003</v>
      </c>
      <c r="G374" s="4">
        <f t="shared" si="12"/>
        <v>2915.9998000000001</v>
      </c>
      <c r="H374" s="1">
        <f t="shared" si="13"/>
        <v>3</v>
      </c>
      <c r="I374" s="1">
        <f t="shared" si="14"/>
        <v>2023</v>
      </c>
      <c r="J374" s="4"/>
      <c r="K374" s="1" t="s">
        <v>87</v>
      </c>
    </row>
    <row r="375" spans="1:11">
      <c r="A375" s="1" t="s">
        <v>268</v>
      </c>
      <c r="B375" s="7">
        <v>45001</v>
      </c>
      <c r="C375" s="1" t="s">
        <v>12</v>
      </c>
      <c r="D375" s="1">
        <v>400889</v>
      </c>
      <c r="E375" s="4">
        <v>37731</v>
      </c>
      <c r="F375" s="4">
        <f t="shared" si="11"/>
        <v>7168.89</v>
      </c>
      <c r="G375" s="4">
        <f t="shared" si="12"/>
        <v>44899.89</v>
      </c>
      <c r="H375" s="1">
        <f t="shared" si="13"/>
        <v>3</v>
      </c>
      <c r="I375" s="1">
        <f t="shared" si="14"/>
        <v>2023</v>
      </c>
      <c r="J375" s="4"/>
      <c r="K375" s="1" t="s">
        <v>87</v>
      </c>
    </row>
    <row r="376" spans="1:11">
      <c r="A376" s="1" t="s">
        <v>269</v>
      </c>
      <c r="B376" s="7">
        <v>45002</v>
      </c>
      <c r="C376" s="1" t="s">
        <v>12</v>
      </c>
      <c r="D376" s="1">
        <v>668</v>
      </c>
      <c r="E376" s="4">
        <v>25210.080000000002</v>
      </c>
      <c r="F376" s="4">
        <f t="shared" si="11"/>
        <v>4789.9152000000004</v>
      </c>
      <c r="G376" s="4">
        <f t="shared" si="12"/>
        <v>29999.995200000001</v>
      </c>
      <c r="H376" s="1">
        <f t="shared" si="13"/>
        <v>3</v>
      </c>
      <c r="I376" s="1">
        <f t="shared" si="14"/>
        <v>2023</v>
      </c>
      <c r="J376" s="4"/>
      <c r="K376" s="1" t="s">
        <v>87</v>
      </c>
    </row>
    <row r="377" spans="1:11">
      <c r="A377" s="1" t="s">
        <v>270</v>
      </c>
      <c r="B377" s="7">
        <v>45001</v>
      </c>
      <c r="C377" s="1" t="s">
        <v>12</v>
      </c>
      <c r="D377" s="1">
        <v>351574</v>
      </c>
      <c r="E377" s="4">
        <v>26807</v>
      </c>
      <c r="F377" s="4">
        <f t="shared" si="11"/>
        <v>5093.33</v>
      </c>
      <c r="G377" s="4">
        <f t="shared" si="12"/>
        <v>31900.33</v>
      </c>
      <c r="H377" s="1">
        <f t="shared" si="13"/>
        <v>3</v>
      </c>
      <c r="I377" s="1">
        <f t="shared" si="14"/>
        <v>2023</v>
      </c>
      <c r="J377" s="4"/>
      <c r="K377" s="1" t="s">
        <v>87</v>
      </c>
    </row>
    <row r="378" spans="1:11">
      <c r="A378" s="1" t="s">
        <v>271</v>
      </c>
      <c r="B378" s="7">
        <v>45001</v>
      </c>
      <c r="C378" s="1" t="s">
        <v>12</v>
      </c>
      <c r="D378" s="1">
        <v>29474</v>
      </c>
      <c r="E378" s="4">
        <v>16135</v>
      </c>
      <c r="F378" s="4">
        <f t="shared" si="11"/>
        <v>3065.65</v>
      </c>
      <c r="G378" s="4">
        <f t="shared" si="12"/>
        <v>19200.650000000001</v>
      </c>
      <c r="H378" s="1">
        <f t="shared" si="13"/>
        <v>3</v>
      </c>
      <c r="I378" s="1">
        <f t="shared" si="14"/>
        <v>2023</v>
      </c>
      <c r="J378" s="4"/>
      <c r="K378" s="1" t="s">
        <v>87</v>
      </c>
    </row>
    <row r="379" spans="1:11">
      <c r="A379" s="1" t="s">
        <v>28</v>
      </c>
      <c r="B379" s="7">
        <v>45003</v>
      </c>
      <c r="C379" s="1" t="s">
        <v>12</v>
      </c>
      <c r="D379" s="1">
        <v>719558</v>
      </c>
      <c r="E379" s="4">
        <v>2059</v>
      </c>
      <c r="F379" s="4">
        <f t="shared" si="11"/>
        <v>391.21</v>
      </c>
      <c r="G379" s="4">
        <f t="shared" si="12"/>
        <v>2450.21</v>
      </c>
      <c r="H379" s="1">
        <f t="shared" si="13"/>
        <v>3</v>
      </c>
      <c r="I379" s="1">
        <f t="shared" si="14"/>
        <v>2023</v>
      </c>
      <c r="J379" s="4"/>
      <c r="K379" s="1" t="s">
        <v>87</v>
      </c>
    </row>
    <row r="380" spans="1:11">
      <c r="A380" s="1" t="s">
        <v>272</v>
      </c>
      <c r="B380" s="7">
        <v>45003</v>
      </c>
      <c r="C380" s="1" t="s">
        <v>12</v>
      </c>
      <c r="D380" s="1">
        <v>29515</v>
      </c>
      <c r="E380" s="4">
        <v>6639</v>
      </c>
      <c r="F380" s="4">
        <f t="shared" si="11"/>
        <v>1261.4100000000001</v>
      </c>
      <c r="G380" s="4">
        <f t="shared" si="12"/>
        <v>7900.41</v>
      </c>
      <c r="H380" s="1">
        <f t="shared" si="13"/>
        <v>3</v>
      </c>
      <c r="I380" s="1">
        <f t="shared" si="14"/>
        <v>2023</v>
      </c>
      <c r="J380" s="4"/>
      <c r="K380" s="1" t="s">
        <v>87</v>
      </c>
    </row>
    <row r="381" spans="1:11">
      <c r="A381" s="1" t="s">
        <v>273</v>
      </c>
      <c r="B381" s="7">
        <v>45003</v>
      </c>
      <c r="C381" s="1"/>
      <c r="E381" s="4">
        <v>3361.34</v>
      </c>
      <c r="F381" s="4">
        <f t="shared" si="11"/>
        <v>638.65460000000007</v>
      </c>
      <c r="G381" s="4">
        <f t="shared" si="12"/>
        <v>3999.9946</v>
      </c>
      <c r="H381" s="1">
        <f t="shared" si="13"/>
        <v>3</v>
      </c>
      <c r="I381" s="1">
        <f t="shared" si="14"/>
        <v>2023</v>
      </c>
      <c r="J381" s="4"/>
      <c r="K381" s="1" t="s">
        <v>87</v>
      </c>
    </row>
    <row r="382" spans="1:11">
      <c r="A382" s="1" t="s">
        <v>267</v>
      </c>
      <c r="B382" s="7">
        <v>45005</v>
      </c>
      <c r="C382" s="1" t="s">
        <v>12</v>
      </c>
      <c r="D382" s="1">
        <v>29533</v>
      </c>
      <c r="E382" s="4">
        <v>4873.9399999999996</v>
      </c>
      <c r="F382" s="4">
        <f t="shared" si="11"/>
        <v>926.04859999999996</v>
      </c>
      <c r="G382" s="4">
        <f t="shared" si="12"/>
        <v>5799.9885999999997</v>
      </c>
      <c r="H382" s="1">
        <f t="shared" si="13"/>
        <v>3</v>
      </c>
      <c r="I382" s="1">
        <f t="shared" si="14"/>
        <v>2023</v>
      </c>
      <c r="J382" s="4"/>
      <c r="K382" s="1" t="s">
        <v>87</v>
      </c>
    </row>
    <row r="383" spans="1:11">
      <c r="A383" s="1" t="s">
        <v>274</v>
      </c>
      <c r="B383" s="7">
        <v>45003</v>
      </c>
      <c r="C383" s="1" t="s">
        <v>12</v>
      </c>
      <c r="D383" s="1">
        <v>11</v>
      </c>
      <c r="E383" s="4">
        <v>8500</v>
      </c>
      <c r="F383" s="4">
        <f t="shared" si="11"/>
        <v>1615</v>
      </c>
      <c r="G383" s="4">
        <f t="shared" si="12"/>
        <v>10115</v>
      </c>
      <c r="H383" s="1">
        <f t="shared" si="13"/>
        <v>3</v>
      </c>
      <c r="I383" s="1">
        <f t="shared" si="14"/>
        <v>2023</v>
      </c>
      <c r="J383" s="4"/>
      <c r="K383" s="1" t="s">
        <v>87</v>
      </c>
    </row>
    <row r="384" spans="1:11">
      <c r="A384" s="1" t="s">
        <v>22</v>
      </c>
      <c r="B384" s="7">
        <v>45005</v>
      </c>
      <c r="C384" s="1" t="s">
        <v>12</v>
      </c>
      <c r="D384" s="1">
        <v>11344657</v>
      </c>
      <c r="E384" s="4">
        <v>3865.5459999999998</v>
      </c>
      <c r="F384" s="4">
        <f t="shared" si="11"/>
        <v>734.45373999999993</v>
      </c>
      <c r="G384" s="4">
        <f t="shared" si="12"/>
        <v>4599.9997399999993</v>
      </c>
      <c r="H384" s="1">
        <f t="shared" si="13"/>
        <v>3</v>
      </c>
      <c r="I384" s="1">
        <f t="shared" si="14"/>
        <v>2023</v>
      </c>
      <c r="J384" s="4"/>
      <c r="K384" s="1" t="s">
        <v>87</v>
      </c>
    </row>
    <row r="385" spans="1:11">
      <c r="A385" s="1" t="s">
        <v>275</v>
      </c>
      <c r="B385" s="7">
        <v>45008</v>
      </c>
      <c r="C385" s="1" t="s">
        <v>12</v>
      </c>
      <c r="D385" s="1">
        <v>43628</v>
      </c>
      <c r="E385" s="4">
        <v>34285.71</v>
      </c>
      <c r="F385" s="4">
        <f t="shared" si="11"/>
        <v>6514.2848999999997</v>
      </c>
      <c r="G385" s="4">
        <f t="shared" si="12"/>
        <v>40799.994899999998</v>
      </c>
      <c r="H385" s="1">
        <f t="shared" si="13"/>
        <v>3</v>
      </c>
      <c r="I385" s="1">
        <f t="shared" si="14"/>
        <v>2023</v>
      </c>
      <c r="J385" s="4"/>
      <c r="K385" s="1" t="s">
        <v>87</v>
      </c>
    </row>
    <row r="386" spans="1:11">
      <c r="A386" s="1" t="s">
        <v>276</v>
      </c>
      <c r="B386" s="7">
        <v>45010</v>
      </c>
      <c r="C386" s="1" t="s">
        <v>12</v>
      </c>
      <c r="D386" s="1">
        <v>29669</v>
      </c>
      <c r="E386" s="4">
        <v>7900</v>
      </c>
      <c r="F386" s="4">
        <f t="shared" si="11"/>
        <v>1501</v>
      </c>
      <c r="G386" s="4">
        <f t="shared" si="12"/>
        <v>9401</v>
      </c>
      <c r="H386" s="1">
        <f t="shared" si="13"/>
        <v>3</v>
      </c>
      <c r="I386" s="1">
        <f t="shared" si="14"/>
        <v>2023</v>
      </c>
      <c r="J386" s="4"/>
      <c r="K386" s="1" t="s">
        <v>87</v>
      </c>
    </row>
    <row r="387" spans="1:11">
      <c r="A387" s="1" t="s">
        <v>277</v>
      </c>
      <c r="B387" s="7">
        <v>45009</v>
      </c>
      <c r="C387" s="1" t="s">
        <v>12</v>
      </c>
      <c r="D387" s="1">
        <v>29649</v>
      </c>
      <c r="E387" s="4">
        <v>4622</v>
      </c>
      <c r="F387" s="4">
        <f t="shared" si="11"/>
        <v>878.18000000000006</v>
      </c>
      <c r="G387" s="4">
        <f t="shared" si="12"/>
        <v>5500.18</v>
      </c>
      <c r="H387" s="1">
        <f t="shared" si="13"/>
        <v>3</v>
      </c>
      <c r="I387" s="1">
        <f t="shared" si="14"/>
        <v>2023</v>
      </c>
      <c r="J387" s="4"/>
      <c r="K387" s="1" t="s">
        <v>87</v>
      </c>
    </row>
    <row r="388" spans="1:11">
      <c r="A388" s="1" t="s">
        <v>166</v>
      </c>
      <c r="B388" s="7">
        <v>45014</v>
      </c>
      <c r="C388" s="1" t="s">
        <v>12</v>
      </c>
      <c r="D388" s="1">
        <v>48809</v>
      </c>
      <c r="E388" s="4">
        <v>11958.82</v>
      </c>
      <c r="F388" s="4">
        <f t="shared" si="11"/>
        <v>2272.1758</v>
      </c>
      <c r="G388" s="4">
        <f t="shared" si="12"/>
        <v>14230.995800000001</v>
      </c>
      <c r="H388" s="1">
        <f t="shared" si="13"/>
        <v>3</v>
      </c>
      <c r="I388" s="1">
        <f t="shared" si="14"/>
        <v>2023</v>
      </c>
      <c r="J388" s="4"/>
      <c r="K388" s="1" t="s">
        <v>87</v>
      </c>
    </row>
    <row r="389" spans="1:11">
      <c r="A389" s="1" t="s">
        <v>278</v>
      </c>
      <c r="B389" s="7">
        <v>45017</v>
      </c>
      <c r="C389" s="1" t="s">
        <v>12</v>
      </c>
      <c r="D389" s="1">
        <v>60374</v>
      </c>
      <c r="E389" s="4">
        <v>57862.18</v>
      </c>
      <c r="F389" s="4">
        <f t="shared" si="11"/>
        <v>10993.814200000001</v>
      </c>
      <c r="G389" s="4">
        <f t="shared" si="12"/>
        <v>68855.994200000001</v>
      </c>
      <c r="H389" s="1">
        <f t="shared" si="13"/>
        <v>4</v>
      </c>
      <c r="I389" s="1">
        <f t="shared" si="14"/>
        <v>2023</v>
      </c>
      <c r="J389" s="4"/>
      <c r="K389" s="1" t="s">
        <v>87</v>
      </c>
    </row>
    <row r="390" spans="1:11">
      <c r="A390" s="1" t="s">
        <v>279</v>
      </c>
      <c r="B390" s="7">
        <v>45017</v>
      </c>
      <c r="C390" s="1" t="s">
        <v>12</v>
      </c>
      <c r="D390" s="1">
        <v>413122</v>
      </c>
      <c r="E390" s="4">
        <v>40850.42</v>
      </c>
      <c r="F390" s="4">
        <f t="shared" si="11"/>
        <v>7761.5797999999995</v>
      </c>
      <c r="G390" s="4">
        <f t="shared" si="12"/>
        <v>48611.999799999998</v>
      </c>
      <c r="H390" s="1">
        <f t="shared" si="13"/>
        <v>4</v>
      </c>
      <c r="I390" s="1">
        <f t="shared" si="14"/>
        <v>2023</v>
      </c>
      <c r="J390" s="4"/>
      <c r="K390" s="1" t="s">
        <v>87</v>
      </c>
    </row>
    <row r="391" spans="1:11">
      <c r="A391" s="1" t="s">
        <v>280</v>
      </c>
      <c r="B391" s="7">
        <v>45017</v>
      </c>
      <c r="C391" s="1" t="s">
        <v>12</v>
      </c>
      <c r="D391" s="1">
        <v>1075</v>
      </c>
      <c r="E391" s="4">
        <v>21000</v>
      </c>
      <c r="F391" s="4">
        <f t="shared" si="11"/>
        <v>3990</v>
      </c>
      <c r="G391" s="4">
        <f t="shared" si="12"/>
        <v>24990</v>
      </c>
      <c r="H391" s="1">
        <f t="shared" si="13"/>
        <v>4</v>
      </c>
      <c r="I391" s="1">
        <f t="shared" si="14"/>
        <v>2023</v>
      </c>
      <c r="J391" s="4"/>
      <c r="K391" s="1" t="s">
        <v>87</v>
      </c>
    </row>
    <row r="392" spans="1:11">
      <c r="A392" s="1" t="s">
        <v>212</v>
      </c>
      <c r="B392" s="7">
        <v>45017</v>
      </c>
      <c r="C392" s="1" t="s">
        <v>12</v>
      </c>
      <c r="D392" s="1">
        <v>1940769</v>
      </c>
      <c r="E392" s="4">
        <v>115614.2</v>
      </c>
      <c r="F392" s="4">
        <f t="shared" si="11"/>
        <v>21966.698</v>
      </c>
      <c r="G392" s="4">
        <f t="shared" si="12"/>
        <v>137580.89799999999</v>
      </c>
      <c r="H392" s="1">
        <f t="shared" si="13"/>
        <v>4</v>
      </c>
      <c r="I392" s="1">
        <f t="shared" si="14"/>
        <v>2023</v>
      </c>
      <c r="J392" s="4"/>
      <c r="K392" s="1" t="s">
        <v>87</v>
      </c>
    </row>
    <row r="393" spans="1:11">
      <c r="A393" s="1" t="s">
        <v>175</v>
      </c>
      <c r="B393" s="7">
        <v>45021</v>
      </c>
      <c r="C393" s="1"/>
      <c r="E393" s="4">
        <v>32747.899000000001</v>
      </c>
      <c r="F393" s="4">
        <f t="shared" si="11"/>
        <v>6222.1008099999999</v>
      </c>
      <c r="G393" s="4">
        <f t="shared" si="12"/>
        <v>38969.999810000001</v>
      </c>
      <c r="H393" s="1">
        <f t="shared" si="13"/>
        <v>4</v>
      </c>
      <c r="I393" s="1">
        <f t="shared" si="14"/>
        <v>2023</v>
      </c>
      <c r="J393" s="4"/>
      <c r="K393" s="1" t="s">
        <v>87</v>
      </c>
    </row>
    <row r="394" spans="1:11">
      <c r="A394" s="1" t="s">
        <v>281</v>
      </c>
      <c r="B394" s="7">
        <v>45013</v>
      </c>
      <c r="C394" s="1"/>
      <c r="E394" s="4">
        <v>26050.42</v>
      </c>
      <c r="F394" s="4">
        <f t="shared" si="11"/>
        <v>4949.5797999999995</v>
      </c>
      <c r="G394" s="4">
        <f t="shared" si="12"/>
        <v>30999.999799999998</v>
      </c>
      <c r="H394" s="1">
        <f t="shared" si="13"/>
        <v>3</v>
      </c>
      <c r="I394" s="1">
        <f t="shared" si="14"/>
        <v>2023</v>
      </c>
      <c r="J394" s="4"/>
      <c r="K394" s="1" t="s">
        <v>87</v>
      </c>
    </row>
    <row r="395" spans="1:11">
      <c r="A395" s="1" t="s">
        <v>203</v>
      </c>
      <c r="B395" s="7">
        <v>45023</v>
      </c>
      <c r="C395" s="1" t="s">
        <v>12</v>
      </c>
      <c r="D395" s="1">
        <v>36384403</v>
      </c>
      <c r="E395" s="4">
        <v>21305.88</v>
      </c>
      <c r="F395" s="4">
        <f t="shared" si="11"/>
        <v>4048.1172000000001</v>
      </c>
      <c r="G395" s="4">
        <f t="shared" si="12"/>
        <v>25353.997200000002</v>
      </c>
      <c r="H395" s="1">
        <f t="shared" si="13"/>
        <v>4</v>
      </c>
      <c r="I395" s="1">
        <f t="shared" si="14"/>
        <v>2023</v>
      </c>
      <c r="J395" s="4"/>
      <c r="K395" s="1" t="s">
        <v>87</v>
      </c>
    </row>
    <row r="396" spans="1:11">
      <c r="A396" s="1" t="s">
        <v>282</v>
      </c>
      <c r="B396" s="7">
        <v>45026</v>
      </c>
      <c r="C396" s="1" t="s">
        <v>12</v>
      </c>
      <c r="D396" s="1">
        <v>29955</v>
      </c>
      <c r="E396" s="4">
        <v>12018</v>
      </c>
      <c r="F396" s="4">
        <f t="shared" si="11"/>
        <v>2283.42</v>
      </c>
      <c r="G396" s="4">
        <f t="shared" si="12"/>
        <v>14301.42</v>
      </c>
      <c r="H396" s="1">
        <f t="shared" si="13"/>
        <v>4</v>
      </c>
      <c r="I396" s="1">
        <f t="shared" si="14"/>
        <v>2023</v>
      </c>
      <c r="J396" s="4"/>
      <c r="K396" s="1" t="s">
        <v>87</v>
      </c>
    </row>
    <row r="397" spans="1:11">
      <c r="A397" s="1" t="s">
        <v>202</v>
      </c>
      <c r="B397" s="7">
        <v>45026</v>
      </c>
      <c r="C397" s="1" t="s">
        <v>12</v>
      </c>
      <c r="D397" s="1">
        <v>1169097</v>
      </c>
      <c r="E397" s="4">
        <v>1900</v>
      </c>
      <c r="F397" s="4">
        <f t="shared" si="11"/>
        <v>361</v>
      </c>
      <c r="G397" s="4">
        <f t="shared" si="12"/>
        <v>2261</v>
      </c>
      <c r="H397" s="1">
        <f t="shared" si="13"/>
        <v>4</v>
      </c>
      <c r="I397" s="1">
        <f t="shared" si="14"/>
        <v>2023</v>
      </c>
      <c r="J397" s="4"/>
      <c r="K397" s="1" t="s">
        <v>87</v>
      </c>
    </row>
    <row r="398" spans="1:11">
      <c r="A398" s="1" t="s">
        <v>282</v>
      </c>
      <c r="B398" s="7">
        <v>45027</v>
      </c>
      <c r="C398" s="1" t="s">
        <v>12</v>
      </c>
      <c r="D398" s="1">
        <v>29957</v>
      </c>
      <c r="E398" s="4">
        <v>5126</v>
      </c>
      <c r="F398" s="4">
        <f t="shared" si="11"/>
        <v>973.94</v>
      </c>
      <c r="G398" s="4">
        <f t="shared" si="12"/>
        <v>6099.9400000000005</v>
      </c>
      <c r="H398" s="1">
        <f t="shared" si="13"/>
        <v>4</v>
      </c>
      <c r="I398" s="1">
        <f t="shared" si="14"/>
        <v>2023</v>
      </c>
      <c r="J398" s="4"/>
      <c r="K398" s="1" t="s">
        <v>87</v>
      </c>
    </row>
    <row r="399" spans="1:11">
      <c r="A399" s="1" t="s">
        <v>283</v>
      </c>
      <c r="B399" s="7">
        <v>45026</v>
      </c>
      <c r="C399" s="1" t="s">
        <v>12</v>
      </c>
      <c r="D399" s="1">
        <v>2394147</v>
      </c>
      <c r="E399" s="4">
        <v>6378.15</v>
      </c>
      <c r="F399" s="4">
        <f t="shared" si="11"/>
        <v>1211.8485000000001</v>
      </c>
      <c r="G399" s="4">
        <f t="shared" si="12"/>
        <v>7589.9984999999997</v>
      </c>
      <c r="H399" s="1">
        <f t="shared" si="13"/>
        <v>4</v>
      </c>
      <c r="I399" s="1">
        <f t="shared" si="14"/>
        <v>2023</v>
      </c>
      <c r="J399" s="4"/>
      <c r="K399" s="1" t="s">
        <v>87</v>
      </c>
    </row>
    <row r="400" spans="1:11">
      <c r="A400" s="1" t="s">
        <v>284</v>
      </c>
      <c r="B400" s="7">
        <v>45028</v>
      </c>
      <c r="C400" s="1" t="s">
        <v>12</v>
      </c>
      <c r="D400" s="1">
        <v>2588349</v>
      </c>
      <c r="E400" s="4">
        <v>57134.453000000001</v>
      </c>
      <c r="F400" s="4">
        <f t="shared" si="11"/>
        <v>10855.54607</v>
      </c>
      <c r="G400" s="4">
        <f t="shared" si="12"/>
        <v>67989.999070000005</v>
      </c>
      <c r="H400" s="1">
        <f t="shared" si="13"/>
        <v>4</v>
      </c>
      <c r="I400" s="1">
        <f t="shared" si="14"/>
        <v>2023</v>
      </c>
      <c r="J400" s="4"/>
      <c r="K400" s="1" t="s">
        <v>87</v>
      </c>
    </row>
    <row r="401" spans="1:11">
      <c r="A401" s="1" t="s">
        <v>285</v>
      </c>
      <c r="B401" s="7">
        <v>45028</v>
      </c>
      <c r="C401" s="1" t="s">
        <v>12</v>
      </c>
      <c r="D401" s="1">
        <v>2588350</v>
      </c>
      <c r="E401" s="4">
        <v>38647</v>
      </c>
      <c r="F401" s="4">
        <f t="shared" si="11"/>
        <v>7342.93</v>
      </c>
      <c r="G401" s="4">
        <f t="shared" si="12"/>
        <v>45989.93</v>
      </c>
      <c r="H401" s="1">
        <f t="shared" si="13"/>
        <v>4</v>
      </c>
      <c r="I401" s="1">
        <f t="shared" si="14"/>
        <v>2023</v>
      </c>
      <c r="J401" s="4"/>
      <c r="K401" s="1" t="s">
        <v>87</v>
      </c>
    </row>
    <row r="402" spans="1:11">
      <c r="A402" s="1" t="s">
        <v>286</v>
      </c>
      <c r="B402" s="7">
        <v>45030</v>
      </c>
      <c r="C402" s="1" t="s">
        <v>12</v>
      </c>
      <c r="D402" s="1">
        <v>6830</v>
      </c>
      <c r="E402" s="4">
        <v>68899.16</v>
      </c>
      <c r="F402" s="4">
        <f t="shared" si="11"/>
        <v>13090.840400000001</v>
      </c>
      <c r="G402" s="4">
        <f t="shared" si="12"/>
        <v>81990.000400000004</v>
      </c>
      <c r="H402" s="1">
        <f t="shared" si="13"/>
        <v>4</v>
      </c>
      <c r="I402" s="1">
        <f t="shared" si="14"/>
        <v>2023</v>
      </c>
      <c r="J402" s="4"/>
      <c r="K402" s="1" t="s">
        <v>87</v>
      </c>
    </row>
    <row r="403" spans="1:11">
      <c r="A403" s="1" t="s">
        <v>287</v>
      </c>
      <c r="B403" s="7">
        <v>45035</v>
      </c>
      <c r="C403" s="1" t="s">
        <v>12</v>
      </c>
      <c r="D403" s="1">
        <v>2611909</v>
      </c>
      <c r="E403" s="4">
        <v>28554.62</v>
      </c>
      <c r="F403" s="4">
        <f t="shared" si="11"/>
        <v>5425.3778000000002</v>
      </c>
      <c r="G403" s="4">
        <f t="shared" si="12"/>
        <v>33979.997799999997</v>
      </c>
      <c r="H403" s="1">
        <f t="shared" si="13"/>
        <v>4</v>
      </c>
      <c r="I403" s="1">
        <f t="shared" si="14"/>
        <v>2023</v>
      </c>
      <c r="J403" s="4"/>
      <c r="K403" s="1" t="s">
        <v>87</v>
      </c>
    </row>
    <row r="404" spans="1:11">
      <c r="A404" s="1" t="s">
        <v>288</v>
      </c>
      <c r="B404" s="7">
        <v>45036</v>
      </c>
      <c r="C404" s="1" t="s">
        <v>12</v>
      </c>
      <c r="D404" s="1">
        <v>24428</v>
      </c>
      <c r="E404" s="4">
        <v>12605.04</v>
      </c>
      <c r="F404" s="4">
        <f t="shared" si="11"/>
        <v>2394.9576000000002</v>
      </c>
      <c r="G404" s="4">
        <f t="shared" si="12"/>
        <v>14999.997600000001</v>
      </c>
      <c r="H404" s="1">
        <f t="shared" si="13"/>
        <v>4</v>
      </c>
      <c r="I404" s="1">
        <f t="shared" si="14"/>
        <v>2023</v>
      </c>
      <c r="J404" s="4"/>
      <c r="K404" s="1" t="s">
        <v>87</v>
      </c>
    </row>
    <row r="405" spans="1:11">
      <c r="A405" s="1" t="s">
        <v>289</v>
      </c>
      <c r="B405" s="7">
        <v>45036</v>
      </c>
      <c r="C405" s="1"/>
      <c r="E405" s="4">
        <v>74789.899999999994</v>
      </c>
      <c r="F405" s="4">
        <f t="shared" si="11"/>
        <v>14210.080999999998</v>
      </c>
      <c r="G405" s="4">
        <f t="shared" si="12"/>
        <v>88999.981</v>
      </c>
      <c r="H405" s="1">
        <f t="shared" si="13"/>
        <v>4</v>
      </c>
      <c r="I405" s="1">
        <f t="shared" si="14"/>
        <v>2023</v>
      </c>
      <c r="J405" s="4"/>
      <c r="K405" s="1" t="s">
        <v>87</v>
      </c>
    </row>
    <row r="406" spans="1:11">
      <c r="A406" s="1" t="s">
        <v>290</v>
      </c>
      <c r="B406" s="7">
        <v>45044</v>
      </c>
      <c r="C406" s="1" t="s">
        <v>12</v>
      </c>
      <c r="D406" s="1">
        <v>27848</v>
      </c>
      <c r="E406" s="4">
        <v>34603.360000000001</v>
      </c>
      <c r="F406" s="4">
        <f t="shared" si="11"/>
        <v>6574.6383999999998</v>
      </c>
      <c r="G406" s="4">
        <f t="shared" si="12"/>
        <v>41177.998399999997</v>
      </c>
      <c r="H406" s="1">
        <f t="shared" si="13"/>
        <v>4</v>
      </c>
      <c r="I406" s="1">
        <f t="shared" si="14"/>
        <v>2023</v>
      </c>
      <c r="J406" s="4"/>
      <c r="K406" s="1" t="s">
        <v>87</v>
      </c>
    </row>
    <row r="407" spans="1:11">
      <c r="A407" s="1" t="s">
        <v>14</v>
      </c>
      <c r="B407" s="7">
        <v>45037</v>
      </c>
      <c r="C407" s="1" t="s">
        <v>12</v>
      </c>
      <c r="D407" s="1">
        <v>41567</v>
      </c>
      <c r="E407" s="4">
        <v>144000</v>
      </c>
      <c r="F407" s="4">
        <f t="shared" si="11"/>
        <v>27360</v>
      </c>
      <c r="G407" s="4">
        <f t="shared" si="12"/>
        <v>171360</v>
      </c>
      <c r="H407" s="1">
        <f t="shared" si="13"/>
        <v>4</v>
      </c>
      <c r="I407" s="1">
        <f t="shared" si="14"/>
        <v>2023</v>
      </c>
      <c r="J407" s="4"/>
      <c r="K407" s="1" t="s">
        <v>87</v>
      </c>
    </row>
    <row r="408" spans="1:11">
      <c r="A408" s="1" t="s">
        <v>291</v>
      </c>
      <c r="B408" s="7">
        <v>45037</v>
      </c>
      <c r="C408" s="1" t="s">
        <v>12</v>
      </c>
      <c r="D408" s="1">
        <v>5248</v>
      </c>
      <c r="E408" s="4">
        <v>8403.36</v>
      </c>
      <c r="F408" s="4">
        <f t="shared" si="11"/>
        <v>1596.6384</v>
      </c>
      <c r="G408" s="4">
        <f t="shared" si="12"/>
        <v>9999.9984000000004</v>
      </c>
      <c r="H408" s="1">
        <f t="shared" si="13"/>
        <v>4</v>
      </c>
      <c r="I408" s="1">
        <f t="shared" si="14"/>
        <v>2023</v>
      </c>
      <c r="J408" s="4"/>
      <c r="K408" s="1" t="s">
        <v>87</v>
      </c>
    </row>
    <row r="409" spans="1:11">
      <c r="A409" s="1" t="s">
        <v>292</v>
      </c>
      <c r="B409" s="7">
        <v>45037</v>
      </c>
      <c r="C409" s="1" t="s">
        <v>12</v>
      </c>
      <c r="D409" s="1">
        <v>84544</v>
      </c>
      <c r="E409" s="4">
        <v>23529.41</v>
      </c>
      <c r="F409" s="4">
        <f t="shared" si="11"/>
        <v>4470.5879000000004</v>
      </c>
      <c r="G409" s="4">
        <f t="shared" si="12"/>
        <v>27999.997900000002</v>
      </c>
      <c r="H409" s="1">
        <f t="shared" si="13"/>
        <v>4</v>
      </c>
      <c r="I409" s="1">
        <f t="shared" si="14"/>
        <v>2023</v>
      </c>
      <c r="J409" s="4"/>
      <c r="K409" s="1" t="s">
        <v>87</v>
      </c>
    </row>
    <row r="410" spans="1:11">
      <c r="A410" s="1" t="s">
        <v>293</v>
      </c>
      <c r="B410" s="7">
        <v>45040</v>
      </c>
      <c r="C410" s="1" t="s">
        <v>12</v>
      </c>
      <c r="D410" s="1">
        <v>1226</v>
      </c>
      <c r="E410" s="4">
        <v>15915.966</v>
      </c>
      <c r="F410" s="4">
        <f t="shared" si="11"/>
        <v>3024.0335399999999</v>
      </c>
      <c r="G410" s="4">
        <f t="shared" si="12"/>
        <v>18939.999540000001</v>
      </c>
      <c r="H410" s="1">
        <f t="shared" si="13"/>
        <v>4</v>
      </c>
      <c r="I410" s="1">
        <f t="shared" si="14"/>
        <v>2023</v>
      </c>
      <c r="J410" s="4"/>
      <c r="K410" s="1" t="s">
        <v>87</v>
      </c>
    </row>
    <row r="411" spans="1:11">
      <c r="A411" s="1" t="s">
        <v>294</v>
      </c>
      <c r="B411" s="7">
        <v>45041</v>
      </c>
      <c r="C411" s="1" t="s">
        <v>12</v>
      </c>
      <c r="D411" s="1">
        <v>26586</v>
      </c>
      <c r="E411" s="4">
        <v>209243.69</v>
      </c>
      <c r="F411" s="4">
        <f t="shared" si="11"/>
        <v>39756.301100000004</v>
      </c>
      <c r="G411" s="4">
        <f t="shared" si="12"/>
        <v>248999.99110000001</v>
      </c>
      <c r="H411" s="1">
        <f t="shared" si="13"/>
        <v>4</v>
      </c>
      <c r="I411" s="1">
        <f t="shared" si="14"/>
        <v>2023</v>
      </c>
      <c r="J411" s="4"/>
      <c r="K411" s="1" t="s">
        <v>87</v>
      </c>
    </row>
    <row r="412" spans="1:11">
      <c r="A412" s="1" t="s">
        <v>295</v>
      </c>
      <c r="B412" s="7">
        <v>45041</v>
      </c>
      <c r="C412" s="1"/>
      <c r="E412" s="4">
        <v>198319.3</v>
      </c>
      <c r="F412" s="4">
        <f t="shared" si="11"/>
        <v>37680.667000000001</v>
      </c>
      <c r="G412" s="4">
        <f t="shared" si="12"/>
        <v>235999.967</v>
      </c>
      <c r="H412" s="1">
        <f t="shared" si="13"/>
        <v>4</v>
      </c>
      <c r="I412" s="1">
        <f t="shared" si="14"/>
        <v>2023</v>
      </c>
      <c r="J412" s="4"/>
      <c r="K412" s="1" t="s">
        <v>87</v>
      </c>
    </row>
    <row r="413" spans="1:11">
      <c r="A413" s="1" t="s">
        <v>296</v>
      </c>
      <c r="B413" s="7">
        <v>45042</v>
      </c>
      <c r="C413" s="1" t="s">
        <v>12</v>
      </c>
      <c r="D413" s="1">
        <v>30292</v>
      </c>
      <c r="E413" s="4">
        <v>3696.63</v>
      </c>
      <c r="F413" s="4">
        <f t="shared" si="11"/>
        <v>702.35969999999998</v>
      </c>
      <c r="G413" s="4">
        <f t="shared" si="12"/>
        <v>4398.9897000000001</v>
      </c>
      <c r="H413" s="1">
        <f t="shared" si="13"/>
        <v>4</v>
      </c>
      <c r="I413" s="1">
        <f t="shared" si="14"/>
        <v>2023</v>
      </c>
      <c r="J413" s="4"/>
      <c r="K413" s="1" t="s">
        <v>87</v>
      </c>
    </row>
    <row r="414" spans="1:11">
      <c r="A414" s="1" t="s">
        <v>297</v>
      </c>
      <c r="B414" s="7">
        <v>45048</v>
      </c>
      <c r="C414" s="1" t="s">
        <v>12</v>
      </c>
      <c r="D414" s="1">
        <v>125965</v>
      </c>
      <c r="E414" s="4">
        <v>31932.77</v>
      </c>
      <c r="F414" s="4">
        <f t="shared" si="11"/>
        <v>6067.2263000000003</v>
      </c>
      <c r="G414" s="4">
        <f t="shared" si="12"/>
        <v>37999.996299999999</v>
      </c>
      <c r="H414" s="1">
        <f t="shared" si="13"/>
        <v>5</v>
      </c>
      <c r="I414" s="1">
        <f t="shared" si="14"/>
        <v>2023</v>
      </c>
      <c r="J414" s="4"/>
      <c r="K414" s="1" t="s">
        <v>87</v>
      </c>
    </row>
    <row r="415" spans="1:11">
      <c r="A415" s="1" t="s">
        <v>298</v>
      </c>
      <c r="B415" s="7">
        <v>45048</v>
      </c>
      <c r="C415" s="1" t="s">
        <v>12</v>
      </c>
      <c r="D415" s="1">
        <v>61724</v>
      </c>
      <c r="E415" s="4">
        <v>34891.595999999998</v>
      </c>
      <c r="F415" s="4">
        <f t="shared" si="11"/>
        <v>6629.4032399999996</v>
      </c>
      <c r="G415" s="4">
        <f t="shared" si="12"/>
        <v>41520.999239999997</v>
      </c>
      <c r="H415" s="1">
        <f t="shared" si="13"/>
        <v>5</v>
      </c>
      <c r="I415" s="1">
        <f t="shared" si="14"/>
        <v>2023</v>
      </c>
      <c r="J415" s="4"/>
      <c r="K415" s="1" t="s">
        <v>87</v>
      </c>
    </row>
    <row r="416" spans="1:11">
      <c r="A416" s="1" t="s">
        <v>299</v>
      </c>
      <c r="B416" s="7">
        <v>45045</v>
      </c>
      <c r="C416" s="1" t="s">
        <v>12</v>
      </c>
      <c r="D416" s="1">
        <v>30364</v>
      </c>
      <c r="E416" s="4">
        <v>17394.956999999999</v>
      </c>
      <c r="F416" s="4">
        <f t="shared" si="11"/>
        <v>3305.0418299999997</v>
      </c>
      <c r="G416" s="4">
        <f t="shared" si="12"/>
        <v>20699.998829999997</v>
      </c>
      <c r="H416" s="1">
        <f t="shared" si="13"/>
        <v>4</v>
      </c>
      <c r="I416" s="1">
        <f t="shared" si="14"/>
        <v>2023</v>
      </c>
      <c r="J416" s="4"/>
      <c r="K416" s="1" t="s">
        <v>87</v>
      </c>
    </row>
    <row r="417" spans="1:11">
      <c r="A417" s="1" t="s">
        <v>300</v>
      </c>
      <c r="B417" s="7">
        <v>45048</v>
      </c>
      <c r="C417" s="1"/>
      <c r="D417" s="1">
        <v>1496</v>
      </c>
      <c r="E417" s="4">
        <v>56294.11</v>
      </c>
      <c r="F417" s="4">
        <f t="shared" si="11"/>
        <v>10695.8809</v>
      </c>
      <c r="G417" s="4">
        <f t="shared" si="12"/>
        <v>66989.990900000004</v>
      </c>
      <c r="H417" s="1">
        <f t="shared" si="13"/>
        <v>5</v>
      </c>
      <c r="I417" s="1">
        <f t="shared" si="14"/>
        <v>2023</v>
      </c>
      <c r="J417" s="4"/>
      <c r="K417" s="1" t="s">
        <v>87</v>
      </c>
    </row>
    <row r="418" spans="1:11">
      <c r="A418" s="1" t="s">
        <v>301</v>
      </c>
      <c r="B418" s="7">
        <v>45045</v>
      </c>
      <c r="C418" s="1" t="s">
        <v>302</v>
      </c>
      <c r="E418" s="4">
        <v>-7142.85</v>
      </c>
      <c r="F418" s="4">
        <f t="shared" si="11"/>
        <v>-1357.1415000000002</v>
      </c>
      <c r="G418" s="4">
        <f t="shared" si="12"/>
        <v>-8499.9915000000001</v>
      </c>
      <c r="H418" s="1">
        <f t="shared" si="13"/>
        <v>4</v>
      </c>
      <c r="I418" s="1">
        <f t="shared" si="14"/>
        <v>2023</v>
      </c>
      <c r="J418" s="4"/>
      <c r="K418" s="1" t="s">
        <v>87</v>
      </c>
    </row>
    <row r="419" spans="1:11">
      <c r="A419" s="1" t="s">
        <v>166</v>
      </c>
      <c r="B419" s="7">
        <v>45046</v>
      </c>
      <c r="C419" s="1" t="s">
        <v>12</v>
      </c>
      <c r="D419" s="1">
        <v>50506</v>
      </c>
      <c r="E419" s="4">
        <v>12037.81</v>
      </c>
      <c r="F419" s="4">
        <f t="shared" si="11"/>
        <v>2287.1839</v>
      </c>
      <c r="G419" s="4">
        <f t="shared" si="12"/>
        <v>14324.993899999999</v>
      </c>
      <c r="H419" s="1">
        <f t="shared" si="13"/>
        <v>4</v>
      </c>
      <c r="I419" s="1">
        <f t="shared" si="14"/>
        <v>2023</v>
      </c>
      <c r="J419" s="4"/>
      <c r="K419" s="1" t="s">
        <v>87</v>
      </c>
    </row>
    <row r="420" spans="1:11">
      <c r="A420" s="1" t="s">
        <v>68</v>
      </c>
      <c r="B420" s="7">
        <v>45047</v>
      </c>
      <c r="C420" s="1" t="s">
        <v>12</v>
      </c>
      <c r="D420" s="1">
        <v>231139</v>
      </c>
      <c r="E420" s="4">
        <v>176779.83</v>
      </c>
      <c r="F420" s="4">
        <f t="shared" si="11"/>
        <v>33588.167699999998</v>
      </c>
      <c r="G420" s="4">
        <f t="shared" si="12"/>
        <v>210367.99769999998</v>
      </c>
      <c r="H420" s="1">
        <f t="shared" si="13"/>
        <v>5</v>
      </c>
      <c r="I420" s="1">
        <f t="shared" si="14"/>
        <v>2023</v>
      </c>
      <c r="J420" s="4"/>
      <c r="K420" s="1" t="s">
        <v>87</v>
      </c>
    </row>
    <row r="421" spans="1:11">
      <c r="A421" s="1" t="s">
        <v>28</v>
      </c>
      <c r="B421" s="7">
        <v>45049</v>
      </c>
      <c r="C421" s="1" t="s">
        <v>12</v>
      </c>
      <c r="D421" s="1">
        <v>737527</v>
      </c>
      <c r="E421" s="4">
        <v>10664</v>
      </c>
      <c r="F421" s="4">
        <f t="shared" si="11"/>
        <v>2026.16</v>
      </c>
      <c r="G421" s="4">
        <f t="shared" si="12"/>
        <v>12690.16</v>
      </c>
      <c r="H421" s="1">
        <f t="shared" si="13"/>
        <v>5</v>
      </c>
      <c r="I421" s="1">
        <f t="shared" si="14"/>
        <v>2023</v>
      </c>
      <c r="J421" s="4"/>
      <c r="K421" s="1" t="s">
        <v>87</v>
      </c>
    </row>
    <row r="422" spans="1:11">
      <c r="A422" s="1" t="s">
        <v>103</v>
      </c>
      <c r="B422" s="7">
        <v>45050</v>
      </c>
      <c r="C422" s="1" t="s">
        <v>12</v>
      </c>
      <c r="D422" s="1">
        <v>284500</v>
      </c>
      <c r="E422" s="4">
        <v>120630.25</v>
      </c>
      <c r="F422" s="4">
        <f t="shared" si="11"/>
        <v>22919.747500000001</v>
      </c>
      <c r="G422" s="4">
        <f t="shared" si="12"/>
        <v>143549.9975</v>
      </c>
      <c r="H422" s="1">
        <f t="shared" si="13"/>
        <v>5</v>
      </c>
      <c r="I422" s="1">
        <f t="shared" si="14"/>
        <v>2023</v>
      </c>
      <c r="J422" s="4"/>
      <c r="K422" s="1" t="s">
        <v>87</v>
      </c>
    </row>
    <row r="423" spans="1:11">
      <c r="A423" s="1" t="s">
        <v>22</v>
      </c>
      <c r="B423" s="7">
        <v>45050</v>
      </c>
      <c r="C423" s="1" t="s">
        <v>12</v>
      </c>
      <c r="D423" s="1">
        <v>11443556</v>
      </c>
      <c r="E423" s="4">
        <v>5899.1559999999999</v>
      </c>
      <c r="F423" s="4">
        <f t="shared" si="11"/>
        <v>1120.8396399999999</v>
      </c>
      <c r="G423" s="4">
        <f t="shared" si="12"/>
        <v>7019.9956400000001</v>
      </c>
      <c r="H423" s="1">
        <f t="shared" si="13"/>
        <v>5</v>
      </c>
      <c r="I423" s="1">
        <f t="shared" si="14"/>
        <v>2023</v>
      </c>
      <c r="J423" s="4"/>
      <c r="K423" s="1" t="s">
        <v>87</v>
      </c>
    </row>
    <row r="424" spans="1:11">
      <c r="A424" s="1" t="s">
        <v>28</v>
      </c>
      <c r="B424" s="7">
        <v>45051</v>
      </c>
      <c r="C424" s="1" t="s">
        <v>12</v>
      </c>
      <c r="D424" s="1">
        <v>737575</v>
      </c>
      <c r="E424" s="4">
        <v>8529</v>
      </c>
      <c r="F424" s="4">
        <f t="shared" si="11"/>
        <v>1620.51</v>
      </c>
      <c r="G424" s="4">
        <f t="shared" si="12"/>
        <v>10149.51</v>
      </c>
      <c r="H424" s="1">
        <f t="shared" si="13"/>
        <v>5</v>
      </c>
      <c r="I424" s="1">
        <f t="shared" si="14"/>
        <v>2023</v>
      </c>
      <c r="J424" s="4"/>
      <c r="K424" s="1" t="s">
        <v>87</v>
      </c>
    </row>
    <row r="425" spans="1:11">
      <c r="A425" s="1" t="s">
        <v>95</v>
      </c>
      <c r="B425" s="7">
        <v>45051</v>
      </c>
      <c r="C425" s="1" t="s">
        <v>12</v>
      </c>
      <c r="D425" s="1">
        <v>2421922</v>
      </c>
      <c r="E425" s="4">
        <v>1672</v>
      </c>
      <c r="F425" s="4">
        <f t="shared" si="11"/>
        <v>317.68</v>
      </c>
      <c r="G425" s="4">
        <f t="shared" si="12"/>
        <v>1989.68</v>
      </c>
      <c r="H425" s="1">
        <f t="shared" si="13"/>
        <v>5</v>
      </c>
      <c r="I425" s="1">
        <f t="shared" si="14"/>
        <v>2023</v>
      </c>
      <c r="J425" s="4"/>
      <c r="K425" s="1" t="s">
        <v>87</v>
      </c>
    </row>
    <row r="426" spans="1:11">
      <c r="A426" s="1" t="s">
        <v>303</v>
      </c>
      <c r="B426" s="7">
        <v>45051</v>
      </c>
      <c r="C426" s="1" t="s">
        <v>12</v>
      </c>
      <c r="D426" s="1">
        <v>11446403</v>
      </c>
      <c r="E426" s="4">
        <v>3932.77</v>
      </c>
      <c r="F426" s="4">
        <f t="shared" si="11"/>
        <v>747.22630000000004</v>
      </c>
      <c r="G426" s="4">
        <f t="shared" si="12"/>
        <v>4679.9962999999998</v>
      </c>
      <c r="H426" s="1">
        <f t="shared" si="13"/>
        <v>5</v>
      </c>
      <c r="I426" s="1">
        <f t="shared" si="14"/>
        <v>2023</v>
      </c>
      <c r="J426" s="4"/>
      <c r="K426" s="1" t="s">
        <v>87</v>
      </c>
    </row>
    <row r="427" spans="1:11">
      <c r="A427" s="1" t="s">
        <v>203</v>
      </c>
      <c r="B427" s="7">
        <v>45051</v>
      </c>
      <c r="C427" s="1" t="s">
        <v>12</v>
      </c>
      <c r="D427" s="1">
        <v>36615636</v>
      </c>
      <c r="E427" s="4">
        <v>21345.37</v>
      </c>
      <c r="F427" s="4">
        <f t="shared" si="11"/>
        <v>4055.6203</v>
      </c>
      <c r="G427" s="4">
        <f t="shared" si="12"/>
        <v>25400.990299999998</v>
      </c>
      <c r="H427" s="1">
        <f t="shared" si="13"/>
        <v>5</v>
      </c>
      <c r="I427" s="1">
        <f t="shared" si="14"/>
        <v>2023</v>
      </c>
      <c r="J427" s="4"/>
      <c r="K427" s="1" t="s">
        <v>87</v>
      </c>
    </row>
    <row r="428" spans="1:11">
      <c r="A428" s="1" t="s">
        <v>304</v>
      </c>
      <c r="B428" s="7">
        <v>45052</v>
      </c>
      <c r="C428" s="1" t="s">
        <v>12</v>
      </c>
      <c r="D428" s="1">
        <v>2662230</v>
      </c>
      <c r="E428" s="4">
        <v>30747.899000000001</v>
      </c>
      <c r="F428" s="4">
        <f t="shared" si="11"/>
        <v>5842.1008099999999</v>
      </c>
      <c r="G428" s="4">
        <f t="shared" si="12"/>
        <v>36589.999810000001</v>
      </c>
      <c r="H428" s="1">
        <f t="shared" si="13"/>
        <v>5</v>
      </c>
      <c r="I428" s="1">
        <f t="shared" si="14"/>
        <v>2023</v>
      </c>
      <c r="J428" s="4"/>
      <c r="K428" s="1" t="s">
        <v>87</v>
      </c>
    </row>
    <row r="429" spans="1:11">
      <c r="A429" s="1" t="s">
        <v>305</v>
      </c>
      <c r="B429" s="7">
        <v>45055</v>
      </c>
      <c r="C429" s="1" t="s">
        <v>12</v>
      </c>
      <c r="D429" s="1">
        <v>37295</v>
      </c>
      <c r="E429" s="4">
        <v>27546.218000000001</v>
      </c>
      <c r="F429" s="4">
        <f t="shared" si="11"/>
        <v>5233.7814200000003</v>
      </c>
      <c r="G429" s="4">
        <f t="shared" si="12"/>
        <v>32779.99942</v>
      </c>
      <c r="H429" s="1">
        <f t="shared" si="13"/>
        <v>5</v>
      </c>
      <c r="I429" s="1">
        <f t="shared" si="14"/>
        <v>2023</v>
      </c>
      <c r="J429" s="4"/>
      <c r="K429" s="1" t="s">
        <v>87</v>
      </c>
    </row>
    <row r="430" spans="1:11">
      <c r="A430" s="1" t="s">
        <v>306</v>
      </c>
      <c r="B430" s="7">
        <v>45055</v>
      </c>
      <c r="C430" s="1" t="s">
        <v>12</v>
      </c>
      <c r="D430" s="1">
        <v>2427237</v>
      </c>
      <c r="E430" s="4">
        <v>8339.49</v>
      </c>
      <c r="F430" s="4">
        <f t="shared" si="11"/>
        <v>1584.5030999999999</v>
      </c>
      <c r="G430" s="4">
        <f t="shared" si="12"/>
        <v>9923.9930999999997</v>
      </c>
      <c r="H430" s="1">
        <f t="shared" si="13"/>
        <v>5</v>
      </c>
      <c r="I430" s="1">
        <f t="shared" si="14"/>
        <v>2023</v>
      </c>
      <c r="J430" s="4"/>
      <c r="K430" s="1" t="s">
        <v>87</v>
      </c>
    </row>
    <row r="431" spans="1:11">
      <c r="A431" s="1" t="s">
        <v>202</v>
      </c>
      <c r="B431" s="7">
        <v>45055</v>
      </c>
      <c r="C431" s="1" t="s">
        <v>12</v>
      </c>
      <c r="D431" s="1">
        <v>1217414</v>
      </c>
      <c r="E431" s="4">
        <v>222.68</v>
      </c>
      <c r="F431" s="4">
        <f t="shared" si="11"/>
        <v>42.309200000000004</v>
      </c>
      <c r="G431" s="4">
        <f t="shared" si="12"/>
        <v>264.98919999999998</v>
      </c>
      <c r="H431" s="1">
        <f t="shared" si="13"/>
        <v>5</v>
      </c>
      <c r="I431" s="1">
        <f t="shared" si="14"/>
        <v>2023</v>
      </c>
      <c r="J431" s="4"/>
      <c r="K431" s="1" t="s">
        <v>87</v>
      </c>
    </row>
    <row r="432" spans="1:11">
      <c r="A432" s="1" t="s">
        <v>307</v>
      </c>
      <c r="B432" s="7">
        <v>45054</v>
      </c>
      <c r="C432" s="1"/>
      <c r="E432" s="4">
        <v>2505.88</v>
      </c>
      <c r="F432" s="4">
        <f t="shared" si="11"/>
        <v>476.11720000000003</v>
      </c>
      <c r="G432" s="4">
        <f t="shared" si="12"/>
        <v>2981.9972000000002</v>
      </c>
      <c r="H432" s="1">
        <f t="shared" si="13"/>
        <v>5</v>
      </c>
      <c r="I432" s="1">
        <f t="shared" si="14"/>
        <v>2023</v>
      </c>
      <c r="J432" s="4"/>
      <c r="K432" s="1" t="s">
        <v>87</v>
      </c>
    </row>
    <row r="433" spans="1:11">
      <c r="A433" s="1" t="s">
        <v>308</v>
      </c>
      <c r="B433" s="7">
        <v>45055</v>
      </c>
      <c r="C433" s="1"/>
      <c r="E433" s="4">
        <v>16806.72</v>
      </c>
      <c r="F433" s="4">
        <f t="shared" si="11"/>
        <v>3193.2768000000001</v>
      </c>
      <c r="G433" s="4">
        <f t="shared" si="12"/>
        <v>19999.996800000001</v>
      </c>
      <c r="H433" s="1">
        <f t="shared" si="13"/>
        <v>5</v>
      </c>
      <c r="I433" s="1">
        <f t="shared" si="14"/>
        <v>2023</v>
      </c>
      <c r="J433" s="4"/>
      <c r="K433" s="1" t="s">
        <v>87</v>
      </c>
    </row>
    <row r="434" spans="1:11">
      <c r="A434" s="1" t="s">
        <v>22</v>
      </c>
      <c r="B434" s="7">
        <v>45057</v>
      </c>
      <c r="C434" s="1" t="s">
        <v>39</v>
      </c>
      <c r="E434" s="4">
        <v>6974.7889999999998</v>
      </c>
      <c r="F434" s="4">
        <f t="shared" si="11"/>
        <v>1325.20991</v>
      </c>
      <c r="G434" s="4">
        <f t="shared" si="12"/>
        <v>8299.9989100000003</v>
      </c>
      <c r="H434" s="1">
        <f t="shared" si="13"/>
        <v>5</v>
      </c>
      <c r="I434" s="1">
        <f t="shared" si="14"/>
        <v>2023</v>
      </c>
      <c r="J434" s="4"/>
      <c r="K434" s="1" t="s">
        <v>87</v>
      </c>
    </row>
    <row r="435" spans="1:11">
      <c r="A435" s="1" t="s">
        <v>202</v>
      </c>
      <c r="B435" s="7">
        <v>45056</v>
      </c>
      <c r="C435" s="1" t="s">
        <v>12</v>
      </c>
      <c r="D435" s="1">
        <v>1233794</v>
      </c>
      <c r="E435" s="4">
        <v>935.29</v>
      </c>
      <c r="F435" s="4">
        <f t="shared" si="11"/>
        <v>177.70509999999999</v>
      </c>
      <c r="G435" s="4">
        <f t="shared" si="12"/>
        <v>1112.9950999999999</v>
      </c>
      <c r="H435" s="1">
        <f t="shared" si="13"/>
        <v>5</v>
      </c>
      <c r="I435" s="1">
        <f t="shared" si="14"/>
        <v>2023</v>
      </c>
      <c r="J435" s="4"/>
      <c r="K435" s="1" t="s">
        <v>87</v>
      </c>
    </row>
    <row r="436" spans="1:11">
      <c r="A436" s="1" t="s">
        <v>202</v>
      </c>
      <c r="B436" s="7">
        <v>45056</v>
      </c>
      <c r="C436" s="1" t="s">
        <v>12</v>
      </c>
      <c r="D436" s="1">
        <v>1239532</v>
      </c>
      <c r="E436" s="4">
        <v>935.29</v>
      </c>
      <c r="F436" s="4">
        <f t="shared" si="11"/>
        <v>177.70509999999999</v>
      </c>
      <c r="G436" s="4">
        <f t="shared" si="12"/>
        <v>1112.9950999999999</v>
      </c>
      <c r="H436" s="1">
        <f t="shared" si="13"/>
        <v>5</v>
      </c>
      <c r="I436" s="1">
        <f t="shared" si="14"/>
        <v>2023</v>
      </c>
      <c r="J436" s="4"/>
      <c r="K436" s="1" t="s">
        <v>87</v>
      </c>
    </row>
    <row r="437" spans="1:11">
      <c r="A437" s="1" t="s">
        <v>309</v>
      </c>
      <c r="B437" s="7">
        <v>45061</v>
      </c>
      <c r="C437" s="1" t="s">
        <v>12</v>
      </c>
      <c r="D437" s="1">
        <v>14126</v>
      </c>
      <c r="E437" s="4">
        <v>16469.740000000002</v>
      </c>
      <c r="F437" s="4">
        <f t="shared" si="11"/>
        <v>3129.2506000000003</v>
      </c>
      <c r="G437" s="4">
        <f t="shared" si="12"/>
        <v>19598.990600000001</v>
      </c>
      <c r="H437" s="1">
        <f t="shared" si="13"/>
        <v>5</v>
      </c>
      <c r="I437" s="1">
        <f t="shared" si="14"/>
        <v>2023</v>
      </c>
      <c r="J437" s="4"/>
      <c r="K437" s="1" t="s">
        <v>87</v>
      </c>
    </row>
    <row r="438" spans="1:11">
      <c r="A438" s="1" t="s">
        <v>310</v>
      </c>
      <c r="B438" s="7">
        <v>45061</v>
      </c>
      <c r="C438" s="1"/>
      <c r="E438" s="4">
        <v>2818.48</v>
      </c>
      <c r="F438" s="4">
        <f t="shared" si="11"/>
        <v>535.51120000000003</v>
      </c>
      <c r="G438" s="4">
        <f t="shared" si="12"/>
        <v>3353.9911999999999</v>
      </c>
      <c r="H438" s="1">
        <f t="shared" si="13"/>
        <v>5</v>
      </c>
      <c r="I438" s="1">
        <f t="shared" si="14"/>
        <v>2023</v>
      </c>
      <c r="J438" s="4"/>
      <c r="K438" s="1" t="s">
        <v>87</v>
      </c>
    </row>
    <row r="439" spans="1:11">
      <c r="A439" s="1" t="s">
        <v>311</v>
      </c>
      <c r="B439" s="7">
        <v>45061</v>
      </c>
      <c r="C439" s="1"/>
      <c r="E439" s="4">
        <v>5033.6099999999997</v>
      </c>
      <c r="F439" s="4">
        <f t="shared" si="11"/>
        <v>956.38589999999999</v>
      </c>
      <c r="G439" s="4">
        <f t="shared" si="12"/>
        <v>5989.9958999999999</v>
      </c>
      <c r="H439" s="1">
        <f t="shared" si="13"/>
        <v>5</v>
      </c>
      <c r="I439" s="1">
        <f t="shared" si="14"/>
        <v>2023</v>
      </c>
      <c r="J439" s="4"/>
      <c r="K439" s="1" t="s">
        <v>87</v>
      </c>
    </row>
    <row r="440" spans="1:11">
      <c r="A440" s="1" t="s">
        <v>310</v>
      </c>
      <c r="B440" s="7">
        <v>45061</v>
      </c>
      <c r="C440" s="1"/>
      <c r="E440" s="4">
        <v>2818.48</v>
      </c>
      <c r="F440" s="4">
        <f t="shared" si="11"/>
        <v>535.51120000000003</v>
      </c>
      <c r="G440" s="4">
        <f t="shared" si="12"/>
        <v>3353.9911999999999</v>
      </c>
      <c r="H440" s="1">
        <f t="shared" si="13"/>
        <v>5</v>
      </c>
      <c r="I440" s="1">
        <f t="shared" si="14"/>
        <v>2023</v>
      </c>
      <c r="J440" s="4"/>
      <c r="K440" s="1" t="s">
        <v>87</v>
      </c>
    </row>
    <row r="441" spans="1:11">
      <c r="A441" s="1" t="s">
        <v>312</v>
      </c>
      <c r="B441" s="7">
        <v>45062</v>
      </c>
      <c r="C441" s="1" t="s">
        <v>12</v>
      </c>
      <c r="D441" s="1">
        <v>150394</v>
      </c>
      <c r="E441" s="4">
        <v>129243.69</v>
      </c>
      <c r="F441" s="4">
        <f t="shared" si="11"/>
        <v>24556.301100000001</v>
      </c>
      <c r="G441" s="4">
        <f t="shared" si="12"/>
        <v>153799.99110000001</v>
      </c>
      <c r="H441" s="1">
        <f t="shared" si="13"/>
        <v>5</v>
      </c>
      <c r="I441" s="1">
        <f t="shared" si="14"/>
        <v>2023</v>
      </c>
      <c r="J441" s="4"/>
      <c r="K441" s="1" t="s">
        <v>87</v>
      </c>
    </row>
    <row r="442" spans="1:11">
      <c r="A442" s="1" t="s">
        <v>28</v>
      </c>
      <c r="B442" s="7">
        <v>45063</v>
      </c>
      <c r="C442" s="1" t="s">
        <v>12</v>
      </c>
      <c r="D442" s="1">
        <v>743816</v>
      </c>
      <c r="E442" s="4">
        <v>5899.15</v>
      </c>
      <c r="F442" s="4">
        <f t="shared" si="11"/>
        <v>1120.8384999999998</v>
      </c>
      <c r="G442" s="4">
        <f t="shared" si="12"/>
        <v>7019.9884999999995</v>
      </c>
      <c r="H442" s="1">
        <f t="shared" si="13"/>
        <v>5</v>
      </c>
      <c r="I442" s="1">
        <f t="shared" si="14"/>
        <v>2023</v>
      </c>
      <c r="J442" s="4"/>
      <c r="K442" s="1" t="s">
        <v>87</v>
      </c>
    </row>
    <row r="443" spans="1:11">
      <c r="A443" s="1" t="s">
        <v>313</v>
      </c>
      <c r="B443" s="7">
        <v>45064</v>
      </c>
      <c r="C443" s="1" t="s">
        <v>12</v>
      </c>
      <c r="D443" s="1">
        <v>33411</v>
      </c>
      <c r="E443" s="4">
        <v>20159.66</v>
      </c>
      <c r="F443" s="4">
        <f t="shared" si="11"/>
        <v>3830.3353999999999</v>
      </c>
      <c r="G443" s="4">
        <f t="shared" si="12"/>
        <v>23989.9954</v>
      </c>
      <c r="H443" s="1">
        <f t="shared" si="13"/>
        <v>5</v>
      </c>
      <c r="I443" s="1">
        <f t="shared" si="14"/>
        <v>2023</v>
      </c>
      <c r="J443" s="4"/>
      <c r="K443" s="1" t="s">
        <v>87</v>
      </c>
    </row>
    <row r="444" spans="1:11">
      <c r="A444" s="1" t="s">
        <v>314</v>
      </c>
      <c r="B444" s="7">
        <v>45069</v>
      </c>
      <c r="C444" s="1" t="s">
        <v>12</v>
      </c>
      <c r="D444" s="1">
        <v>30946</v>
      </c>
      <c r="E444" s="4">
        <v>7563.86</v>
      </c>
      <c r="F444" s="4">
        <f t="shared" si="11"/>
        <v>1437.1333999999999</v>
      </c>
      <c r="G444" s="4">
        <f t="shared" si="12"/>
        <v>9000.9933999999994</v>
      </c>
      <c r="H444" s="1">
        <f t="shared" si="13"/>
        <v>5</v>
      </c>
      <c r="I444" s="1">
        <f t="shared" si="14"/>
        <v>2023</v>
      </c>
      <c r="J444" s="4"/>
      <c r="K444" s="1" t="s">
        <v>87</v>
      </c>
    </row>
    <row r="445" spans="1:11">
      <c r="A445" s="1" t="s">
        <v>166</v>
      </c>
      <c r="B445" s="7">
        <v>45081</v>
      </c>
      <c r="C445" s="1" t="s">
        <v>12</v>
      </c>
      <c r="D445" s="1">
        <v>52173</v>
      </c>
      <c r="E445" s="4">
        <v>12108.4</v>
      </c>
      <c r="F445" s="4">
        <f t="shared" si="11"/>
        <v>2300.596</v>
      </c>
      <c r="G445" s="4">
        <f t="shared" si="12"/>
        <v>14408.995999999999</v>
      </c>
      <c r="H445" s="1">
        <f t="shared" si="13"/>
        <v>6</v>
      </c>
      <c r="I445" s="1">
        <f t="shared" si="14"/>
        <v>2023</v>
      </c>
      <c r="J445" s="4"/>
      <c r="K445" s="1" t="s">
        <v>87</v>
      </c>
    </row>
    <row r="446" spans="1:11">
      <c r="A446" s="1" t="s">
        <v>103</v>
      </c>
      <c r="B446" s="7">
        <v>45081</v>
      </c>
      <c r="C446" s="1" t="s">
        <v>12</v>
      </c>
      <c r="D446" s="1">
        <v>287472</v>
      </c>
      <c r="E446" s="4">
        <v>46059.66</v>
      </c>
      <c r="F446" s="4">
        <f t="shared" si="11"/>
        <v>8751.3353999999999</v>
      </c>
      <c r="G446" s="4">
        <f t="shared" si="12"/>
        <v>54810.9954</v>
      </c>
      <c r="H446" s="1">
        <f t="shared" si="13"/>
        <v>6</v>
      </c>
      <c r="I446" s="1">
        <f t="shared" si="14"/>
        <v>2023</v>
      </c>
      <c r="J446" s="4"/>
      <c r="K446" s="1" t="s">
        <v>87</v>
      </c>
    </row>
    <row r="447" spans="1:11">
      <c r="A447" s="1" t="s">
        <v>28</v>
      </c>
      <c r="B447" s="7">
        <v>45081</v>
      </c>
      <c r="C447" s="1" t="s">
        <v>12</v>
      </c>
      <c r="D447" s="1">
        <v>750878</v>
      </c>
      <c r="E447" s="4">
        <v>6454</v>
      </c>
      <c r="F447" s="4">
        <f t="shared" si="11"/>
        <v>1226.26</v>
      </c>
      <c r="G447" s="4">
        <f t="shared" si="12"/>
        <v>7680.26</v>
      </c>
      <c r="H447" s="1">
        <f t="shared" si="13"/>
        <v>6</v>
      </c>
      <c r="I447" s="1">
        <f t="shared" si="14"/>
        <v>2023</v>
      </c>
      <c r="J447" s="4"/>
      <c r="K447" s="1" t="s">
        <v>87</v>
      </c>
    </row>
    <row r="448" spans="1:11">
      <c r="A448" s="1" t="s">
        <v>191</v>
      </c>
      <c r="B448" s="7">
        <v>45083</v>
      </c>
      <c r="C448" s="1"/>
      <c r="E448" s="4">
        <v>1287.3900000000001</v>
      </c>
      <c r="F448" s="4">
        <f t="shared" si="11"/>
        <v>244.60410000000002</v>
      </c>
      <c r="G448" s="4">
        <f t="shared" si="12"/>
        <v>1531.9941000000001</v>
      </c>
      <c r="H448" s="1">
        <f t="shared" si="13"/>
        <v>6</v>
      </c>
      <c r="I448" s="1">
        <f t="shared" si="14"/>
        <v>2023</v>
      </c>
      <c r="J448" s="4"/>
      <c r="K448" s="1"/>
    </row>
    <row r="449" spans="1:11">
      <c r="A449" s="1" t="s">
        <v>315</v>
      </c>
      <c r="B449" s="7">
        <v>45083</v>
      </c>
      <c r="C449" s="1" t="s">
        <v>12</v>
      </c>
      <c r="E449" s="4">
        <v>18010.919999999998</v>
      </c>
      <c r="F449" s="4">
        <f t="shared" si="11"/>
        <v>3422.0747999999999</v>
      </c>
      <c r="G449" s="4">
        <f t="shared" si="12"/>
        <v>21432.994799999997</v>
      </c>
      <c r="H449" s="1">
        <f t="shared" si="13"/>
        <v>6</v>
      </c>
      <c r="I449" s="1">
        <f t="shared" si="14"/>
        <v>2023</v>
      </c>
      <c r="J449" s="4"/>
      <c r="K449" s="1" t="s">
        <v>87</v>
      </c>
    </row>
    <row r="450" spans="1:11">
      <c r="A450" s="1" t="s">
        <v>203</v>
      </c>
      <c r="B450" s="7">
        <v>45084</v>
      </c>
      <c r="C450" s="1" t="s">
        <v>12</v>
      </c>
      <c r="D450" s="1">
        <v>36856341</v>
      </c>
      <c r="E450" s="4">
        <v>21487.39</v>
      </c>
      <c r="F450" s="4">
        <f t="shared" si="11"/>
        <v>4082.6041</v>
      </c>
      <c r="G450" s="4">
        <f t="shared" si="12"/>
        <v>25569.9941</v>
      </c>
      <c r="H450" s="1">
        <f t="shared" si="13"/>
        <v>6</v>
      </c>
      <c r="I450" s="1">
        <f t="shared" si="14"/>
        <v>2023</v>
      </c>
      <c r="J450" s="4"/>
      <c r="K450" s="1"/>
    </row>
    <row r="451" spans="1:11">
      <c r="A451" s="1" t="s">
        <v>271</v>
      </c>
      <c r="B451" s="7">
        <v>45084</v>
      </c>
      <c r="C451" s="1" t="s">
        <v>12</v>
      </c>
      <c r="D451" s="1">
        <v>31322</v>
      </c>
      <c r="E451" s="4">
        <v>7059</v>
      </c>
      <c r="F451" s="4">
        <f t="shared" si="11"/>
        <v>1341.21</v>
      </c>
      <c r="G451" s="4">
        <f t="shared" si="12"/>
        <v>8400.2099999999991</v>
      </c>
      <c r="H451" s="1">
        <f t="shared" si="13"/>
        <v>6</v>
      </c>
      <c r="I451" s="1">
        <f t="shared" si="14"/>
        <v>2023</v>
      </c>
      <c r="J451" s="4"/>
      <c r="K451" s="1" t="s">
        <v>87</v>
      </c>
    </row>
    <row r="452" spans="1:11">
      <c r="A452" s="1" t="s">
        <v>202</v>
      </c>
      <c r="B452" s="7">
        <v>45085</v>
      </c>
      <c r="C452" s="1" t="s">
        <v>12</v>
      </c>
      <c r="D452" s="1">
        <v>1252303</v>
      </c>
      <c r="E452" s="4">
        <v>5058</v>
      </c>
      <c r="F452" s="4">
        <f t="shared" si="11"/>
        <v>961.02</v>
      </c>
      <c r="G452" s="4">
        <f t="shared" si="12"/>
        <v>6019.02</v>
      </c>
      <c r="H452" s="1">
        <f t="shared" si="13"/>
        <v>6</v>
      </c>
      <c r="I452" s="1">
        <f t="shared" si="14"/>
        <v>2023</v>
      </c>
      <c r="J452" s="4"/>
      <c r="K452" s="1" t="s">
        <v>87</v>
      </c>
    </row>
    <row r="453" spans="1:11">
      <c r="A453" s="1" t="s">
        <v>236</v>
      </c>
      <c r="B453" s="7">
        <v>45087</v>
      </c>
      <c r="C453" s="1" t="s">
        <v>12</v>
      </c>
      <c r="D453" s="1">
        <v>31401</v>
      </c>
      <c r="E453" s="4">
        <v>27563</v>
      </c>
      <c r="F453" s="4">
        <f t="shared" si="11"/>
        <v>5236.97</v>
      </c>
      <c r="G453" s="4">
        <f t="shared" si="12"/>
        <v>32799.97</v>
      </c>
      <c r="H453" s="1">
        <f t="shared" si="13"/>
        <v>6</v>
      </c>
      <c r="I453" s="1">
        <f t="shared" si="14"/>
        <v>2023</v>
      </c>
      <c r="J453" s="4"/>
      <c r="K453" s="1" t="s">
        <v>87</v>
      </c>
    </row>
    <row r="454" spans="1:11">
      <c r="A454" s="1" t="s">
        <v>267</v>
      </c>
      <c r="B454" s="7">
        <v>45089</v>
      </c>
      <c r="C454" s="1" t="s">
        <v>12</v>
      </c>
      <c r="D454" s="1">
        <v>31432</v>
      </c>
      <c r="E454" s="4">
        <v>4957.9799999999996</v>
      </c>
      <c r="F454" s="4">
        <f t="shared" si="11"/>
        <v>942.01619999999991</v>
      </c>
      <c r="G454" s="4">
        <f t="shared" si="12"/>
        <v>5899.9961999999996</v>
      </c>
      <c r="H454" s="1">
        <f t="shared" si="13"/>
        <v>6</v>
      </c>
      <c r="I454" s="1">
        <f t="shared" si="14"/>
        <v>2023</v>
      </c>
      <c r="J454" s="4"/>
      <c r="K454" s="1" t="s">
        <v>87</v>
      </c>
    </row>
    <row r="455" spans="1:11">
      <c r="A455" s="1" t="s">
        <v>316</v>
      </c>
      <c r="B455" s="7">
        <v>45090</v>
      </c>
      <c r="C455" s="1" t="s">
        <v>12</v>
      </c>
      <c r="D455" s="1">
        <v>2874246</v>
      </c>
      <c r="E455" s="4">
        <v>7019.32</v>
      </c>
      <c r="F455" s="4">
        <f t="shared" si="11"/>
        <v>1333.6707999999999</v>
      </c>
      <c r="G455" s="4">
        <f t="shared" si="12"/>
        <v>8352.9907999999996</v>
      </c>
      <c r="H455" s="1">
        <f t="shared" si="13"/>
        <v>6</v>
      </c>
      <c r="I455" s="1">
        <f t="shared" si="14"/>
        <v>2023</v>
      </c>
      <c r="J455" s="4"/>
      <c r="K455" s="1" t="s">
        <v>87</v>
      </c>
    </row>
    <row r="456" spans="1:11">
      <c r="A456" s="1" t="s">
        <v>317</v>
      </c>
      <c r="B456" s="7">
        <v>45090</v>
      </c>
      <c r="C456" s="1" t="s">
        <v>12</v>
      </c>
      <c r="D456" s="1">
        <v>29341</v>
      </c>
      <c r="E456" s="4">
        <v>39284.03</v>
      </c>
      <c r="F456" s="4">
        <f t="shared" si="11"/>
        <v>7463.9656999999997</v>
      </c>
      <c r="G456" s="4">
        <f t="shared" si="12"/>
        <v>46747.995699999999</v>
      </c>
      <c r="H456" s="1">
        <f t="shared" si="13"/>
        <v>6</v>
      </c>
      <c r="I456" s="1">
        <f t="shared" si="14"/>
        <v>2023</v>
      </c>
      <c r="J456" s="4"/>
      <c r="K456" s="1" t="s">
        <v>87</v>
      </c>
    </row>
    <row r="457" spans="1:11">
      <c r="A457" s="1" t="s">
        <v>166</v>
      </c>
      <c r="B457" s="7">
        <v>45108</v>
      </c>
      <c r="C457" s="1" t="s">
        <v>12</v>
      </c>
      <c r="E457" s="4">
        <v>12130.25</v>
      </c>
      <c r="F457" s="4">
        <f t="shared" si="11"/>
        <v>2304.7474999999999</v>
      </c>
      <c r="G457" s="4">
        <f t="shared" si="12"/>
        <v>14434.997499999999</v>
      </c>
      <c r="H457" s="1">
        <f t="shared" si="13"/>
        <v>7</v>
      </c>
      <c r="I457" s="1">
        <f t="shared" si="14"/>
        <v>2023</v>
      </c>
      <c r="J457" s="4"/>
      <c r="K457" s="1" t="s">
        <v>87</v>
      </c>
    </row>
    <row r="458" spans="1:11">
      <c r="A458" s="1" t="s">
        <v>318</v>
      </c>
      <c r="B458" s="7">
        <v>45093</v>
      </c>
      <c r="C458" s="1" t="s">
        <v>12</v>
      </c>
      <c r="D458" s="1">
        <v>2887525</v>
      </c>
      <c r="E458" s="4">
        <v>41431.089999999997</v>
      </c>
      <c r="F458" s="4">
        <f t="shared" si="11"/>
        <v>7871.9070999999994</v>
      </c>
      <c r="G458" s="4">
        <f t="shared" si="12"/>
        <v>49302.997099999993</v>
      </c>
      <c r="H458" s="1">
        <f t="shared" si="13"/>
        <v>6</v>
      </c>
      <c r="I458" s="1">
        <f t="shared" si="14"/>
        <v>2023</v>
      </c>
      <c r="J458" s="4"/>
      <c r="K458" s="1" t="s">
        <v>87</v>
      </c>
    </row>
    <row r="459" spans="1:11">
      <c r="A459" s="1" t="s">
        <v>318</v>
      </c>
      <c r="B459" s="7">
        <v>45093</v>
      </c>
      <c r="C459" s="1"/>
      <c r="E459" s="4">
        <v>-41431.089999999997</v>
      </c>
      <c r="F459" s="4">
        <f t="shared" si="11"/>
        <v>-7871.9070999999994</v>
      </c>
      <c r="G459" s="4">
        <f t="shared" si="12"/>
        <v>-49302.997099999993</v>
      </c>
      <c r="H459" s="1">
        <f t="shared" si="13"/>
        <v>6</v>
      </c>
      <c r="I459" s="1">
        <f t="shared" si="14"/>
        <v>2023</v>
      </c>
      <c r="J459" s="4"/>
      <c r="K459" s="1" t="s">
        <v>87</v>
      </c>
    </row>
    <row r="460" spans="1:11">
      <c r="A460" s="1" t="s">
        <v>319</v>
      </c>
      <c r="B460" s="7">
        <v>45097</v>
      </c>
      <c r="C460" s="1" t="s">
        <v>12</v>
      </c>
      <c r="D460" s="1">
        <v>2901132</v>
      </c>
      <c r="E460" s="4">
        <v>25193.27</v>
      </c>
      <c r="F460" s="4">
        <f t="shared" si="11"/>
        <v>4786.7213000000002</v>
      </c>
      <c r="G460" s="4">
        <f t="shared" si="12"/>
        <v>29979.991300000002</v>
      </c>
      <c r="H460" s="1">
        <f t="shared" si="13"/>
        <v>6</v>
      </c>
      <c r="I460" s="1">
        <f t="shared" si="14"/>
        <v>2023</v>
      </c>
      <c r="J460" s="4"/>
      <c r="K460" s="1" t="s">
        <v>87</v>
      </c>
    </row>
    <row r="461" spans="1:11">
      <c r="A461" s="1" t="s">
        <v>320</v>
      </c>
      <c r="B461" s="7">
        <v>45100</v>
      </c>
      <c r="C461" s="1" t="s">
        <v>12</v>
      </c>
      <c r="D461" s="1">
        <v>469924</v>
      </c>
      <c r="E461" s="4">
        <v>425800</v>
      </c>
      <c r="F461" s="4">
        <f t="shared" si="11"/>
        <v>80902</v>
      </c>
      <c r="G461" s="4">
        <f t="shared" si="12"/>
        <v>506702</v>
      </c>
      <c r="H461" s="1">
        <f t="shared" si="13"/>
        <v>6</v>
      </c>
      <c r="I461" s="1">
        <f t="shared" si="14"/>
        <v>2023</v>
      </c>
      <c r="J461" s="4"/>
      <c r="K461" s="1" t="s">
        <v>87</v>
      </c>
    </row>
    <row r="462" spans="1:11">
      <c r="A462" s="1" t="s">
        <v>321</v>
      </c>
      <c r="B462" s="7">
        <v>45108</v>
      </c>
      <c r="C462" s="1" t="s">
        <v>12</v>
      </c>
      <c r="D462" s="1">
        <v>2672373</v>
      </c>
      <c r="E462" s="4">
        <v>52487.39</v>
      </c>
      <c r="F462" s="4">
        <f t="shared" si="11"/>
        <v>9972.6041000000005</v>
      </c>
      <c r="G462" s="4">
        <f t="shared" si="12"/>
        <v>62459.994099999996</v>
      </c>
      <c r="H462" s="1">
        <f t="shared" si="13"/>
        <v>7</v>
      </c>
      <c r="I462" s="1">
        <f t="shared" si="14"/>
        <v>2023</v>
      </c>
      <c r="J462" s="4"/>
      <c r="K462" s="1" t="s">
        <v>87</v>
      </c>
    </row>
    <row r="463" spans="1:11">
      <c r="A463" s="1" t="s">
        <v>28</v>
      </c>
      <c r="B463" s="7">
        <v>45108</v>
      </c>
      <c r="C463" s="1" t="s">
        <v>12</v>
      </c>
      <c r="D463" s="1">
        <v>755989</v>
      </c>
      <c r="E463" s="4">
        <v>20117.647000000001</v>
      </c>
      <c r="F463" s="4">
        <f t="shared" si="11"/>
        <v>3822.35293</v>
      </c>
      <c r="G463" s="4">
        <f t="shared" si="12"/>
        <v>23939.999930000002</v>
      </c>
      <c r="H463" s="1">
        <f t="shared" si="13"/>
        <v>7</v>
      </c>
      <c r="I463" s="1">
        <f t="shared" si="14"/>
        <v>2023</v>
      </c>
      <c r="J463" s="4"/>
      <c r="K463" s="1" t="s">
        <v>87</v>
      </c>
    </row>
    <row r="464" spans="1:11">
      <c r="A464" s="1" t="s">
        <v>95</v>
      </c>
      <c r="B464" s="7">
        <v>45105</v>
      </c>
      <c r="C464" s="1" t="s">
        <v>12</v>
      </c>
      <c r="D464" s="1">
        <v>2481373</v>
      </c>
      <c r="E464" s="4">
        <v>16210.08</v>
      </c>
      <c r="F464" s="4">
        <f t="shared" si="11"/>
        <v>3079.9151999999999</v>
      </c>
      <c r="G464" s="4">
        <f t="shared" si="12"/>
        <v>19289.995200000001</v>
      </c>
      <c r="H464" s="1">
        <f t="shared" si="13"/>
        <v>6</v>
      </c>
      <c r="I464" s="1">
        <f t="shared" si="14"/>
        <v>2023</v>
      </c>
      <c r="J464" s="4"/>
      <c r="K464" s="1" t="s">
        <v>87</v>
      </c>
    </row>
    <row r="465" spans="1:11">
      <c r="A465" s="1" t="s">
        <v>322</v>
      </c>
      <c r="B465" s="7">
        <v>45105</v>
      </c>
      <c r="C465" s="1" t="s">
        <v>12</v>
      </c>
      <c r="D465" s="1">
        <v>2230</v>
      </c>
      <c r="E465" s="4">
        <v>57838.65</v>
      </c>
      <c r="F465" s="4">
        <f t="shared" si="11"/>
        <v>10989.343500000001</v>
      </c>
      <c r="G465" s="4">
        <f t="shared" si="12"/>
        <v>68827.993499999997</v>
      </c>
      <c r="H465" s="1">
        <f t="shared" si="13"/>
        <v>6</v>
      </c>
      <c r="I465" s="1">
        <f t="shared" si="14"/>
        <v>2023</v>
      </c>
      <c r="J465" s="4"/>
      <c r="K465" s="1" t="s">
        <v>87</v>
      </c>
    </row>
    <row r="466" spans="1:11">
      <c r="A466" s="1" t="s">
        <v>323</v>
      </c>
      <c r="B466" s="7">
        <v>45113</v>
      </c>
      <c r="C466" s="1"/>
      <c r="E466" s="4">
        <v>20579.830000000002</v>
      </c>
      <c r="F466" s="4">
        <f t="shared" si="11"/>
        <v>3910.1677000000004</v>
      </c>
      <c r="G466" s="4">
        <f t="shared" si="12"/>
        <v>24489.997700000004</v>
      </c>
      <c r="H466" s="1">
        <f t="shared" si="13"/>
        <v>7</v>
      </c>
      <c r="I466" s="1">
        <f t="shared" si="14"/>
        <v>2023</v>
      </c>
      <c r="J466" s="4"/>
      <c r="K466" s="1" t="s">
        <v>87</v>
      </c>
    </row>
    <row r="467" spans="1:11">
      <c r="A467" s="1" t="s">
        <v>324</v>
      </c>
      <c r="B467" s="7">
        <v>45111</v>
      </c>
      <c r="C467" s="1"/>
      <c r="E467" s="4">
        <v>50420.17</v>
      </c>
      <c r="F467" s="4">
        <f t="shared" si="11"/>
        <v>9579.8323</v>
      </c>
      <c r="G467" s="4">
        <f t="shared" si="12"/>
        <v>60000.0023</v>
      </c>
      <c r="H467" s="1">
        <f t="shared" si="13"/>
        <v>7</v>
      </c>
      <c r="I467" s="1">
        <f t="shared" si="14"/>
        <v>2023</v>
      </c>
      <c r="J467" s="4"/>
      <c r="K467" s="1" t="s">
        <v>87</v>
      </c>
    </row>
    <row r="468" spans="1:11">
      <c r="A468" s="1" t="s">
        <v>290</v>
      </c>
      <c r="B468" s="7">
        <v>45124</v>
      </c>
      <c r="C468" s="1" t="s">
        <v>12</v>
      </c>
      <c r="D468" s="1">
        <v>30660</v>
      </c>
      <c r="E468" s="4">
        <v>37789.910000000003</v>
      </c>
      <c r="F468" s="4">
        <f t="shared" si="11"/>
        <v>7180.0829000000003</v>
      </c>
      <c r="G468" s="4">
        <f t="shared" si="12"/>
        <v>44969.992900000005</v>
      </c>
      <c r="H468" s="1">
        <f t="shared" si="13"/>
        <v>7</v>
      </c>
      <c r="I468" s="1">
        <f t="shared" si="14"/>
        <v>2023</v>
      </c>
      <c r="J468" s="4"/>
      <c r="K468" s="1" t="s">
        <v>87</v>
      </c>
    </row>
    <row r="469" spans="1:11">
      <c r="A469" s="1" t="s">
        <v>325</v>
      </c>
      <c r="B469" s="7">
        <v>45120</v>
      </c>
      <c r="C469" s="1" t="s">
        <v>12</v>
      </c>
      <c r="D469" s="1">
        <v>19</v>
      </c>
      <c r="E469" s="4">
        <v>8310.92</v>
      </c>
      <c r="F469" s="4">
        <f t="shared" si="11"/>
        <v>1579.0748000000001</v>
      </c>
      <c r="G469" s="4">
        <f t="shared" si="12"/>
        <v>9889.9948000000004</v>
      </c>
      <c r="H469" s="1">
        <f t="shared" si="13"/>
        <v>7</v>
      </c>
      <c r="I469" s="1">
        <f t="shared" si="14"/>
        <v>2023</v>
      </c>
      <c r="J469" s="4"/>
      <c r="K469" s="1" t="s">
        <v>87</v>
      </c>
    </row>
    <row r="470" spans="1:11">
      <c r="A470" s="1" t="s">
        <v>326</v>
      </c>
      <c r="B470" s="7">
        <v>45120</v>
      </c>
      <c r="C470" s="1"/>
      <c r="E470" s="4">
        <v>2818.48</v>
      </c>
      <c r="F470" s="4">
        <f t="shared" si="11"/>
        <v>535.51120000000003</v>
      </c>
      <c r="G470" s="4">
        <f t="shared" si="12"/>
        <v>3353.9911999999999</v>
      </c>
      <c r="H470" s="1">
        <f t="shared" si="13"/>
        <v>7</v>
      </c>
      <c r="I470" s="1">
        <f t="shared" si="14"/>
        <v>2023</v>
      </c>
      <c r="J470" s="4"/>
      <c r="K470" s="1" t="s">
        <v>87</v>
      </c>
    </row>
    <row r="471" spans="1:11">
      <c r="A471" s="1" t="s">
        <v>327</v>
      </c>
      <c r="B471" s="7">
        <v>45113</v>
      </c>
      <c r="C471" s="1" t="s">
        <v>12</v>
      </c>
      <c r="D471" s="1">
        <v>2673076</v>
      </c>
      <c r="E471" s="4">
        <v>24622.688999999998</v>
      </c>
      <c r="F471" s="4">
        <f t="shared" si="11"/>
        <v>4678.3109100000001</v>
      </c>
      <c r="G471" s="4">
        <f t="shared" si="12"/>
        <v>29300.999909999999</v>
      </c>
      <c r="H471" s="1">
        <f t="shared" si="13"/>
        <v>7</v>
      </c>
      <c r="I471" s="1">
        <f t="shared" si="14"/>
        <v>2023</v>
      </c>
      <c r="J471" s="4"/>
      <c r="K471" s="1" t="s">
        <v>87</v>
      </c>
    </row>
    <row r="472" spans="1:11">
      <c r="A472" s="1" t="s">
        <v>328</v>
      </c>
      <c r="B472" s="7">
        <v>45114</v>
      </c>
      <c r="C472" s="1"/>
      <c r="E472" s="4">
        <v>-24622.688999999998</v>
      </c>
      <c r="F472" s="4">
        <f t="shared" si="11"/>
        <v>-4678.3109100000001</v>
      </c>
      <c r="G472" s="4">
        <f t="shared" si="12"/>
        <v>-29300.999909999999</v>
      </c>
      <c r="H472" s="1">
        <f t="shared" si="13"/>
        <v>7</v>
      </c>
      <c r="I472" s="1">
        <f t="shared" si="14"/>
        <v>2023</v>
      </c>
      <c r="J472" s="4"/>
      <c r="K472" s="1" t="s">
        <v>87</v>
      </c>
    </row>
    <row r="473" spans="1:11">
      <c r="A473" s="1" t="s">
        <v>203</v>
      </c>
      <c r="B473" s="7">
        <v>45114</v>
      </c>
      <c r="C473" s="1" t="s">
        <v>12</v>
      </c>
      <c r="D473" s="1">
        <v>37096290</v>
      </c>
      <c r="E473" s="4">
        <v>24142.01</v>
      </c>
      <c r="F473" s="4">
        <f t="shared" si="11"/>
        <v>4586.9818999999998</v>
      </c>
      <c r="G473" s="4">
        <f t="shared" si="12"/>
        <v>28728.991899999997</v>
      </c>
      <c r="H473" s="1">
        <f t="shared" si="13"/>
        <v>7</v>
      </c>
      <c r="I473" s="1">
        <f t="shared" si="14"/>
        <v>2023</v>
      </c>
      <c r="J473" s="4"/>
      <c r="K473" s="1" t="s">
        <v>87</v>
      </c>
    </row>
    <row r="474" spans="1:11">
      <c r="A474" s="1" t="s">
        <v>28</v>
      </c>
      <c r="B474" s="7">
        <v>45115</v>
      </c>
      <c r="C474" s="1" t="s">
        <v>12</v>
      </c>
      <c r="D474" s="1">
        <v>762318</v>
      </c>
      <c r="E474" s="4">
        <v>4075.63</v>
      </c>
      <c r="F474" s="4">
        <f t="shared" si="11"/>
        <v>774.36970000000008</v>
      </c>
      <c r="G474" s="4">
        <f t="shared" si="12"/>
        <v>4849.9997000000003</v>
      </c>
      <c r="H474" s="1">
        <f t="shared" si="13"/>
        <v>7</v>
      </c>
      <c r="I474" s="1">
        <f t="shared" si="14"/>
        <v>2023</v>
      </c>
      <c r="J474" s="4"/>
      <c r="K474" s="1" t="s">
        <v>87</v>
      </c>
    </row>
    <row r="475" spans="1:11">
      <c r="A475" s="1" t="s">
        <v>329</v>
      </c>
      <c r="B475" s="7">
        <v>45115</v>
      </c>
      <c r="C475" s="1"/>
      <c r="E475" s="4">
        <v>-4075.6</v>
      </c>
      <c r="F475" s="4">
        <f t="shared" si="11"/>
        <v>-774.36400000000003</v>
      </c>
      <c r="G475" s="4">
        <f t="shared" si="12"/>
        <v>-4849.9639999999999</v>
      </c>
      <c r="H475" s="1">
        <f t="shared" si="13"/>
        <v>7</v>
      </c>
      <c r="I475" s="1">
        <f t="shared" si="14"/>
        <v>2023</v>
      </c>
      <c r="J475" s="4"/>
      <c r="K475" s="1" t="s">
        <v>87</v>
      </c>
    </row>
    <row r="476" spans="1:11">
      <c r="A476" s="1" t="s">
        <v>95</v>
      </c>
      <c r="B476" s="7">
        <v>45119</v>
      </c>
      <c r="C476" s="1" t="s">
        <v>12</v>
      </c>
      <c r="D476" s="1">
        <v>2494610</v>
      </c>
      <c r="E476" s="4">
        <v>10319.32</v>
      </c>
      <c r="F476" s="4">
        <f t="shared" si="11"/>
        <v>1960.6707999999999</v>
      </c>
      <c r="G476" s="4">
        <f t="shared" si="12"/>
        <v>12279.9908</v>
      </c>
      <c r="H476" s="1">
        <f t="shared" si="13"/>
        <v>7</v>
      </c>
      <c r="I476" s="1">
        <f t="shared" si="14"/>
        <v>2023</v>
      </c>
      <c r="J476" s="4"/>
      <c r="K476" s="1" t="s">
        <v>87</v>
      </c>
    </row>
    <row r="477" spans="1:11">
      <c r="A477" s="1" t="s">
        <v>330</v>
      </c>
      <c r="B477" s="7">
        <v>45120</v>
      </c>
      <c r="C477" s="1" t="s">
        <v>12</v>
      </c>
      <c r="D477" s="1">
        <v>24876</v>
      </c>
      <c r="E477" s="4">
        <v>11764.7</v>
      </c>
      <c r="F477" s="4">
        <f t="shared" si="11"/>
        <v>2235.2930000000001</v>
      </c>
      <c r="G477" s="4">
        <f t="shared" si="12"/>
        <v>13999.993</v>
      </c>
      <c r="H477" s="1">
        <f t="shared" si="13"/>
        <v>7</v>
      </c>
      <c r="I477" s="1">
        <f t="shared" si="14"/>
        <v>2023</v>
      </c>
      <c r="J477" s="4"/>
      <c r="K477" s="1" t="s">
        <v>87</v>
      </c>
    </row>
    <row r="478" spans="1:11">
      <c r="A478" s="1" t="s">
        <v>28</v>
      </c>
      <c r="B478" s="7">
        <v>45124</v>
      </c>
      <c r="C478" s="1" t="s">
        <v>12</v>
      </c>
      <c r="D478" s="1">
        <v>11587231</v>
      </c>
      <c r="E478" s="4">
        <v>4201.68</v>
      </c>
      <c r="F478" s="4">
        <f t="shared" si="11"/>
        <v>798.31920000000002</v>
      </c>
      <c r="G478" s="4">
        <f t="shared" si="12"/>
        <v>4999.9992000000002</v>
      </c>
      <c r="H478" s="1">
        <f t="shared" si="13"/>
        <v>7</v>
      </c>
      <c r="I478" s="1">
        <f t="shared" si="14"/>
        <v>2023</v>
      </c>
      <c r="J478" s="4"/>
      <c r="K478" s="1" t="s">
        <v>87</v>
      </c>
    </row>
    <row r="479" spans="1:11">
      <c r="A479" s="1" t="s">
        <v>331</v>
      </c>
      <c r="B479" s="7">
        <v>45127</v>
      </c>
      <c r="C479" s="1" t="s">
        <v>12</v>
      </c>
      <c r="D479" s="1">
        <v>2505363</v>
      </c>
      <c r="E479" s="4">
        <v>3352.94</v>
      </c>
      <c r="F479" s="4">
        <f t="shared" si="11"/>
        <v>637.05860000000007</v>
      </c>
      <c r="G479" s="4">
        <f t="shared" si="12"/>
        <v>3989.9985999999999</v>
      </c>
      <c r="H479" s="1">
        <f t="shared" si="13"/>
        <v>7</v>
      </c>
      <c r="I479" s="1">
        <f t="shared" si="14"/>
        <v>2023</v>
      </c>
      <c r="J479" s="4"/>
      <c r="K479" s="1" t="s">
        <v>87</v>
      </c>
    </row>
    <row r="480" spans="1:11">
      <c r="A480" s="1" t="s">
        <v>319</v>
      </c>
      <c r="B480" s="7">
        <v>45131</v>
      </c>
      <c r="C480" s="1" t="s">
        <v>12</v>
      </c>
      <c r="D480" s="1">
        <v>3030441</v>
      </c>
      <c r="E480" s="4">
        <v>26873.94</v>
      </c>
      <c r="F480" s="4">
        <f t="shared" si="11"/>
        <v>5106.0486000000001</v>
      </c>
      <c r="G480" s="4">
        <f t="shared" si="12"/>
        <v>31979.988599999997</v>
      </c>
      <c r="H480" s="1">
        <f t="shared" si="13"/>
        <v>7</v>
      </c>
      <c r="I480" s="1">
        <f t="shared" si="14"/>
        <v>2023</v>
      </c>
      <c r="J480" s="4"/>
      <c r="K480" s="1" t="s">
        <v>87</v>
      </c>
    </row>
    <row r="481" spans="1:11">
      <c r="A481" s="1" t="s">
        <v>332</v>
      </c>
      <c r="B481" s="7">
        <v>45131</v>
      </c>
      <c r="C481" s="1" t="s">
        <v>12</v>
      </c>
      <c r="D481" s="1">
        <v>369974</v>
      </c>
      <c r="E481" s="4">
        <v>10840.33</v>
      </c>
      <c r="F481" s="4">
        <f t="shared" si="11"/>
        <v>2059.6626999999999</v>
      </c>
      <c r="G481" s="4">
        <f t="shared" si="12"/>
        <v>12899.992699999999</v>
      </c>
      <c r="H481" s="1">
        <f t="shared" si="13"/>
        <v>7</v>
      </c>
      <c r="I481" s="1">
        <f t="shared" si="14"/>
        <v>2023</v>
      </c>
      <c r="J481" s="4"/>
      <c r="K481" s="1" t="s">
        <v>87</v>
      </c>
    </row>
    <row r="482" spans="1:11">
      <c r="A482" s="1" t="s">
        <v>236</v>
      </c>
      <c r="B482" s="7">
        <v>45127</v>
      </c>
      <c r="C482" s="1" t="s">
        <v>12</v>
      </c>
      <c r="D482" s="1">
        <v>32344</v>
      </c>
      <c r="E482" s="4">
        <v>2941.17</v>
      </c>
      <c r="F482" s="4">
        <f t="shared" si="11"/>
        <v>558.82230000000004</v>
      </c>
      <c r="G482" s="4">
        <f t="shared" si="12"/>
        <v>3499.9922999999999</v>
      </c>
      <c r="H482" s="1">
        <f t="shared" si="13"/>
        <v>7</v>
      </c>
      <c r="I482" s="1">
        <f t="shared" si="14"/>
        <v>2023</v>
      </c>
      <c r="J482" s="4"/>
      <c r="K482" s="1" t="s">
        <v>87</v>
      </c>
    </row>
    <row r="483" spans="1:11">
      <c r="A483" s="1" t="s">
        <v>28</v>
      </c>
      <c r="B483" s="7">
        <v>45133</v>
      </c>
      <c r="C483" s="1" t="s">
        <v>12</v>
      </c>
      <c r="D483" s="1">
        <v>769332</v>
      </c>
      <c r="E483" s="4">
        <v>2268.9</v>
      </c>
      <c r="F483" s="4">
        <f t="shared" si="11"/>
        <v>431.09100000000001</v>
      </c>
      <c r="G483" s="4">
        <f t="shared" si="12"/>
        <v>2699.991</v>
      </c>
      <c r="H483" s="1">
        <f t="shared" si="13"/>
        <v>7</v>
      </c>
      <c r="I483" s="1">
        <f t="shared" si="14"/>
        <v>2023</v>
      </c>
      <c r="J483" s="4"/>
      <c r="K483" s="1" t="s">
        <v>87</v>
      </c>
    </row>
    <row r="484" spans="1:11">
      <c r="A484" s="1" t="s">
        <v>166</v>
      </c>
      <c r="B484" s="7">
        <v>45135</v>
      </c>
      <c r="C484" s="1" t="s">
        <v>12</v>
      </c>
      <c r="D484" s="1">
        <v>55608</v>
      </c>
      <c r="E484" s="4">
        <v>12120.17</v>
      </c>
      <c r="F484" s="4">
        <f t="shared" si="11"/>
        <v>2302.8323</v>
      </c>
      <c r="G484" s="4">
        <f t="shared" si="12"/>
        <v>14423.0023</v>
      </c>
      <c r="H484" s="1">
        <f t="shared" si="13"/>
        <v>7</v>
      </c>
      <c r="I484" s="1">
        <f t="shared" si="14"/>
        <v>2023</v>
      </c>
      <c r="J484" s="4"/>
      <c r="K484" s="1" t="s">
        <v>87</v>
      </c>
    </row>
    <row r="485" spans="1:11">
      <c r="A485" s="1" t="s">
        <v>333</v>
      </c>
      <c r="B485" s="7">
        <v>45135</v>
      </c>
      <c r="C485" s="1" t="s">
        <v>12</v>
      </c>
      <c r="D485" s="1">
        <v>2513964</v>
      </c>
      <c r="E485" s="4">
        <v>26676.47</v>
      </c>
      <c r="F485" s="4">
        <f t="shared" si="11"/>
        <v>5068.5293000000001</v>
      </c>
      <c r="G485" s="4">
        <f t="shared" si="12"/>
        <v>31744.999300000003</v>
      </c>
      <c r="H485" s="1">
        <f t="shared" si="13"/>
        <v>7</v>
      </c>
      <c r="I485" s="1">
        <f t="shared" si="14"/>
        <v>2023</v>
      </c>
      <c r="J485" s="4"/>
      <c r="K485" s="1" t="s">
        <v>87</v>
      </c>
    </row>
    <row r="486" spans="1:11">
      <c r="A486" s="1" t="s">
        <v>334</v>
      </c>
      <c r="B486" s="7">
        <v>45138</v>
      </c>
      <c r="C486" s="1" t="s">
        <v>12</v>
      </c>
      <c r="D486" s="1">
        <v>65613</v>
      </c>
      <c r="E486" s="4">
        <v>22478.15</v>
      </c>
      <c r="F486" s="4">
        <f t="shared" si="11"/>
        <v>4270.8485000000001</v>
      </c>
      <c r="G486" s="4">
        <f t="shared" si="12"/>
        <v>26748.998500000002</v>
      </c>
      <c r="H486" s="1">
        <f t="shared" si="13"/>
        <v>7</v>
      </c>
      <c r="I486" s="1">
        <f t="shared" si="14"/>
        <v>2023</v>
      </c>
      <c r="J486" s="4"/>
      <c r="K486" s="1" t="s">
        <v>87</v>
      </c>
    </row>
    <row r="487" spans="1:11">
      <c r="A487" s="1" t="s">
        <v>335</v>
      </c>
      <c r="B487" s="7">
        <v>45138</v>
      </c>
      <c r="C487" s="1" t="s">
        <v>12</v>
      </c>
      <c r="D487" s="1">
        <v>32521</v>
      </c>
      <c r="E487" s="4">
        <v>3529.41</v>
      </c>
      <c r="F487" s="4">
        <f t="shared" si="11"/>
        <v>670.58789999999999</v>
      </c>
      <c r="G487" s="4">
        <f t="shared" si="12"/>
        <v>4199.9979000000003</v>
      </c>
      <c r="H487" s="1">
        <f t="shared" si="13"/>
        <v>7</v>
      </c>
      <c r="I487" s="1">
        <f t="shared" si="14"/>
        <v>2023</v>
      </c>
      <c r="J487" s="4"/>
      <c r="K487" s="1" t="s">
        <v>87</v>
      </c>
    </row>
    <row r="488" spans="1:11">
      <c r="A488" s="1" t="s">
        <v>336</v>
      </c>
      <c r="B488" s="7">
        <v>45139</v>
      </c>
      <c r="C488" s="1" t="s">
        <v>12</v>
      </c>
      <c r="D488" s="1">
        <v>3065780</v>
      </c>
      <c r="E488" s="4">
        <v>19873.95</v>
      </c>
      <c r="F488" s="4">
        <f t="shared" si="11"/>
        <v>3776.0505000000003</v>
      </c>
      <c r="G488" s="4">
        <f t="shared" si="12"/>
        <v>23650.000500000002</v>
      </c>
      <c r="H488" s="1">
        <f t="shared" si="13"/>
        <v>8</v>
      </c>
      <c r="I488" s="1">
        <f t="shared" si="14"/>
        <v>2023</v>
      </c>
      <c r="J488" s="4"/>
      <c r="K488" s="1" t="s">
        <v>87</v>
      </c>
    </row>
    <row r="489" spans="1:11">
      <c r="A489" s="1" t="s">
        <v>337</v>
      </c>
      <c r="B489" s="7">
        <v>45140</v>
      </c>
      <c r="C489" s="1" t="s">
        <v>12</v>
      </c>
      <c r="D489" s="1">
        <v>65734</v>
      </c>
      <c r="E489" s="4">
        <v>17073.95</v>
      </c>
      <c r="F489" s="4">
        <f t="shared" si="11"/>
        <v>3244.0505000000003</v>
      </c>
      <c r="G489" s="4">
        <f t="shared" si="12"/>
        <v>20318.000500000002</v>
      </c>
      <c r="H489" s="1">
        <f t="shared" si="13"/>
        <v>8</v>
      </c>
      <c r="I489" s="1">
        <f t="shared" si="14"/>
        <v>2023</v>
      </c>
      <c r="J489" s="4"/>
      <c r="K489" s="1" t="s">
        <v>87</v>
      </c>
    </row>
    <row r="490" spans="1:11">
      <c r="A490" s="1" t="s">
        <v>338</v>
      </c>
      <c r="B490" s="7">
        <v>45140</v>
      </c>
      <c r="C490" s="1" t="s">
        <v>12</v>
      </c>
      <c r="D490" s="1">
        <v>16</v>
      </c>
      <c r="E490" s="4">
        <v>165924.37</v>
      </c>
      <c r="F490" s="4">
        <f t="shared" si="11"/>
        <v>31525.630300000001</v>
      </c>
      <c r="G490" s="4">
        <f t="shared" si="12"/>
        <v>197450.00029999999</v>
      </c>
      <c r="H490" s="1">
        <f t="shared" si="13"/>
        <v>8</v>
      </c>
      <c r="I490" s="1">
        <f t="shared" si="14"/>
        <v>2023</v>
      </c>
      <c r="J490" s="4"/>
      <c r="K490" s="1" t="s">
        <v>87</v>
      </c>
    </row>
    <row r="491" spans="1:11">
      <c r="A491" s="1" t="s">
        <v>203</v>
      </c>
      <c r="B491" s="7">
        <v>45141</v>
      </c>
      <c r="C491" s="1" t="s">
        <v>12</v>
      </c>
      <c r="D491" s="1">
        <v>37339879</v>
      </c>
      <c r="E491" s="4">
        <v>24179.83</v>
      </c>
      <c r="F491" s="4">
        <f t="shared" si="11"/>
        <v>4594.1677</v>
      </c>
      <c r="G491" s="4">
        <f t="shared" si="12"/>
        <v>28773.9977</v>
      </c>
      <c r="H491" s="1">
        <f t="shared" si="13"/>
        <v>8</v>
      </c>
      <c r="I491" s="1">
        <f t="shared" si="14"/>
        <v>2023</v>
      </c>
      <c r="J491" s="4"/>
      <c r="K491" s="1" t="s">
        <v>87</v>
      </c>
    </row>
    <row r="492" spans="1:11">
      <c r="A492" s="1" t="s">
        <v>28</v>
      </c>
      <c r="B492" s="7">
        <v>45141</v>
      </c>
      <c r="C492" s="1" t="s">
        <v>12</v>
      </c>
      <c r="D492" s="1">
        <v>776966</v>
      </c>
      <c r="E492" s="4">
        <v>2268.9</v>
      </c>
      <c r="F492" s="4">
        <f t="shared" si="11"/>
        <v>431.09100000000001</v>
      </c>
      <c r="G492" s="4">
        <f t="shared" si="12"/>
        <v>2699.991</v>
      </c>
      <c r="H492" s="1">
        <f t="shared" si="13"/>
        <v>8</v>
      </c>
      <c r="I492" s="1">
        <f t="shared" si="14"/>
        <v>2023</v>
      </c>
      <c r="J492" s="4"/>
      <c r="K492" s="1" t="s">
        <v>87</v>
      </c>
    </row>
    <row r="493" spans="1:11">
      <c r="A493" s="1" t="s">
        <v>236</v>
      </c>
      <c r="B493" s="7">
        <v>45141</v>
      </c>
      <c r="C493" s="1" t="s">
        <v>12</v>
      </c>
      <c r="D493" s="1">
        <v>32626</v>
      </c>
      <c r="E493" s="4">
        <v>6135.29</v>
      </c>
      <c r="F493" s="4">
        <f t="shared" si="11"/>
        <v>1165.7050999999999</v>
      </c>
      <c r="G493" s="4">
        <f t="shared" si="12"/>
        <v>7300.9951000000001</v>
      </c>
      <c r="H493" s="1">
        <f t="shared" si="13"/>
        <v>8</v>
      </c>
      <c r="I493" s="1">
        <f t="shared" si="14"/>
        <v>2023</v>
      </c>
      <c r="J493" s="4"/>
      <c r="K493" s="1" t="s">
        <v>87</v>
      </c>
    </row>
    <row r="494" spans="1:11">
      <c r="A494" s="1" t="s">
        <v>212</v>
      </c>
      <c r="B494" s="7">
        <v>45142</v>
      </c>
      <c r="C494" s="1" t="s">
        <v>12</v>
      </c>
      <c r="D494" s="1">
        <v>2072995</v>
      </c>
      <c r="E494" s="4">
        <v>207179.8</v>
      </c>
      <c r="F494" s="4">
        <f t="shared" si="11"/>
        <v>39364.161999999997</v>
      </c>
      <c r="G494" s="4">
        <f t="shared" si="12"/>
        <v>246543.962</v>
      </c>
      <c r="H494" s="1">
        <f t="shared" si="13"/>
        <v>8</v>
      </c>
      <c r="I494" s="1">
        <f t="shared" si="14"/>
        <v>2023</v>
      </c>
      <c r="J494" s="4"/>
      <c r="K494" s="1" t="s">
        <v>87</v>
      </c>
    </row>
    <row r="495" spans="1:11">
      <c r="A495" s="1" t="s">
        <v>339</v>
      </c>
      <c r="B495" s="7">
        <v>45143</v>
      </c>
      <c r="C495" s="1" t="s">
        <v>12</v>
      </c>
      <c r="D495" s="1">
        <v>5990</v>
      </c>
      <c r="E495" s="4">
        <v>16050.42</v>
      </c>
      <c r="F495" s="4">
        <f t="shared" si="11"/>
        <v>3049.5798</v>
      </c>
      <c r="G495" s="4">
        <f t="shared" si="12"/>
        <v>19099.999800000001</v>
      </c>
      <c r="H495" s="1">
        <f t="shared" si="13"/>
        <v>8</v>
      </c>
      <c r="I495" s="1">
        <f t="shared" si="14"/>
        <v>2023</v>
      </c>
      <c r="J495" s="4"/>
      <c r="K495" s="1" t="s">
        <v>87</v>
      </c>
    </row>
    <row r="496" spans="1:11">
      <c r="A496" s="1" t="s">
        <v>340</v>
      </c>
      <c r="B496" s="7">
        <v>45145</v>
      </c>
      <c r="C496" s="1" t="s">
        <v>12</v>
      </c>
      <c r="D496" s="1">
        <v>27200</v>
      </c>
      <c r="E496" s="4">
        <v>11756.3</v>
      </c>
      <c r="F496" s="4">
        <f t="shared" si="11"/>
        <v>2233.6969999999997</v>
      </c>
      <c r="G496" s="4">
        <f t="shared" si="12"/>
        <v>13989.996999999999</v>
      </c>
      <c r="H496" s="1">
        <f t="shared" si="13"/>
        <v>8</v>
      </c>
      <c r="I496" s="1">
        <f t="shared" si="14"/>
        <v>2023</v>
      </c>
      <c r="J496" s="4"/>
      <c r="K496" s="1" t="s">
        <v>87</v>
      </c>
    </row>
    <row r="497" spans="1:11">
      <c r="A497" s="1" t="s">
        <v>202</v>
      </c>
      <c r="B497" s="7">
        <v>45146</v>
      </c>
      <c r="C497" s="1" t="s">
        <v>12</v>
      </c>
      <c r="D497" s="1">
        <v>1330457</v>
      </c>
      <c r="E497" s="4">
        <v>150.41999999999999</v>
      </c>
      <c r="F497" s="4">
        <f t="shared" si="11"/>
        <v>28.579799999999999</v>
      </c>
      <c r="G497" s="4">
        <f t="shared" si="12"/>
        <v>178.99979999999999</v>
      </c>
      <c r="H497" s="1">
        <f t="shared" si="13"/>
        <v>8</v>
      </c>
      <c r="I497" s="1">
        <f t="shared" si="14"/>
        <v>2023</v>
      </c>
      <c r="J497" s="4"/>
      <c r="K497" s="1" t="s">
        <v>87</v>
      </c>
    </row>
    <row r="498" spans="1:11">
      <c r="A498" s="1" t="s">
        <v>341</v>
      </c>
      <c r="B498" s="7">
        <v>45146</v>
      </c>
      <c r="C498" s="1" t="s">
        <v>12</v>
      </c>
      <c r="D498" s="1">
        <v>2164761</v>
      </c>
      <c r="E498" s="4">
        <v>3016.8</v>
      </c>
      <c r="F498" s="4">
        <f t="shared" si="11"/>
        <v>573.19200000000001</v>
      </c>
      <c r="G498" s="4">
        <f t="shared" si="12"/>
        <v>3589.9920000000002</v>
      </c>
      <c r="H498" s="1">
        <f t="shared" si="13"/>
        <v>8</v>
      </c>
      <c r="I498" s="1">
        <f t="shared" si="14"/>
        <v>2023</v>
      </c>
      <c r="J498" s="4"/>
      <c r="K498" s="1" t="s">
        <v>87</v>
      </c>
    </row>
    <row r="499" spans="1:11">
      <c r="A499" s="1" t="s">
        <v>342</v>
      </c>
      <c r="B499" s="7">
        <v>45152</v>
      </c>
      <c r="C499" s="1" t="s">
        <v>12</v>
      </c>
      <c r="D499" s="1">
        <v>4207021</v>
      </c>
      <c r="E499" s="4">
        <v>17806.72</v>
      </c>
      <c r="F499" s="4">
        <f t="shared" si="11"/>
        <v>3383.2768000000001</v>
      </c>
      <c r="G499" s="4">
        <f t="shared" si="12"/>
        <v>21189.996800000001</v>
      </c>
      <c r="H499" s="1">
        <f t="shared" si="13"/>
        <v>8</v>
      </c>
      <c r="I499" s="1">
        <f t="shared" si="14"/>
        <v>2023</v>
      </c>
      <c r="J499" s="4"/>
      <c r="K499" s="1" t="s">
        <v>87</v>
      </c>
    </row>
    <row r="500" spans="1:11">
      <c r="A500" s="1" t="s">
        <v>342</v>
      </c>
      <c r="B500" s="7">
        <v>45154</v>
      </c>
      <c r="C500" s="1" t="s">
        <v>12</v>
      </c>
      <c r="D500" s="1">
        <v>4207133</v>
      </c>
      <c r="E500" s="4">
        <v>8899.16</v>
      </c>
      <c r="F500" s="4">
        <f t="shared" si="11"/>
        <v>1690.8404</v>
      </c>
      <c r="G500" s="4">
        <f t="shared" si="12"/>
        <v>10590.000400000001</v>
      </c>
      <c r="H500" s="1">
        <f t="shared" si="13"/>
        <v>8</v>
      </c>
      <c r="I500" s="1">
        <f t="shared" si="14"/>
        <v>2023</v>
      </c>
      <c r="J500" s="4"/>
      <c r="K500" s="1" t="s">
        <v>87</v>
      </c>
    </row>
    <row r="501" spans="1:11">
      <c r="A501" s="1" t="s">
        <v>293</v>
      </c>
      <c r="B501" s="7">
        <v>45154</v>
      </c>
      <c r="C501" s="1" t="s">
        <v>12</v>
      </c>
      <c r="D501" s="1">
        <v>12431</v>
      </c>
      <c r="E501" s="4">
        <v>6294.11</v>
      </c>
      <c r="F501" s="4">
        <f t="shared" si="11"/>
        <v>1195.8808999999999</v>
      </c>
      <c r="G501" s="4">
        <f t="shared" si="12"/>
        <v>7489.9908999999998</v>
      </c>
      <c r="H501" s="1">
        <f t="shared" si="13"/>
        <v>8</v>
      </c>
      <c r="I501" s="1">
        <f t="shared" si="14"/>
        <v>2023</v>
      </c>
      <c r="J501" s="4"/>
      <c r="K501" s="1" t="s">
        <v>87</v>
      </c>
    </row>
    <row r="502" spans="1:11">
      <c r="A502" s="1" t="s">
        <v>343</v>
      </c>
      <c r="B502" s="7">
        <v>45155</v>
      </c>
      <c r="C502" s="1" t="s">
        <v>12</v>
      </c>
      <c r="D502" s="1">
        <v>1747</v>
      </c>
      <c r="E502" s="4">
        <v>33942.86</v>
      </c>
      <c r="F502" s="4">
        <f t="shared" si="11"/>
        <v>6449.1433999999999</v>
      </c>
      <c r="G502" s="4">
        <f t="shared" si="12"/>
        <v>40392.003400000001</v>
      </c>
      <c r="H502" s="1">
        <f t="shared" si="13"/>
        <v>8</v>
      </c>
      <c r="I502" s="1">
        <f t="shared" si="14"/>
        <v>2023</v>
      </c>
      <c r="J502" s="4"/>
      <c r="K502" s="1" t="s">
        <v>87</v>
      </c>
    </row>
    <row r="503" spans="1:11">
      <c r="A503" s="1" t="s">
        <v>22</v>
      </c>
      <c r="B503" s="7">
        <v>45156</v>
      </c>
      <c r="C503" s="1" t="s">
        <v>12</v>
      </c>
      <c r="D503" s="1">
        <v>11650371</v>
      </c>
      <c r="E503" s="4">
        <v>4462.18</v>
      </c>
      <c r="F503" s="4">
        <f t="shared" si="11"/>
        <v>847.81420000000003</v>
      </c>
      <c r="G503" s="4">
        <f t="shared" si="12"/>
        <v>5309.9942000000001</v>
      </c>
      <c r="H503" s="1">
        <f t="shared" si="13"/>
        <v>8</v>
      </c>
      <c r="I503" s="1">
        <f t="shared" si="14"/>
        <v>2023</v>
      </c>
      <c r="J503" s="4"/>
      <c r="K503" s="1" t="s">
        <v>87</v>
      </c>
    </row>
    <row r="504" spans="1:11">
      <c r="A504" s="1" t="s">
        <v>342</v>
      </c>
      <c r="B504" s="7">
        <v>45154</v>
      </c>
      <c r="C504" s="1" t="s">
        <v>12</v>
      </c>
      <c r="D504" s="1">
        <v>4267080</v>
      </c>
      <c r="E504" s="4">
        <v>9823.5300000000007</v>
      </c>
      <c r="F504" s="4">
        <f t="shared" si="11"/>
        <v>1866.4707000000001</v>
      </c>
      <c r="G504" s="4">
        <f t="shared" si="12"/>
        <v>11690.000700000001</v>
      </c>
      <c r="H504" s="1">
        <f t="shared" si="13"/>
        <v>8</v>
      </c>
      <c r="I504" s="1">
        <f t="shared" si="14"/>
        <v>2023</v>
      </c>
      <c r="J504" s="4"/>
      <c r="K504" s="1" t="s">
        <v>87</v>
      </c>
    </row>
    <row r="505" spans="1:11">
      <c r="A505" s="1" t="s">
        <v>344</v>
      </c>
      <c r="B505" s="7">
        <v>45163</v>
      </c>
      <c r="C505" s="1" t="s">
        <v>12</v>
      </c>
      <c r="D505" s="1">
        <v>3226926</v>
      </c>
      <c r="E505" s="4">
        <v>26463.02</v>
      </c>
      <c r="F505" s="4">
        <f t="shared" si="11"/>
        <v>5027.9737999999998</v>
      </c>
      <c r="G505" s="4">
        <f t="shared" si="12"/>
        <v>31490.9938</v>
      </c>
      <c r="H505" s="1">
        <f t="shared" si="13"/>
        <v>8</v>
      </c>
      <c r="I505" s="1">
        <f t="shared" si="14"/>
        <v>2023</v>
      </c>
      <c r="J505" s="4"/>
      <c r="K505" s="1" t="s">
        <v>87</v>
      </c>
    </row>
    <row r="506" spans="1:11">
      <c r="A506" s="1" t="s">
        <v>345</v>
      </c>
      <c r="B506" s="7">
        <v>45164</v>
      </c>
      <c r="C506" s="1" t="s">
        <v>12</v>
      </c>
      <c r="D506" s="1">
        <v>17</v>
      </c>
      <c r="E506" s="4">
        <v>71177.31</v>
      </c>
      <c r="F506" s="4">
        <f t="shared" si="11"/>
        <v>13523.688899999999</v>
      </c>
      <c r="G506" s="4">
        <f t="shared" si="12"/>
        <v>84700.998899999991</v>
      </c>
      <c r="H506" s="1">
        <f t="shared" si="13"/>
        <v>8</v>
      </c>
      <c r="I506" s="1">
        <f t="shared" si="14"/>
        <v>2023</v>
      </c>
      <c r="J506" s="4"/>
      <c r="K506" s="1" t="s">
        <v>87</v>
      </c>
    </row>
    <row r="507" spans="1:11">
      <c r="A507" s="1" t="s">
        <v>236</v>
      </c>
      <c r="B507" s="7">
        <v>45164</v>
      </c>
      <c r="C507" s="1" t="s">
        <v>12</v>
      </c>
      <c r="D507" s="1">
        <v>33087</v>
      </c>
      <c r="E507" s="4">
        <v>9159.66</v>
      </c>
      <c r="F507" s="4">
        <f t="shared" si="11"/>
        <v>1740.3353999999999</v>
      </c>
      <c r="G507" s="4">
        <f t="shared" si="12"/>
        <v>10899.9954</v>
      </c>
      <c r="H507" s="1">
        <f t="shared" si="13"/>
        <v>8</v>
      </c>
      <c r="I507" s="1">
        <f t="shared" si="14"/>
        <v>2023</v>
      </c>
      <c r="J507" s="4"/>
      <c r="K507" s="1" t="s">
        <v>87</v>
      </c>
    </row>
    <row r="508" spans="1:11">
      <c r="A508" s="1" t="s">
        <v>166</v>
      </c>
      <c r="B508" s="7">
        <v>45166</v>
      </c>
      <c r="C508" s="1" t="s">
        <v>12</v>
      </c>
      <c r="D508" s="1">
        <v>57338</v>
      </c>
      <c r="E508" s="4">
        <v>12140</v>
      </c>
      <c r="F508" s="4">
        <f t="shared" si="11"/>
        <v>2306.6</v>
      </c>
      <c r="G508" s="4">
        <f t="shared" si="12"/>
        <v>14446.6</v>
      </c>
      <c r="H508" s="1">
        <f t="shared" si="13"/>
        <v>8</v>
      </c>
      <c r="I508" s="1">
        <f t="shared" si="14"/>
        <v>2023</v>
      </c>
      <c r="J508" s="4"/>
      <c r="K508" s="1" t="s">
        <v>87</v>
      </c>
    </row>
    <row r="509" spans="1:11">
      <c r="A509" s="1" t="s">
        <v>236</v>
      </c>
      <c r="B509" s="7">
        <v>45168</v>
      </c>
      <c r="C509" s="1" t="s">
        <v>12</v>
      </c>
      <c r="D509" s="1">
        <v>33163</v>
      </c>
      <c r="E509" s="4">
        <v>10000</v>
      </c>
      <c r="F509" s="4">
        <f t="shared" si="11"/>
        <v>1900</v>
      </c>
      <c r="G509" s="4">
        <f t="shared" si="12"/>
        <v>11900</v>
      </c>
      <c r="H509" s="1">
        <f t="shared" si="13"/>
        <v>8</v>
      </c>
      <c r="I509" s="1">
        <f t="shared" si="14"/>
        <v>2023</v>
      </c>
      <c r="J509" s="4"/>
      <c r="K509" s="1" t="s">
        <v>87</v>
      </c>
    </row>
    <row r="510" spans="1:11">
      <c r="A510" s="1" t="s">
        <v>95</v>
      </c>
      <c r="B510" s="7">
        <v>45163</v>
      </c>
      <c r="C510" s="1" t="s">
        <v>12</v>
      </c>
      <c r="D510" s="1">
        <v>2537321</v>
      </c>
      <c r="E510" s="4">
        <v>12403.36</v>
      </c>
      <c r="F510" s="4">
        <f t="shared" si="11"/>
        <v>2356.6384000000003</v>
      </c>
      <c r="G510" s="4">
        <f t="shared" si="12"/>
        <v>14759.9984</v>
      </c>
      <c r="H510" s="1">
        <f t="shared" si="13"/>
        <v>8</v>
      </c>
      <c r="I510" s="1">
        <f t="shared" si="14"/>
        <v>2023</v>
      </c>
      <c r="J510" s="4"/>
      <c r="K510" s="1" t="s">
        <v>87</v>
      </c>
    </row>
    <row r="511" spans="1:11">
      <c r="A511" s="1" t="s">
        <v>346</v>
      </c>
      <c r="B511" s="7">
        <v>45163</v>
      </c>
      <c r="C511" s="1" t="s">
        <v>12</v>
      </c>
      <c r="E511" s="4">
        <v>-12403.36</v>
      </c>
      <c r="F511" s="4">
        <f t="shared" si="11"/>
        <v>-2356.6384000000003</v>
      </c>
      <c r="G511" s="4">
        <f t="shared" si="12"/>
        <v>-14759.9984</v>
      </c>
      <c r="H511" s="1">
        <f t="shared" si="13"/>
        <v>8</v>
      </c>
      <c r="I511" s="1">
        <f t="shared" si="14"/>
        <v>2023</v>
      </c>
      <c r="J511" s="4"/>
      <c r="K511" s="1" t="s">
        <v>87</v>
      </c>
    </row>
    <row r="512" spans="1:11">
      <c r="A512" s="1" t="s">
        <v>347</v>
      </c>
      <c r="B512" s="7">
        <v>45170</v>
      </c>
      <c r="C512" s="1" t="s">
        <v>12</v>
      </c>
      <c r="D512" s="1">
        <v>33235</v>
      </c>
      <c r="E512" s="4">
        <v>3277.31</v>
      </c>
      <c r="F512" s="4">
        <f t="shared" si="11"/>
        <v>622.68889999999999</v>
      </c>
      <c r="G512" s="4">
        <f t="shared" si="12"/>
        <v>3899.9989</v>
      </c>
      <c r="H512" s="1">
        <f t="shared" si="13"/>
        <v>9</v>
      </c>
      <c r="I512" s="1">
        <f t="shared" si="14"/>
        <v>2023</v>
      </c>
      <c r="J512" s="4"/>
      <c r="K512" s="1" t="s">
        <v>87</v>
      </c>
    </row>
    <row r="513" spans="1:11">
      <c r="A513" s="1" t="s">
        <v>348</v>
      </c>
      <c r="B513" s="7">
        <v>45173</v>
      </c>
      <c r="C513" s="1" t="s">
        <v>12</v>
      </c>
      <c r="D513" s="1">
        <v>440863</v>
      </c>
      <c r="E513" s="4">
        <v>36890.75</v>
      </c>
      <c r="F513" s="4">
        <f t="shared" si="11"/>
        <v>7009.2425000000003</v>
      </c>
      <c r="G513" s="4">
        <f t="shared" si="12"/>
        <v>43899.9925</v>
      </c>
      <c r="H513" s="1">
        <f t="shared" si="13"/>
        <v>9</v>
      </c>
      <c r="I513" s="1">
        <f t="shared" si="14"/>
        <v>2023</v>
      </c>
      <c r="J513" s="4"/>
      <c r="K513" s="1" t="s">
        <v>87</v>
      </c>
    </row>
    <row r="514" spans="1:11">
      <c r="A514" s="1" t="s">
        <v>28</v>
      </c>
      <c r="B514" s="7">
        <v>45176</v>
      </c>
      <c r="C514" s="1" t="s">
        <v>12</v>
      </c>
      <c r="D514" s="1">
        <v>790991</v>
      </c>
      <c r="E514" s="4">
        <v>2268.9</v>
      </c>
      <c r="F514" s="4">
        <f t="shared" si="11"/>
        <v>431.09100000000001</v>
      </c>
      <c r="G514" s="4">
        <f t="shared" si="12"/>
        <v>2699.991</v>
      </c>
      <c r="H514" s="1">
        <f t="shared" si="13"/>
        <v>9</v>
      </c>
      <c r="I514" s="1">
        <f t="shared" si="14"/>
        <v>2023</v>
      </c>
      <c r="J514" s="4"/>
      <c r="K514" s="1" t="s">
        <v>87</v>
      </c>
    </row>
    <row r="515" spans="1:11">
      <c r="A515" s="1" t="s">
        <v>314</v>
      </c>
      <c r="B515" s="7">
        <v>45176</v>
      </c>
      <c r="C515" s="1" t="s">
        <v>12</v>
      </c>
      <c r="D515" s="1">
        <v>33401</v>
      </c>
      <c r="E515" s="4">
        <v>3361.34</v>
      </c>
      <c r="F515" s="4">
        <f t="shared" si="11"/>
        <v>638.65460000000007</v>
      </c>
      <c r="G515" s="4">
        <f t="shared" si="12"/>
        <v>3999.9946</v>
      </c>
      <c r="H515" s="1">
        <f t="shared" si="13"/>
        <v>9</v>
      </c>
      <c r="I515" s="1">
        <f t="shared" si="14"/>
        <v>2023</v>
      </c>
      <c r="J515" s="4"/>
      <c r="K515" s="1" t="s">
        <v>87</v>
      </c>
    </row>
    <row r="516" spans="1:11">
      <c r="A516" s="1" t="s">
        <v>202</v>
      </c>
      <c r="B516" s="7">
        <v>45177</v>
      </c>
      <c r="C516" s="1" t="s">
        <v>12</v>
      </c>
      <c r="D516" s="1">
        <v>1387352</v>
      </c>
      <c r="E516" s="4">
        <v>1450.42</v>
      </c>
      <c r="F516" s="4">
        <f t="shared" si="11"/>
        <v>275.57980000000003</v>
      </c>
      <c r="G516" s="4">
        <f t="shared" si="12"/>
        <v>1725.9998000000001</v>
      </c>
      <c r="H516" s="1">
        <f t="shared" si="13"/>
        <v>9</v>
      </c>
      <c r="I516" s="1">
        <f t="shared" si="14"/>
        <v>2023</v>
      </c>
      <c r="J516" s="4"/>
      <c r="K516" s="1" t="s">
        <v>87</v>
      </c>
    </row>
    <row r="517" spans="1:11">
      <c r="A517" s="1" t="s">
        <v>349</v>
      </c>
      <c r="B517" s="7">
        <v>45177</v>
      </c>
      <c r="C517" s="1" t="s">
        <v>12</v>
      </c>
      <c r="D517" s="1">
        <v>3295221</v>
      </c>
      <c r="E517" s="4">
        <v>16789.91</v>
      </c>
      <c r="F517" s="4">
        <f t="shared" si="11"/>
        <v>3190.0828999999999</v>
      </c>
      <c r="G517" s="4">
        <f t="shared" si="12"/>
        <v>19979.992900000001</v>
      </c>
      <c r="H517" s="1">
        <f t="shared" si="13"/>
        <v>9</v>
      </c>
      <c r="I517" s="1">
        <f t="shared" si="14"/>
        <v>2023</v>
      </c>
      <c r="J517" s="4"/>
      <c r="K517" s="1" t="s">
        <v>87</v>
      </c>
    </row>
    <row r="518" spans="1:11">
      <c r="A518" s="1" t="s">
        <v>349</v>
      </c>
      <c r="B518" s="7">
        <v>45177</v>
      </c>
      <c r="C518" s="1" t="s">
        <v>12</v>
      </c>
      <c r="D518" s="1">
        <v>3295220</v>
      </c>
      <c r="E518" s="4">
        <v>8515.1200000000008</v>
      </c>
      <c r="F518" s="4">
        <f t="shared" si="11"/>
        <v>1617.8728000000001</v>
      </c>
      <c r="G518" s="4">
        <f t="shared" si="12"/>
        <v>10132.9928</v>
      </c>
      <c r="H518" s="1">
        <f t="shared" si="13"/>
        <v>9</v>
      </c>
      <c r="I518" s="1">
        <f t="shared" si="14"/>
        <v>2023</v>
      </c>
      <c r="J518" s="4"/>
      <c r="K518" s="1" t="s">
        <v>87</v>
      </c>
    </row>
    <row r="519" spans="1:11">
      <c r="A519" s="1" t="s">
        <v>203</v>
      </c>
      <c r="B519" s="7">
        <v>45178</v>
      </c>
      <c r="C519" s="1" t="s">
        <v>12</v>
      </c>
      <c r="D519" s="10">
        <v>37590742</v>
      </c>
      <c r="E519" s="4">
        <v>24152.94</v>
      </c>
      <c r="F519" s="4">
        <f t="shared" ref="F519:F773" si="15">E519*0.19</f>
        <v>4589.0585999999994</v>
      </c>
      <c r="G519" s="4">
        <f t="shared" si="12"/>
        <v>28741.998599999999</v>
      </c>
      <c r="H519" s="1">
        <f t="shared" si="13"/>
        <v>9</v>
      </c>
      <c r="I519" s="1">
        <f t="shared" si="14"/>
        <v>2023</v>
      </c>
      <c r="J519" s="4"/>
      <c r="K519" s="1" t="s">
        <v>87</v>
      </c>
    </row>
    <row r="520" spans="1:11">
      <c r="A520" s="1" t="s">
        <v>291</v>
      </c>
      <c r="B520" s="7">
        <v>45182</v>
      </c>
      <c r="C520" s="1" t="s">
        <v>12</v>
      </c>
      <c r="D520" s="1">
        <v>6264</v>
      </c>
      <c r="E520" s="4">
        <v>4621.848</v>
      </c>
      <c r="F520" s="4">
        <f t="shared" si="15"/>
        <v>878.15111999999999</v>
      </c>
      <c r="G520" s="4">
        <f t="shared" si="12"/>
        <v>5499.9991200000004</v>
      </c>
      <c r="H520" s="1">
        <f t="shared" si="13"/>
        <v>9</v>
      </c>
      <c r="I520" s="1">
        <f t="shared" si="14"/>
        <v>2023</v>
      </c>
      <c r="J520" s="4"/>
      <c r="K520" s="1" t="s">
        <v>87</v>
      </c>
    </row>
    <row r="521" spans="1:11">
      <c r="A521" s="1" t="s">
        <v>291</v>
      </c>
      <c r="B521" s="7">
        <v>45182</v>
      </c>
      <c r="C521" s="1" t="s">
        <v>12</v>
      </c>
      <c r="D521" s="1">
        <v>6265</v>
      </c>
      <c r="E521" s="4">
        <v>3613.44</v>
      </c>
      <c r="F521" s="4">
        <f t="shared" si="15"/>
        <v>686.55360000000007</v>
      </c>
      <c r="G521" s="4">
        <f t="shared" si="12"/>
        <v>4299.9935999999998</v>
      </c>
      <c r="H521" s="1">
        <f t="shared" si="13"/>
        <v>9</v>
      </c>
      <c r="I521" s="1">
        <f t="shared" si="14"/>
        <v>2023</v>
      </c>
      <c r="J521" s="4"/>
      <c r="K521" s="1" t="s">
        <v>87</v>
      </c>
    </row>
    <row r="522" spans="1:11">
      <c r="A522" s="1" t="s">
        <v>166</v>
      </c>
      <c r="B522" s="7">
        <v>45197</v>
      </c>
      <c r="C522" s="1" t="s">
        <v>12</v>
      </c>
      <c r="E522" s="4">
        <v>12166.38</v>
      </c>
      <c r="F522" s="4">
        <f t="shared" si="15"/>
        <v>2311.6122</v>
      </c>
      <c r="G522" s="4">
        <f t="shared" si="12"/>
        <v>14477.992199999999</v>
      </c>
      <c r="H522" s="1">
        <f t="shared" si="13"/>
        <v>9</v>
      </c>
      <c r="I522" s="1">
        <f t="shared" si="14"/>
        <v>2023</v>
      </c>
      <c r="J522" s="4"/>
      <c r="K522" s="1" t="s">
        <v>87</v>
      </c>
    </row>
    <row r="523" spans="1:11">
      <c r="A523" s="1" t="s">
        <v>291</v>
      </c>
      <c r="B523" s="7">
        <v>45184</v>
      </c>
      <c r="C523" s="1"/>
      <c r="E523" s="4">
        <v>-4622</v>
      </c>
      <c r="F523" s="4">
        <f t="shared" si="15"/>
        <v>-878.18000000000006</v>
      </c>
      <c r="G523" s="4">
        <f t="shared" si="12"/>
        <v>-5500.18</v>
      </c>
      <c r="H523" s="1">
        <f t="shared" si="13"/>
        <v>9</v>
      </c>
      <c r="I523" s="1">
        <f t="shared" si="14"/>
        <v>2023</v>
      </c>
      <c r="J523" s="4"/>
      <c r="K523" s="1" t="s">
        <v>87</v>
      </c>
    </row>
    <row r="524" spans="1:11">
      <c r="A524" s="1" t="s">
        <v>291</v>
      </c>
      <c r="B524" s="7">
        <v>45184</v>
      </c>
      <c r="C524" s="1"/>
      <c r="E524" s="4">
        <v>-3613.44</v>
      </c>
      <c r="F524" s="4">
        <f t="shared" si="15"/>
        <v>-686.55360000000007</v>
      </c>
      <c r="G524" s="4">
        <f t="shared" si="12"/>
        <v>-4299.9935999999998</v>
      </c>
      <c r="H524" s="1">
        <f t="shared" si="13"/>
        <v>9</v>
      </c>
      <c r="I524" s="1">
        <f t="shared" si="14"/>
        <v>2023</v>
      </c>
      <c r="J524" s="4"/>
      <c r="K524" s="1" t="s">
        <v>87</v>
      </c>
    </row>
    <row r="525" spans="1:11">
      <c r="A525" s="1" t="s">
        <v>291</v>
      </c>
      <c r="B525" s="7">
        <v>45189</v>
      </c>
      <c r="C525" s="1" t="s">
        <v>12</v>
      </c>
      <c r="D525" s="1">
        <v>6289</v>
      </c>
      <c r="E525" s="4">
        <v>5966.38</v>
      </c>
      <c r="F525" s="4">
        <f t="shared" si="15"/>
        <v>1133.6122</v>
      </c>
      <c r="G525" s="4">
        <f t="shared" si="12"/>
        <v>7099.9922000000006</v>
      </c>
      <c r="H525" s="1">
        <f t="shared" si="13"/>
        <v>9</v>
      </c>
      <c r="I525" s="1">
        <f t="shared" si="14"/>
        <v>2023</v>
      </c>
      <c r="J525" s="4"/>
      <c r="K525" s="1" t="s">
        <v>87</v>
      </c>
    </row>
    <row r="526" spans="1:11">
      <c r="A526" s="1" t="s">
        <v>350</v>
      </c>
      <c r="B526" s="7">
        <v>45189</v>
      </c>
      <c r="C526" s="1" t="s">
        <v>12</v>
      </c>
      <c r="D526" s="1">
        <v>84178</v>
      </c>
      <c r="E526" s="4">
        <v>6305.04</v>
      </c>
      <c r="F526" s="4">
        <f t="shared" si="15"/>
        <v>1197.9576</v>
      </c>
      <c r="G526" s="4">
        <f t="shared" si="12"/>
        <v>7502.9975999999997</v>
      </c>
      <c r="H526" s="1">
        <f t="shared" si="13"/>
        <v>9</v>
      </c>
      <c r="I526" s="1">
        <f t="shared" si="14"/>
        <v>2023</v>
      </c>
      <c r="J526" s="4"/>
      <c r="K526" s="1" t="s">
        <v>87</v>
      </c>
    </row>
    <row r="527" spans="1:11">
      <c r="A527" s="1" t="s">
        <v>236</v>
      </c>
      <c r="B527" s="7">
        <v>45197</v>
      </c>
      <c r="C527" s="1" t="s">
        <v>12</v>
      </c>
      <c r="D527" s="1">
        <v>33858</v>
      </c>
      <c r="E527" s="4">
        <v>14033.61</v>
      </c>
      <c r="F527" s="4">
        <f t="shared" si="15"/>
        <v>2666.3859000000002</v>
      </c>
      <c r="G527" s="4">
        <f t="shared" si="12"/>
        <v>16699.995900000002</v>
      </c>
      <c r="H527" s="1">
        <f t="shared" si="13"/>
        <v>9</v>
      </c>
      <c r="I527" s="1">
        <f t="shared" si="14"/>
        <v>2023</v>
      </c>
      <c r="J527" s="4"/>
      <c r="K527" s="1" t="s">
        <v>87</v>
      </c>
    </row>
    <row r="528" spans="1:11">
      <c r="A528" s="1" t="s">
        <v>236</v>
      </c>
      <c r="B528" s="7">
        <v>45199</v>
      </c>
      <c r="C528" s="1" t="s">
        <v>12</v>
      </c>
      <c r="D528" s="1">
        <v>33921</v>
      </c>
      <c r="E528" s="4">
        <v>15042</v>
      </c>
      <c r="F528" s="4">
        <f t="shared" si="15"/>
        <v>2857.98</v>
      </c>
      <c r="G528" s="4">
        <f t="shared" si="12"/>
        <v>17899.98</v>
      </c>
      <c r="H528" s="1">
        <f t="shared" si="13"/>
        <v>9</v>
      </c>
      <c r="I528" s="1">
        <f t="shared" si="14"/>
        <v>2023</v>
      </c>
      <c r="J528" s="4"/>
      <c r="K528" s="1" t="s">
        <v>87</v>
      </c>
    </row>
    <row r="529" spans="1:12">
      <c r="A529" s="1" t="s">
        <v>203</v>
      </c>
      <c r="B529" s="7">
        <v>45205</v>
      </c>
      <c r="C529" s="1" t="s">
        <v>12</v>
      </c>
      <c r="D529" s="1">
        <v>37834899</v>
      </c>
      <c r="E529" s="4">
        <v>24206.720000000001</v>
      </c>
      <c r="F529" s="4">
        <f t="shared" si="15"/>
        <v>4599.2768000000005</v>
      </c>
      <c r="G529" s="4">
        <f t="shared" si="12"/>
        <v>28805.996800000001</v>
      </c>
      <c r="H529" s="1">
        <f t="shared" si="13"/>
        <v>10</v>
      </c>
      <c r="I529" s="1">
        <f t="shared" si="14"/>
        <v>2023</v>
      </c>
      <c r="J529" s="4"/>
      <c r="K529" s="1" t="s">
        <v>87</v>
      </c>
    </row>
    <row r="530" spans="1:12">
      <c r="A530" s="1" t="s">
        <v>202</v>
      </c>
      <c r="B530" s="7">
        <v>45208</v>
      </c>
      <c r="C530" s="1" t="s">
        <v>12</v>
      </c>
      <c r="D530" s="1">
        <v>1429966</v>
      </c>
      <c r="E530" s="4">
        <v>978.15</v>
      </c>
      <c r="F530" s="4">
        <f t="shared" si="15"/>
        <v>185.8485</v>
      </c>
      <c r="G530" s="4">
        <f t="shared" si="12"/>
        <v>1163.9984999999999</v>
      </c>
      <c r="H530" s="1">
        <f t="shared" si="13"/>
        <v>10</v>
      </c>
      <c r="I530" s="1">
        <f t="shared" si="14"/>
        <v>2023</v>
      </c>
      <c r="J530" s="4"/>
      <c r="K530" s="1" t="s">
        <v>87</v>
      </c>
    </row>
    <row r="531" spans="1:12">
      <c r="A531" s="1" t="s">
        <v>236</v>
      </c>
      <c r="B531" s="3">
        <v>45213</v>
      </c>
      <c r="C531" s="1" t="s">
        <v>12</v>
      </c>
      <c r="D531" s="1">
        <v>34256</v>
      </c>
      <c r="E531" s="4">
        <v>4201.68</v>
      </c>
      <c r="F531" s="4">
        <f t="shared" si="15"/>
        <v>798.31920000000002</v>
      </c>
      <c r="G531" s="4">
        <f t="shared" si="12"/>
        <v>4999.9992000000002</v>
      </c>
      <c r="H531" s="1">
        <f t="shared" si="13"/>
        <v>10</v>
      </c>
      <c r="I531" s="1">
        <f t="shared" si="14"/>
        <v>2023</v>
      </c>
      <c r="J531" s="4"/>
      <c r="K531" s="1" t="s">
        <v>87</v>
      </c>
    </row>
    <row r="532" spans="1:12">
      <c r="A532" s="1" t="s">
        <v>351</v>
      </c>
      <c r="B532" s="3">
        <v>45209</v>
      </c>
      <c r="C532" s="1"/>
      <c r="E532" s="4">
        <v>124369.75</v>
      </c>
      <c r="F532" s="4">
        <f t="shared" si="15"/>
        <v>23630.252499999999</v>
      </c>
      <c r="G532" s="4">
        <f t="shared" si="12"/>
        <v>148000.0025</v>
      </c>
      <c r="H532" s="1">
        <f t="shared" si="13"/>
        <v>10</v>
      </c>
      <c r="I532" s="1">
        <f t="shared" si="14"/>
        <v>2023</v>
      </c>
      <c r="J532" s="4"/>
      <c r="K532" s="1" t="s">
        <v>87</v>
      </c>
    </row>
    <row r="533" spans="1:12">
      <c r="A533" s="1" t="s">
        <v>320</v>
      </c>
      <c r="B533" s="3">
        <v>45216</v>
      </c>
      <c r="C533" s="1" t="s">
        <v>12</v>
      </c>
      <c r="D533" s="1">
        <v>486231</v>
      </c>
      <c r="E533" s="4">
        <v>345901.68</v>
      </c>
      <c r="F533" s="4">
        <f t="shared" si="15"/>
        <v>65721.319199999998</v>
      </c>
      <c r="G533" s="4">
        <f t="shared" si="12"/>
        <v>411622.99919999996</v>
      </c>
      <c r="H533" s="1">
        <f t="shared" si="13"/>
        <v>10</v>
      </c>
      <c r="I533" s="1">
        <f t="shared" si="14"/>
        <v>2023</v>
      </c>
      <c r="J533" s="4"/>
      <c r="K533" s="1" t="s">
        <v>87</v>
      </c>
    </row>
    <row r="534" spans="1:12">
      <c r="A534" s="1" t="s">
        <v>352</v>
      </c>
      <c r="B534" s="3">
        <v>45217</v>
      </c>
      <c r="C534" s="1" t="s">
        <v>12</v>
      </c>
      <c r="D534" s="1">
        <v>1376862</v>
      </c>
      <c r="E534" s="4">
        <v>7563.02</v>
      </c>
      <c r="F534" s="4">
        <f t="shared" si="15"/>
        <v>1436.9738000000002</v>
      </c>
      <c r="G534" s="4">
        <f t="shared" ref="G534:G788" si="16">E534+F534</f>
        <v>8999.9938000000002</v>
      </c>
      <c r="H534" s="1">
        <f t="shared" si="13"/>
        <v>10</v>
      </c>
      <c r="I534" s="1">
        <f t="shared" si="14"/>
        <v>2023</v>
      </c>
      <c r="J534" s="4"/>
      <c r="K534" s="1" t="s">
        <v>87</v>
      </c>
    </row>
    <row r="535" spans="1:12">
      <c r="A535" s="1" t="s">
        <v>212</v>
      </c>
      <c r="B535" s="3">
        <v>45217</v>
      </c>
      <c r="C535" s="1" t="s">
        <v>12</v>
      </c>
      <c r="D535" s="1">
        <v>2155278</v>
      </c>
      <c r="E535" s="4">
        <v>15309.24</v>
      </c>
      <c r="F535" s="4">
        <f t="shared" si="15"/>
        <v>2908.7556</v>
      </c>
      <c r="G535" s="4">
        <f t="shared" si="16"/>
        <v>18217.995599999998</v>
      </c>
      <c r="H535" s="1">
        <f t="shared" si="13"/>
        <v>10</v>
      </c>
      <c r="I535" s="1">
        <f t="shared" si="14"/>
        <v>2023</v>
      </c>
      <c r="J535" s="4"/>
      <c r="K535" s="1" t="s">
        <v>87</v>
      </c>
    </row>
    <row r="536" spans="1:12">
      <c r="A536" s="1" t="s">
        <v>212</v>
      </c>
      <c r="B536" s="3">
        <v>45217</v>
      </c>
      <c r="C536" s="1" t="s">
        <v>12</v>
      </c>
      <c r="D536" s="1">
        <v>2140504</v>
      </c>
      <c r="E536" s="4">
        <v>191852.94</v>
      </c>
      <c r="F536" s="4">
        <f t="shared" si="15"/>
        <v>36452.058600000004</v>
      </c>
      <c r="G536" s="4">
        <f t="shared" si="16"/>
        <v>228304.99859999999</v>
      </c>
      <c r="H536" s="1">
        <f t="shared" si="13"/>
        <v>10</v>
      </c>
      <c r="I536" s="1">
        <f t="shared" si="14"/>
        <v>2023</v>
      </c>
      <c r="J536" s="4"/>
      <c r="K536" s="1" t="s">
        <v>87</v>
      </c>
    </row>
    <row r="537" spans="1:12">
      <c r="A537" s="1" t="s">
        <v>236</v>
      </c>
      <c r="B537" s="3">
        <v>45218</v>
      </c>
      <c r="C537" s="1" t="s">
        <v>12</v>
      </c>
      <c r="D537" s="1">
        <v>34370</v>
      </c>
      <c r="E537" s="4">
        <v>22857.14</v>
      </c>
      <c r="F537" s="4">
        <f t="shared" si="15"/>
        <v>4342.8566000000001</v>
      </c>
      <c r="G537" s="4">
        <f t="shared" si="16"/>
        <v>27199.996599999999</v>
      </c>
      <c r="H537" s="1">
        <f t="shared" si="13"/>
        <v>10</v>
      </c>
      <c r="I537" s="1">
        <f t="shared" si="14"/>
        <v>2023</v>
      </c>
      <c r="J537" s="4"/>
      <c r="K537" s="1" t="s">
        <v>87</v>
      </c>
    </row>
    <row r="538" spans="1:12">
      <c r="A538" s="1" t="s">
        <v>353</v>
      </c>
      <c r="B538" s="3">
        <v>45232</v>
      </c>
      <c r="C538" s="1" t="s">
        <v>12</v>
      </c>
      <c r="D538" s="1">
        <v>33362</v>
      </c>
      <c r="E538" s="4">
        <v>86265.55</v>
      </c>
      <c r="F538" s="4">
        <f t="shared" si="15"/>
        <v>16390.4545</v>
      </c>
      <c r="G538" s="4">
        <f t="shared" si="16"/>
        <v>102656.00450000001</v>
      </c>
      <c r="H538" s="1">
        <f t="shared" si="13"/>
        <v>11</v>
      </c>
      <c r="I538" s="1">
        <f t="shared" si="14"/>
        <v>2023</v>
      </c>
      <c r="J538" s="4"/>
      <c r="K538" s="1" t="s">
        <v>87</v>
      </c>
    </row>
    <row r="539" spans="1:12">
      <c r="A539" s="1" t="s">
        <v>236</v>
      </c>
      <c r="B539" s="3">
        <v>45220</v>
      </c>
      <c r="C539" s="1" t="s">
        <v>12</v>
      </c>
      <c r="D539" s="1">
        <v>34434</v>
      </c>
      <c r="E539" s="4">
        <v>3277.31</v>
      </c>
      <c r="F539" s="4">
        <f t="shared" si="15"/>
        <v>622.68889999999999</v>
      </c>
      <c r="G539" s="4">
        <f t="shared" si="16"/>
        <v>3899.9989</v>
      </c>
      <c r="H539" s="1">
        <f t="shared" si="13"/>
        <v>10</v>
      </c>
      <c r="I539" s="1">
        <f t="shared" si="14"/>
        <v>2023</v>
      </c>
      <c r="J539" s="4"/>
      <c r="K539" s="1" t="s">
        <v>87</v>
      </c>
    </row>
    <row r="540" spans="1:12">
      <c r="A540" s="1" t="s">
        <v>236</v>
      </c>
      <c r="B540" s="3">
        <v>45223</v>
      </c>
      <c r="C540" s="1" t="s">
        <v>12</v>
      </c>
      <c r="D540" s="1">
        <v>34481</v>
      </c>
      <c r="E540" s="4">
        <v>5798.32</v>
      </c>
      <c r="F540" s="4">
        <f t="shared" si="15"/>
        <v>1101.6807999999999</v>
      </c>
      <c r="G540" s="4">
        <f t="shared" si="16"/>
        <v>6900.0007999999998</v>
      </c>
      <c r="H540" s="1">
        <f t="shared" si="13"/>
        <v>10</v>
      </c>
      <c r="I540" s="1">
        <f t="shared" si="14"/>
        <v>2023</v>
      </c>
      <c r="J540" s="4"/>
      <c r="K540" s="1" t="s">
        <v>87</v>
      </c>
    </row>
    <row r="541" spans="1:12">
      <c r="A541" s="1" t="s">
        <v>350</v>
      </c>
      <c r="B541" s="3">
        <v>45225</v>
      </c>
      <c r="C541" s="1" t="s">
        <v>12</v>
      </c>
      <c r="D541" s="1">
        <v>85534</v>
      </c>
      <c r="E541" s="4"/>
      <c r="F541" s="4">
        <f t="shared" si="15"/>
        <v>0</v>
      </c>
      <c r="G541" s="4">
        <f t="shared" si="16"/>
        <v>0</v>
      </c>
      <c r="H541" s="1">
        <f t="shared" si="13"/>
        <v>10</v>
      </c>
      <c r="I541" s="1">
        <f t="shared" si="14"/>
        <v>2023</v>
      </c>
      <c r="J541" s="4"/>
      <c r="K541" s="1" t="s">
        <v>87</v>
      </c>
      <c r="L541" s="1" t="s">
        <v>354</v>
      </c>
    </row>
    <row r="542" spans="1:12">
      <c r="A542" s="1" t="s">
        <v>166</v>
      </c>
      <c r="B542" s="7">
        <v>45236</v>
      </c>
      <c r="C542" s="1" t="s">
        <v>12</v>
      </c>
      <c r="D542" s="1">
        <v>60982</v>
      </c>
      <c r="E542" s="4">
        <v>12222.689</v>
      </c>
      <c r="F542" s="4">
        <f t="shared" si="15"/>
        <v>2322.3109100000001</v>
      </c>
      <c r="G542" s="4">
        <f t="shared" si="16"/>
        <v>14544.99991</v>
      </c>
      <c r="H542" s="1">
        <f t="shared" si="13"/>
        <v>11</v>
      </c>
      <c r="I542" s="1">
        <f t="shared" si="14"/>
        <v>2023</v>
      </c>
      <c r="J542" s="4"/>
      <c r="K542" s="1" t="s">
        <v>87</v>
      </c>
    </row>
    <row r="543" spans="1:12">
      <c r="A543" s="1" t="s">
        <v>350</v>
      </c>
      <c r="B543" s="3">
        <v>45229</v>
      </c>
      <c r="C543" s="1" t="s">
        <v>12</v>
      </c>
      <c r="D543" s="1">
        <v>85541</v>
      </c>
      <c r="E543" s="4">
        <v>15630.25</v>
      </c>
      <c r="F543" s="4">
        <f t="shared" si="15"/>
        <v>2969.7474999999999</v>
      </c>
      <c r="G543" s="4">
        <f t="shared" si="16"/>
        <v>18599.997500000001</v>
      </c>
      <c r="H543" s="1">
        <f t="shared" si="13"/>
        <v>10</v>
      </c>
      <c r="I543" s="1">
        <f t="shared" si="14"/>
        <v>2023</v>
      </c>
      <c r="J543" s="4"/>
      <c r="K543" s="1" t="s">
        <v>87</v>
      </c>
    </row>
    <row r="544" spans="1:12">
      <c r="A544" s="1" t="s">
        <v>355</v>
      </c>
      <c r="B544" s="7">
        <v>45233</v>
      </c>
      <c r="C544" s="1" t="s">
        <v>12</v>
      </c>
      <c r="D544" s="1">
        <v>12093</v>
      </c>
      <c r="E544" s="4">
        <v>53773.11</v>
      </c>
      <c r="F544" s="4">
        <f t="shared" si="15"/>
        <v>10216.8909</v>
      </c>
      <c r="G544" s="4">
        <f t="shared" si="16"/>
        <v>63990.000899999999</v>
      </c>
      <c r="H544" s="1">
        <f t="shared" si="13"/>
        <v>11</v>
      </c>
      <c r="I544" s="1">
        <f t="shared" si="14"/>
        <v>2023</v>
      </c>
      <c r="J544" s="4"/>
      <c r="K544" s="1" t="s">
        <v>87</v>
      </c>
    </row>
    <row r="545" spans="1:11">
      <c r="A545" s="1" t="s">
        <v>203</v>
      </c>
      <c r="B545" s="7">
        <v>45237</v>
      </c>
      <c r="C545" s="1" t="s">
        <v>12</v>
      </c>
      <c r="D545" s="1">
        <v>38087779</v>
      </c>
      <c r="E545" s="4">
        <v>24252.1</v>
      </c>
      <c r="F545" s="4">
        <f t="shared" si="15"/>
        <v>4607.8989999999994</v>
      </c>
      <c r="G545" s="4">
        <f t="shared" si="16"/>
        <v>28859.998999999996</v>
      </c>
      <c r="H545" s="1">
        <f t="shared" si="13"/>
        <v>11</v>
      </c>
      <c r="I545" s="1">
        <f t="shared" si="14"/>
        <v>2023</v>
      </c>
      <c r="J545" s="4"/>
      <c r="K545" s="1" t="s">
        <v>87</v>
      </c>
    </row>
    <row r="546" spans="1:11">
      <c r="A546" s="1" t="s">
        <v>103</v>
      </c>
      <c r="B546" s="7">
        <v>45238</v>
      </c>
      <c r="C546" s="1" t="s">
        <v>12</v>
      </c>
      <c r="D546" s="1">
        <v>306311</v>
      </c>
      <c r="E546" s="4">
        <v>92389.92</v>
      </c>
      <c r="F546" s="4">
        <f t="shared" si="15"/>
        <v>17554.084800000001</v>
      </c>
      <c r="G546" s="4">
        <f t="shared" si="16"/>
        <v>109944.0048</v>
      </c>
      <c r="H546" s="1">
        <f t="shared" si="13"/>
        <v>11</v>
      </c>
      <c r="I546" s="1">
        <f t="shared" si="14"/>
        <v>2023</v>
      </c>
      <c r="J546" s="4"/>
      <c r="K546" s="1" t="s">
        <v>87</v>
      </c>
    </row>
    <row r="547" spans="1:11">
      <c r="A547" s="1" t="s">
        <v>202</v>
      </c>
      <c r="B547" s="7">
        <v>45238</v>
      </c>
      <c r="C547" s="1" t="s">
        <v>12</v>
      </c>
      <c r="D547" s="1">
        <v>1477115</v>
      </c>
      <c r="E547" s="4">
        <v>2346.2199999999998</v>
      </c>
      <c r="F547" s="4">
        <f t="shared" si="15"/>
        <v>445.78179999999998</v>
      </c>
      <c r="G547" s="4">
        <f t="shared" si="16"/>
        <v>2792.0018</v>
      </c>
      <c r="H547" s="1">
        <f t="shared" si="13"/>
        <v>11</v>
      </c>
      <c r="I547" s="1">
        <f t="shared" si="14"/>
        <v>2023</v>
      </c>
      <c r="J547" s="4"/>
      <c r="K547" s="1" t="s">
        <v>87</v>
      </c>
    </row>
    <row r="548" spans="1:11">
      <c r="A548" s="1" t="s">
        <v>28</v>
      </c>
      <c r="B548" s="7">
        <v>45239</v>
      </c>
      <c r="C548" s="1" t="s">
        <v>12</v>
      </c>
      <c r="D548" s="1">
        <v>817657</v>
      </c>
      <c r="E548" s="4">
        <v>6495.79</v>
      </c>
      <c r="F548" s="4">
        <f t="shared" si="15"/>
        <v>1234.2001</v>
      </c>
      <c r="G548" s="4">
        <f t="shared" si="16"/>
        <v>7729.9901</v>
      </c>
      <c r="H548" s="1">
        <f t="shared" si="13"/>
        <v>11</v>
      </c>
      <c r="I548" s="1">
        <f t="shared" si="14"/>
        <v>2023</v>
      </c>
      <c r="J548" s="4"/>
      <c r="K548" s="1" t="s">
        <v>87</v>
      </c>
    </row>
    <row r="549" spans="1:11">
      <c r="A549" s="1" t="s">
        <v>353</v>
      </c>
      <c r="B549" s="3">
        <v>45240</v>
      </c>
      <c r="C549" s="1" t="s">
        <v>12</v>
      </c>
      <c r="D549" s="1">
        <v>33851</v>
      </c>
      <c r="E549" s="4">
        <v>56363.87</v>
      </c>
      <c r="F549" s="4">
        <f t="shared" si="15"/>
        <v>10709.1353</v>
      </c>
      <c r="G549" s="4">
        <f t="shared" si="16"/>
        <v>67073.005300000004</v>
      </c>
      <c r="H549" s="1">
        <f t="shared" si="13"/>
        <v>11</v>
      </c>
      <c r="I549" s="1">
        <f t="shared" si="14"/>
        <v>2023</v>
      </c>
      <c r="J549" s="4"/>
      <c r="K549" s="1" t="s">
        <v>87</v>
      </c>
    </row>
    <row r="550" spans="1:11">
      <c r="A550" s="1" t="s">
        <v>236</v>
      </c>
      <c r="B550" s="3">
        <v>45240</v>
      </c>
      <c r="C550" s="1" t="s">
        <v>12</v>
      </c>
      <c r="D550" s="1">
        <v>34837</v>
      </c>
      <c r="E550" s="4">
        <v>21764.71</v>
      </c>
      <c r="F550" s="4">
        <f t="shared" si="15"/>
        <v>4135.2948999999999</v>
      </c>
      <c r="G550" s="4">
        <f t="shared" si="16"/>
        <v>25900.0049</v>
      </c>
      <c r="H550" s="1">
        <f t="shared" si="13"/>
        <v>11</v>
      </c>
      <c r="I550" s="1">
        <f t="shared" si="14"/>
        <v>2023</v>
      </c>
      <c r="J550" s="4"/>
      <c r="K550" s="1" t="s">
        <v>87</v>
      </c>
    </row>
    <row r="551" spans="1:11">
      <c r="A551" s="1" t="s">
        <v>236</v>
      </c>
      <c r="B551" s="3">
        <v>45241</v>
      </c>
      <c r="C551" s="1" t="s">
        <v>12</v>
      </c>
      <c r="D551" s="1">
        <v>34852</v>
      </c>
      <c r="E551" s="4">
        <v>21764.71</v>
      </c>
      <c r="F551" s="4">
        <f t="shared" si="15"/>
        <v>4135.2948999999999</v>
      </c>
      <c r="G551" s="4">
        <f t="shared" si="16"/>
        <v>25900.0049</v>
      </c>
      <c r="H551" s="1">
        <f t="shared" si="13"/>
        <v>11</v>
      </c>
      <c r="I551" s="1">
        <f t="shared" si="14"/>
        <v>2023</v>
      </c>
      <c r="J551" s="4"/>
      <c r="K551" s="1" t="s">
        <v>87</v>
      </c>
    </row>
    <row r="552" spans="1:11">
      <c r="A552" s="1" t="s">
        <v>14</v>
      </c>
      <c r="B552" s="3">
        <v>45244</v>
      </c>
      <c r="C552" s="1" t="s">
        <v>12</v>
      </c>
      <c r="D552" s="1">
        <v>45172</v>
      </c>
      <c r="E552" s="4">
        <v>205500</v>
      </c>
      <c r="F552" s="4">
        <f t="shared" si="15"/>
        <v>39045</v>
      </c>
      <c r="G552" s="4">
        <f t="shared" si="16"/>
        <v>244545</v>
      </c>
      <c r="H552" s="1">
        <f t="shared" si="13"/>
        <v>11</v>
      </c>
      <c r="I552" s="1">
        <f t="shared" si="14"/>
        <v>2023</v>
      </c>
      <c r="J552" s="4"/>
      <c r="K552" s="1" t="s">
        <v>87</v>
      </c>
    </row>
    <row r="553" spans="1:11">
      <c r="A553" s="1" t="s">
        <v>356</v>
      </c>
      <c r="B553" s="3">
        <v>45246</v>
      </c>
      <c r="C553" s="1" t="s">
        <v>12</v>
      </c>
      <c r="D553" s="1">
        <v>956443</v>
      </c>
      <c r="E553" s="4">
        <v>66806.720000000001</v>
      </c>
      <c r="F553" s="4">
        <f t="shared" si="15"/>
        <v>12693.2768</v>
      </c>
      <c r="G553" s="4">
        <f t="shared" si="16"/>
        <v>79499.996799999994</v>
      </c>
      <c r="H553" s="1">
        <f t="shared" si="13"/>
        <v>11</v>
      </c>
      <c r="I553" s="1">
        <f t="shared" si="14"/>
        <v>2023</v>
      </c>
      <c r="J553" s="4"/>
      <c r="K553" s="1" t="s">
        <v>87</v>
      </c>
    </row>
    <row r="554" spans="1:11">
      <c r="A554" s="1" t="s">
        <v>28</v>
      </c>
      <c r="B554" s="3">
        <v>45251</v>
      </c>
      <c r="C554" s="1" t="s">
        <v>12</v>
      </c>
      <c r="D554" s="1">
        <v>811422</v>
      </c>
      <c r="E554" s="4">
        <v>3478.99</v>
      </c>
      <c r="F554" s="4">
        <f t="shared" si="15"/>
        <v>661.00810000000001</v>
      </c>
      <c r="G554" s="4">
        <f t="shared" si="16"/>
        <v>4139.9980999999998</v>
      </c>
      <c r="H554" s="1">
        <f t="shared" si="13"/>
        <v>11</v>
      </c>
      <c r="I554" s="1">
        <f t="shared" si="14"/>
        <v>2023</v>
      </c>
      <c r="J554" s="4"/>
      <c r="K554" s="1" t="s">
        <v>87</v>
      </c>
    </row>
    <row r="555" spans="1:11">
      <c r="A555" s="1" t="s">
        <v>357</v>
      </c>
      <c r="B555" s="3">
        <v>45251</v>
      </c>
      <c r="C555" s="1" t="s">
        <v>12</v>
      </c>
      <c r="D555" s="1">
        <v>157</v>
      </c>
      <c r="E555" s="4">
        <v>54621.85</v>
      </c>
      <c r="F555" s="4">
        <f t="shared" si="15"/>
        <v>10378.1515</v>
      </c>
      <c r="G555" s="4">
        <f t="shared" si="16"/>
        <v>65000.001499999998</v>
      </c>
      <c r="H555" s="1">
        <f t="shared" si="13"/>
        <v>11</v>
      </c>
      <c r="I555" s="1">
        <f t="shared" si="14"/>
        <v>2023</v>
      </c>
      <c r="J555" s="4"/>
      <c r="K555" s="1" t="s">
        <v>87</v>
      </c>
    </row>
    <row r="556" spans="1:11">
      <c r="A556" s="1" t="s">
        <v>236</v>
      </c>
      <c r="B556" s="3">
        <v>45253</v>
      </c>
      <c r="C556" s="1" t="s">
        <v>12</v>
      </c>
      <c r="D556" s="1">
        <v>35164</v>
      </c>
      <c r="E556" s="4">
        <v>13782.35</v>
      </c>
      <c r="F556" s="4">
        <f t="shared" si="15"/>
        <v>2618.6465000000003</v>
      </c>
      <c r="G556" s="4">
        <f t="shared" si="16"/>
        <v>16400.996500000001</v>
      </c>
      <c r="H556" s="1">
        <f t="shared" si="13"/>
        <v>11</v>
      </c>
      <c r="I556" s="1">
        <f t="shared" si="14"/>
        <v>2023</v>
      </c>
      <c r="J556" s="4"/>
      <c r="K556" s="1" t="s">
        <v>87</v>
      </c>
    </row>
    <row r="557" spans="1:11">
      <c r="A557" s="1" t="s">
        <v>353</v>
      </c>
      <c r="B557" s="3">
        <v>45253</v>
      </c>
      <c r="C557" s="1" t="s">
        <v>12</v>
      </c>
      <c r="D557" s="1">
        <v>34367</v>
      </c>
      <c r="E557" s="4">
        <v>49232.77</v>
      </c>
      <c r="F557" s="4">
        <f t="shared" si="15"/>
        <v>9354.2263000000003</v>
      </c>
      <c r="G557" s="4">
        <f t="shared" si="16"/>
        <v>58586.996299999999</v>
      </c>
      <c r="H557" s="1">
        <f t="shared" si="13"/>
        <v>11</v>
      </c>
      <c r="I557" s="1">
        <f t="shared" si="14"/>
        <v>2023</v>
      </c>
      <c r="J557" s="4"/>
      <c r="K557" s="1" t="s">
        <v>87</v>
      </c>
    </row>
    <row r="558" spans="1:11">
      <c r="A558" s="1" t="s">
        <v>166</v>
      </c>
      <c r="B558" s="7">
        <v>45263</v>
      </c>
      <c r="C558" s="1" t="s">
        <v>12</v>
      </c>
      <c r="D558" s="1">
        <v>62775</v>
      </c>
      <c r="E558" s="4">
        <v>12287.39</v>
      </c>
      <c r="F558" s="4">
        <f t="shared" si="15"/>
        <v>2334.6041</v>
      </c>
      <c r="G558" s="4">
        <f t="shared" si="16"/>
        <v>14621.9941</v>
      </c>
      <c r="H558" s="1">
        <f t="shared" si="13"/>
        <v>12</v>
      </c>
      <c r="I558" s="1">
        <f t="shared" si="14"/>
        <v>2023</v>
      </c>
      <c r="J558" s="4"/>
      <c r="K558" s="1" t="s">
        <v>87</v>
      </c>
    </row>
    <row r="559" spans="1:11">
      <c r="A559" s="1" t="s">
        <v>358</v>
      </c>
      <c r="B559" s="3">
        <v>45259</v>
      </c>
      <c r="C559" s="1" t="s">
        <v>12</v>
      </c>
      <c r="D559" s="1">
        <v>642725</v>
      </c>
      <c r="E559" s="4">
        <v>16789.919999999998</v>
      </c>
      <c r="F559" s="4">
        <f t="shared" si="15"/>
        <v>3190.0847999999996</v>
      </c>
      <c r="G559" s="4">
        <f t="shared" si="16"/>
        <v>19980.004799999999</v>
      </c>
      <c r="H559" s="1">
        <f t="shared" si="13"/>
        <v>11</v>
      </c>
      <c r="I559" s="1">
        <f t="shared" si="14"/>
        <v>2023</v>
      </c>
      <c r="J559" s="4"/>
      <c r="K559" s="1" t="s">
        <v>87</v>
      </c>
    </row>
    <row r="560" spans="1:11">
      <c r="A560" s="1" t="s">
        <v>236</v>
      </c>
      <c r="B560" s="3">
        <v>45260</v>
      </c>
      <c r="C560" s="1" t="s">
        <v>12</v>
      </c>
      <c r="D560" s="1">
        <v>35298</v>
      </c>
      <c r="E560" s="4">
        <v>3782.35</v>
      </c>
      <c r="F560" s="4">
        <f t="shared" si="15"/>
        <v>718.64649999999995</v>
      </c>
      <c r="G560" s="4">
        <f t="shared" si="16"/>
        <v>4500.9965000000002</v>
      </c>
      <c r="H560" s="1">
        <f t="shared" si="13"/>
        <v>11</v>
      </c>
      <c r="I560" s="1">
        <f t="shared" si="14"/>
        <v>2023</v>
      </c>
      <c r="J560" s="4"/>
      <c r="K560" s="1" t="s">
        <v>87</v>
      </c>
    </row>
    <row r="561" spans="1:11">
      <c r="A561" s="1" t="s">
        <v>353</v>
      </c>
      <c r="B561" s="7">
        <v>45261</v>
      </c>
      <c r="C561" s="1" t="s">
        <v>12</v>
      </c>
      <c r="D561" s="1">
        <v>34620</v>
      </c>
      <c r="E561" s="4">
        <v>127164.71</v>
      </c>
      <c r="F561" s="4">
        <f t="shared" si="15"/>
        <v>24161.294900000001</v>
      </c>
      <c r="G561" s="4">
        <f t="shared" si="16"/>
        <v>151326.0049</v>
      </c>
      <c r="H561" s="1">
        <f t="shared" si="13"/>
        <v>12</v>
      </c>
      <c r="I561" s="1">
        <f t="shared" si="14"/>
        <v>2023</v>
      </c>
      <c r="J561" s="4"/>
      <c r="K561" s="1" t="s">
        <v>87</v>
      </c>
    </row>
    <row r="562" spans="1:11">
      <c r="A562" s="1" t="s">
        <v>236</v>
      </c>
      <c r="B562" s="7">
        <v>45261</v>
      </c>
      <c r="C562" s="1" t="s">
        <v>12</v>
      </c>
      <c r="D562" s="1">
        <v>35331</v>
      </c>
      <c r="E562" s="4">
        <v>6638.66</v>
      </c>
      <c r="F562" s="4">
        <f t="shared" si="15"/>
        <v>1261.3453999999999</v>
      </c>
      <c r="G562" s="4">
        <f t="shared" si="16"/>
        <v>7900.0054</v>
      </c>
      <c r="H562" s="1">
        <f t="shared" si="13"/>
        <v>12</v>
      </c>
      <c r="I562" s="1">
        <f t="shared" si="14"/>
        <v>2023</v>
      </c>
      <c r="J562" s="4"/>
      <c r="K562" s="1" t="s">
        <v>87</v>
      </c>
    </row>
    <row r="563" spans="1:11">
      <c r="A563" s="1" t="s">
        <v>95</v>
      </c>
      <c r="B563" s="7">
        <v>45262</v>
      </c>
      <c r="C563" s="1" t="s">
        <v>12</v>
      </c>
      <c r="D563" s="1">
        <v>2644303</v>
      </c>
      <c r="E563" s="4">
        <v>6721.85</v>
      </c>
      <c r="F563" s="4">
        <f t="shared" si="15"/>
        <v>1277.1515000000002</v>
      </c>
      <c r="G563" s="4">
        <f t="shared" si="16"/>
        <v>7999.0015000000003</v>
      </c>
      <c r="H563" s="1">
        <f t="shared" si="13"/>
        <v>12</v>
      </c>
      <c r="I563" s="1">
        <f t="shared" si="14"/>
        <v>2023</v>
      </c>
      <c r="J563" s="4"/>
      <c r="K563" s="1" t="s">
        <v>87</v>
      </c>
    </row>
    <row r="564" spans="1:11">
      <c r="A564" s="1" t="s">
        <v>359</v>
      </c>
      <c r="B564" s="7">
        <v>45262</v>
      </c>
      <c r="C564" s="1" t="s">
        <v>12</v>
      </c>
      <c r="D564" s="1">
        <v>113</v>
      </c>
      <c r="E564" s="4">
        <v>33613.449999999997</v>
      </c>
      <c r="F564" s="4">
        <f t="shared" si="15"/>
        <v>6386.5554999999995</v>
      </c>
      <c r="G564" s="4">
        <f t="shared" si="16"/>
        <v>40000.005499999999</v>
      </c>
      <c r="H564" s="1">
        <f t="shared" si="13"/>
        <v>12</v>
      </c>
      <c r="I564" s="1">
        <f t="shared" si="14"/>
        <v>2023</v>
      </c>
      <c r="J564" s="4"/>
      <c r="K564" s="1" t="s">
        <v>87</v>
      </c>
    </row>
    <row r="565" spans="1:11">
      <c r="A565" s="1" t="s">
        <v>123</v>
      </c>
      <c r="B565" s="3">
        <v>45271</v>
      </c>
      <c r="C565" s="1" t="s">
        <v>12</v>
      </c>
      <c r="D565" s="1">
        <v>310440</v>
      </c>
      <c r="E565" s="4">
        <v>58940</v>
      </c>
      <c r="F565" s="4">
        <f t="shared" si="15"/>
        <v>11198.6</v>
      </c>
      <c r="G565" s="4">
        <f t="shared" si="16"/>
        <v>70138.600000000006</v>
      </c>
      <c r="H565" s="1">
        <f t="shared" si="13"/>
        <v>12</v>
      </c>
      <c r="I565" s="1">
        <f t="shared" si="14"/>
        <v>2023</v>
      </c>
      <c r="J565" s="4"/>
      <c r="K565" s="1" t="s">
        <v>87</v>
      </c>
    </row>
    <row r="566" spans="1:11">
      <c r="A566" s="1" t="s">
        <v>14</v>
      </c>
      <c r="B566" s="3">
        <v>45272</v>
      </c>
      <c r="C566" s="1" t="s">
        <v>12</v>
      </c>
      <c r="D566" s="1">
        <v>45747</v>
      </c>
      <c r="E566" s="4">
        <v>144000</v>
      </c>
      <c r="F566" s="4">
        <f t="shared" si="15"/>
        <v>27360</v>
      </c>
      <c r="G566" s="4">
        <f t="shared" si="16"/>
        <v>171360</v>
      </c>
      <c r="H566" s="1">
        <f t="shared" si="13"/>
        <v>12</v>
      </c>
      <c r="I566" s="1">
        <f t="shared" si="14"/>
        <v>2023</v>
      </c>
      <c r="J566" s="4"/>
      <c r="K566" s="1" t="s">
        <v>87</v>
      </c>
    </row>
    <row r="567" spans="1:11">
      <c r="A567" s="1" t="s">
        <v>28</v>
      </c>
      <c r="B567" s="3">
        <v>45272</v>
      </c>
      <c r="C567" s="1" t="s">
        <v>12</v>
      </c>
      <c r="D567" s="1">
        <v>829155</v>
      </c>
      <c r="E567" s="4">
        <v>5891</v>
      </c>
      <c r="F567" s="4">
        <f t="shared" si="15"/>
        <v>1119.29</v>
      </c>
      <c r="G567" s="4">
        <f t="shared" si="16"/>
        <v>7010.29</v>
      </c>
      <c r="H567" s="1">
        <f t="shared" si="13"/>
        <v>12</v>
      </c>
      <c r="I567" s="1">
        <f t="shared" si="14"/>
        <v>2023</v>
      </c>
      <c r="J567" s="4"/>
      <c r="K567" s="1" t="s">
        <v>87</v>
      </c>
    </row>
    <row r="568" spans="1:11">
      <c r="A568" s="1" t="s">
        <v>291</v>
      </c>
      <c r="B568" s="3">
        <v>45267</v>
      </c>
      <c r="C568" s="1" t="s">
        <v>12</v>
      </c>
      <c r="D568" s="1">
        <v>92579</v>
      </c>
      <c r="E568" s="4">
        <v>5882.35</v>
      </c>
      <c r="F568" s="4">
        <f t="shared" si="15"/>
        <v>1117.6465000000001</v>
      </c>
      <c r="G568" s="4">
        <f t="shared" si="16"/>
        <v>6999.9965000000002</v>
      </c>
      <c r="H568" s="1">
        <f t="shared" ref="H568:H822" si="17">MONTH(B568)</f>
        <v>12</v>
      </c>
      <c r="I568" s="1">
        <f t="shared" ref="I568:I822" si="18">YEAR(B568)</f>
        <v>2023</v>
      </c>
      <c r="J568" s="4"/>
      <c r="K568" s="1" t="s">
        <v>87</v>
      </c>
    </row>
    <row r="569" spans="1:11">
      <c r="A569" s="1" t="s">
        <v>203</v>
      </c>
      <c r="B569" s="3">
        <v>45266</v>
      </c>
      <c r="C569" s="1" t="s">
        <v>12</v>
      </c>
      <c r="D569" s="1">
        <v>38459286</v>
      </c>
      <c r="E569" s="4">
        <v>24379.83</v>
      </c>
      <c r="F569" s="4">
        <f t="shared" si="15"/>
        <v>4632.1677</v>
      </c>
      <c r="G569" s="4">
        <f t="shared" si="16"/>
        <v>29011.9977</v>
      </c>
      <c r="H569" s="1">
        <f t="shared" si="17"/>
        <v>12</v>
      </c>
      <c r="I569" s="1">
        <f t="shared" si="18"/>
        <v>2023</v>
      </c>
      <c r="J569" s="4"/>
      <c r="K569" s="1" t="s">
        <v>87</v>
      </c>
    </row>
    <row r="570" spans="1:11">
      <c r="A570" s="1" t="s">
        <v>236</v>
      </c>
      <c r="B570" s="3">
        <v>45266</v>
      </c>
      <c r="C570" s="1" t="s">
        <v>12</v>
      </c>
      <c r="D570" s="1">
        <v>35419</v>
      </c>
      <c r="E570" s="4">
        <v>13361.34</v>
      </c>
      <c r="F570" s="4">
        <f t="shared" si="15"/>
        <v>2538.6545999999998</v>
      </c>
      <c r="G570" s="4">
        <f t="shared" si="16"/>
        <v>15899.9946</v>
      </c>
      <c r="H570" s="1">
        <f t="shared" si="17"/>
        <v>12</v>
      </c>
      <c r="I570" s="1">
        <f t="shared" si="18"/>
        <v>2023</v>
      </c>
      <c r="J570" s="4"/>
      <c r="K570" s="1" t="s">
        <v>87</v>
      </c>
    </row>
    <row r="571" spans="1:11">
      <c r="A571" s="1" t="s">
        <v>360</v>
      </c>
      <c r="B571" s="3">
        <v>45266</v>
      </c>
      <c r="C571" s="1" t="s">
        <v>12</v>
      </c>
      <c r="D571" s="1">
        <v>71183</v>
      </c>
      <c r="E571" s="4">
        <v>18325</v>
      </c>
      <c r="F571" s="4">
        <f t="shared" si="15"/>
        <v>3481.75</v>
      </c>
      <c r="G571" s="4">
        <f t="shared" si="16"/>
        <v>21806.75</v>
      </c>
      <c r="H571" s="1">
        <f t="shared" si="17"/>
        <v>12</v>
      </c>
      <c r="I571" s="1">
        <f t="shared" si="18"/>
        <v>2023</v>
      </c>
      <c r="J571" s="4"/>
      <c r="K571" s="1" t="s">
        <v>87</v>
      </c>
    </row>
    <row r="572" spans="1:11">
      <c r="A572" s="1" t="s">
        <v>236</v>
      </c>
      <c r="B572" s="3">
        <v>45241</v>
      </c>
      <c r="C572" s="1" t="s">
        <v>12</v>
      </c>
      <c r="D572" s="1">
        <v>35528</v>
      </c>
      <c r="E572" s="4">
        <v>6303.36</v>
      </c>
      <c r="F572" s="4">
        <f t="shared" si="15"/>
        <v>1197.6384</v>
      </c>
      <c r="G572" s="4">
        <f t="shared" si="16"/>
        <v>7500.9983999999995</v>
      </c>
      <c r="H572" s="1">
        <f t="shared" si="17"/>
        <v>11</v>
      </c>
      <c r="I572" s="1">
        <f t="shared" si="18"/>
        <v>2023</v>
      </c>
      <c r="J572" s="4"/>
      <c r="K572" s="1" t="s">
        <v>87</v>
      </c>
    </row>
    <row r="573" spans="1:11">
      <c r="A573" s="1" t="s">
        <v>320</v>
      </c>
      <c r="B573" s="3">
        <v>45272</v>
      </c>
      <c r="C573" s="1" t="s">
        <v>12</v>
      </c>
      <c r="D573" s="1">
        <v>494525</v>
      </c>
      <c r="E573" s="4">
        <v>382354.62</v>
      </c>
      <c r="F573" s="4">
        <f t="shared" si="15"/>
        <v>72647.377800000002</v>
      </c>
      <c r="G573" s="4">
        <f t="shared" si="16"/>
        <v>455001.99780000001</v>
      </c>
      <c r="H573" s="1">
        <f t="shared" si="17"/>
        <v>12</v>
      </c>
      <c r="I573" s="1">
        <f t="shared" si="18"/>
        <v>2023</v>
      </c>
      <c r="J573" s="4"/>
      <c r="K573" s="1" t="s">
        <v>87</v>
      </c>
    </row>
    <row r="574" spans="1:11">
      <c r="A574" s="1" t="s">
        <v>291</v>
      </c>
      <c r="B574" s="3">
        <v>45273</v>
      </c>
      <c r="C574" s="1" t="s">
        <v>12</v>
      </c>
      <c r="D574" s="1">
        <v>7088</v>
      </c>
      <c r="E574" s="4">
        <v>5546.22</v>
      </c>
      <c r="F574" s="4">
        <f t="shared" si="15"/>
        <v>1053.7818</v>
      </c>
      <c r="G574" s="4">
        <f t="shared" si="16"/>
        <v>6600.0018</v>
      </c>
      <c r="H574" s="1">
        <f t="shared" si="17"/>
        <v>12</v>
      </c>
      <c r="I574" s="1">
        <f t="shared" si="18"/>
        <v>2023</v>
      </c>
      <c r="J574" s="4"/>
      <c r="K574" s="1" t="s">
        <v>87</v>
      </c>
    </row>
    <row r="575" spans="1:11">
      <c r="A575" s="1" t="s">
        <v>361</v>
      </c>
      <c r="B575" s="3">
        <v>45274</v>
      </c>
      <c r="C575" s="1" t="s">
        <v>12</v>
      </c>
      <c r="D575" s="1">
        <v>1377</v>
      </c>
      <c r="E575" s="4">
        <v>19217.650000000001</v>
      </c>
      <c r="F575" s="4">
        <f t="shared" si="15"/>
        <v>3651.3535000000002</v>
      </c>
      <c r="G575" s="4">
        <f t="shared" si="16"/>
        <v>22869.003500000003</v>
      </c>
      <c r="H575" s="1">
        <f t="shared" si="17"/>
        <v>12</v>
      </c>
      <c r="I575" s="1">
        <f t="shared" si="18"/>
        <v>2023</v>
      </c>
      <c r="J575" s="4"/>
      <c r="K575" s="1" t="s">
        <v>87</v>
      </c>
    </row>
    <row r="576" spans="1:11">
      <c r="A576" s="1" t="s">
        <v>236</v>
      </c>
      <c r="B576" s="3">
        <v>45274</v>
      </c>
      <c r="C576" s="1" t="s">
        <v>12</v>
      </c>
      <c r="D576" s="1">
        <v>35622</v>
      </c>
      <c r="E576" s="4">
        <v>7394.96</v>
      </c>
      <c r="F576" s="4">
        <f t="shared" si="15"/>
        <v>1405.0424</v>
      </c>
      <c r="G576" s="4">
        <f t="shared" si="16"/>
        <v>8800.0023999999994</v>
      </c>
      <c r="H576" s="1">
        <f t="shared" si="17"/>
        <v>12</v>
      </c>
      <c r="I576" s="1">
        <f t="shared" si="18"/>
        <v>2023</v>
      </c>
      <c r="J576" s="4"/>
      <c r="K576" s="1" t="s">
        <v>87</v>
      </c>
    </row>
    <row r="577" spans="1:11">
      <c r="A577" s="1" t="s">
        <v>236</v>
      </c>
      <c r="B577" s="3">
        <v>45274</v>
      </c>
      <c r="C577" s="1" t="s">
        <v>12</v>
      </c>
      <c r="D577" s="1">
        <v>35634</v>
      </c>
      <c r="E577" s="4">
        <v>3277.31</v>
      </c>
      <c r="F577" s="4">
        <f t="shared" si="15"/>
        <v>622.68889999999999</v>
      </c>
      <c r="G577" s="4">
        <f t="shared" si="16"/>
        <v>3899.9989</v>
      </c>
      <c r="H577" s="1">
        <f t="shared" si="17"/>
        <v>12</v>
      </c>
      <c r="I577" s="1">
        <f t="shared" si="18"/>
        <v>2023</v>
      </c>
      <c r="J577" s="4"/>
      <c r="K577" s="1" t="s">
        <v>87</v>
      </c>
    </row>
    <row r="578" spans="1:11">
      <c r="A578" s="1" t="s">
        <v>236</v>
      </c>
      <c r="B578" s="3">
        <v>45275</v>
      </c>
      <c r="C578" s="1" t="s">
        <v>12</v>
      </c>
      <c r="D578" s="1">
        <v>35652</v>
      </c>
      <c r="E578" s="4">
        <v>45042</v>
      </c>
      <c r="F578" s="4">
        <f t="shared" si="15"/>
        <v>8557.98</v>
      </c>
      <c r="G578" s="4">
        <f t="shared" si="16"/>
        <v>53599.979999999996</v>
      </c>
      <c r="H578" s="1">
        <f t="shared" si="17"/>
        <v>12</v>
      </c>
      <c r="I578" s="1">
        <f t="shared" si="18"/>
        <v>2023</v>
      </c>
      <c r="J578" s="4"/>
      <c r="K578" s="1" t="s">
        <v>87</v>
      </c>
    </row>
    <row r="579" spans="1:11">
      <c r="A579" s="1" t="s">
        <v>166</v>
      </c>
      <c r="B579" s="7">
        <v>45293</v>
      </c>
      <c r="C579" s="1" t="s">
        <v>12</v>
      </c>
      <c r="D579" s="1">
        <v>64531</v>
      </c>
      <c r="E579" s="4">
        <v>12357.98</v>
      </c>
      <c r="F579" s="4">
        <f t="shared" si="15"/>
        <v>2348.0162</v>
      </c>
      <c r="G579" s="4">
        <f t="shared" si="16"/>
        <v>14705.9962</v>
      </c>
      <c r="H579" s="1">
        <f t="shared" si="17"/>
        <v>1</v>
      </c>
      <c r="I579" s="1">
        <f t="shared" si="18"/>
        <v>2024</v>
      </c>
      <c r="J579" s="4"/>
      <c r="K579" s="1" t="s">
        <v>87</v>
      </c>
    </row>
    <row r="580" spans="1:11">
      <c r="A580" s="1" t="s">
        <v>236</v>
      </c>
      <c r="B580" s="3">
        <v>45289</v>
      </c>
      <c r="C580" s="1" t="s">
        <v>12</v>
      </c>
      <c r="D580" s="1">
        <v>35972</v>
      </c>
      <c r="E580" s="4">
        <v>3277.31</v>
      </c>
      <c r="F580" s="4">
        <f t="shared" si="15"/>
        <v>622.68889999999999</v>
      </c>
      <c r="G580" s="4">
        <f t="shared" si="16"/>
        <v>3899.9989</v>
      </c>
      <c r="H580" s="1">
        <f t="shared" si="17"/>
        <v>12</v>
      </c>
      <c r="I580" s="1">
        <f t="shared" si="18"/>
        <v>2023</v>
      </c>
      <c r="J580" s="4"/>
      <c r="K580" s="1" t="s">
        <v>87</v>
      </c>
    </row>
    <row r="581" spans="1:11">
      <c r="A581" s="1" t="s">
        <v>350</v>
      </c>
      <c r="B581" s="3">
        <v>45290</v>
      </c>
      <c r="C581" s="1" t="s">
        <v>12</v>
      </c>
      <c r="D581" s="1">
        <v>87672</v>
      </c>
      <c r="E581" s="4">
        <v>7983.19</v>
      </c>
      <c r="F581" s="4">
        <f t="shared" si="15"/>
        <v>1516.8061</v>
      </c>
      <c r="G581" s="4">
        <f t="shared" si="16"/>
        <v>9499.9961000000003</v>
      </c>
      <c r="H581" s="1">
        <f t="shared" si="17"/>
        <v>12</v>
      </c>
      <c r="I581" s="1">
        <f t="shared" si="18"/>
        <v>2023</v>
      </c>
      <c r="J581" s="4"/>
      <c r="K581" s="1" t="s">
        <v>87</v>
      </c>
    </row>
    <row r="582" spans="1:11">
      <c r="A582" s="1" t="s">
        <v>362</v>
      </c>
      <c r="B582" s="7">
        <v>45295</v>
      </c>
      <c r="C582" s="1" t="s">
        <v>12</v>
      </c>
      <c r="D582" s="1">
        <v>36107</v>
      </c>
      <c r="E582" s="4">
        <v>41932.769999999997</v>
      </c>
      <c r="F582" s="4">
        <f t="shared" si="15"/>
        <v>7967.2262999999994</v>
      </c>
      <c r="G582" s="4">
        <f t="shared" si="16"/>
        <v>49899.996299999999</v>
      </c>
      <c r="H582" s="1">
        <f t="shared" si="17"/>
        <v>1</v>
      </c>
      <c r="I582" s="1">
        <f t="shared" si="18"/>
        <v>2024</v>
      </c>
      <c r="J582" s="4"/>
      <c r="K582" s="1" t="s">
        <v>87</v>
      </c>
    </row>
    <row r="583" spans="1:11">
      <c r="A583" s="1" t="s">
        <v>203</v>
      </c>
      <c r="B583" s="7">
        <v>45296</v>
      </c>
      <c r="C583" s="1" t="s">
        <v>12</v>
      </c>
      <c r="D583" s="1">
        <v>38711580</v>
      </c>
      <c r="E583" s="4">
        <v>24498.32</v>
      </c>
      <c r="F583" s="4">
        <f t="shared" si="15"/>
        <v>4654.6808000000001</v>
      </c>
      <c r="G583" s="4">
        <f t="shared" si="16"/>
        <v>29153.000800000002</v>
      </c>
      <c r="H583" s="1">
        <f t="shared" si="17"/>
        <v>1</v>
      </c>
      <c r="I583" s="1">
        <f t="shared" si="18"/>
        <v>2024</v>
      </c>
      <c r="J583" s="4"/>
      <c r="K583" s="1" t="s">
        <v>87</v>
      </c>
    </row>
    <row r="584" spans="1:11">
      <c r="A584" s="1" t="s">
        <v>236</v>
      </c>
      <c r="B584" s="7">
        <v>45296</v>
      </c>
      <c r="C584" s="1" t="s">
        <v>12</v>
      </c>
      <c r="D584" s="1">
        <v>36119</v>
      </c>
      <c r="E584" s="4">
        <v>8822.6890000000003</v>
      </c>
      <c r="F584" s="4">
        <f t="shared" si="15"/>
        <v>1676.3109100000001</v>
      </c>
      <c r="G584" s="4">
        <f t="shared" si="16"/>
        <v>10498.99991</v>
      </c>
      <c r="H584" s="1">
        <f t="shared" si="17"/>
        <v>1</v>
      </c>
      <c r="I584" s="1">
        <f t="shared" si="18"/>
        <v>2024</v>
      </c>
      <c r="J584" s="4"/>
      <c r="K584" s="1" t="s">
        <v>87</v>
      </c>
    </row>
    <row r="585" spans="1:11">
      <c r="A585" s="1" t="s">
        <v>320</v>
      </c>
      <c r="B585" s="7">
        <v>45296</v>
      </c>
      <c r="C585" s="1" t="s">
        <v>12</v>
      </c>
      <c r="D585" s="1">
        <v>497813</v>
      </c>
      <c r="E585" s="4">
        <v>200801.68</v>
      </c>
      <c r="F585" s="4">
        <f t="shared" si="15"/>
        <v>38152.319199999998</v>
      </c>
      <c r="G585" s="4">
        <f t="shared" si="16"/>
        <v>238953.99919999999</v>
      </c>
      <c r="H585" s="1">
        <f t="shared" si="17"/>
        <v>1</v>
      </c>
      <c r="I585" s="1">
        <f t="shared" si="18"/>
        <v>2024</v>
      </c>
      <c r="J585" s="4"/>
      <c r="K585" s="1" t="s">
        <v>87</v>
      </c>
    </row>
    <row r="586" spans="1:11">
      <c r="A586" s="1" t="s">
        <v>236</v>
      </c>
      <c r="B586" s="7">
        <v>45297</v>
      </c>
      <c r="C586" s="1" t="s">
        <v>12</v>
      </c>
      <c r="D586" s="1">
        <v>36157</v>
      </c>
      <c r="E586" s="4">
        <v>21764.71</v>
      </c>
      <c r="F586" s="4">
        <f t="shared" si="15"/>
        <v>4135.2948999999999</v>
      </c>
      <c r="G586" s="4">
        <f t="shared" si="16"/>
        <v>25900.0049</v>
      </c>
      <c r="H586" s="1">
        <f t="shared" si="17"/>
        <v>1</v>
      </c>
      <c r="I586" s="1">
        <f t="shared" si="18"/>
        <v>2024</v>
      </c>
      <c r="J586" s="4"/>
      <c r="K586" s="1" t="s">
        <v>87</v>
      </c>
    </row>
    <row r="587" spans="1:11">
      <c r="A587" s="1" t="s">
        <v>236</v>
      </c>
      <c r="B587" s="7">
        <v>45299</v>
      </c>
      <c r="C587" s="1" t="s">
        <v>12</v>
      </c>
      <c r="D587" s="1">
        <v>36196</v>
      </c>
      <c r="E587" s="4">
        <v>9074.7900000000009</v>
      </c>
      <c r="F587" s="4">
        <f t="shared" si="15"/>
        <v>1724.2101000000002</v>
      </c>
      <c r="G587" s="4">
        <f t="shared" si="16"/>
        <v>10799.000100000001</v>
      </c>
      <c r="H587" s="1">
        <f t="shared" si="17"/>
        <v>1</v>
      </c>
      <c r="I587" s="1">
        <f t="shared" si="18"/>
        <v>2024</v>
      </c>
      <c r="J587" s="4"/>
      <c r="K587" s="1" t="s">
        <v>87</v>
      </c>
    </row>
    <row r="588" spans="1:11">
      <c r="A588" s="1" t="s">
        <v>363</v>
      </c>
      <c r="B588" s="7">
        <v>45299</v>
      </c>
      <c r="C588" s="1"/>
      <c r="E588" s="4">
        <v>2941.18</v>
      </c>
      <c r="F588" s="4">
        <f t="shared" si="15"/>
        <v>558.82420000000002</v>
      </c>
      <c r="G588" s="4">
        <f t="shared" si="16"/>
        <v>3500.0041999999999</v>
      </c>
      <c r="H588" s="1">
        <f t="shared" si="17"/>
        <v>1</v>
      </c>
      <c r="I588" s="1">
        <f t="shared" si="18"/>
        <v>2024</v>
      </c>
      <c r="J588" s="4"/>
      <c r="K588" s="1" t="s">
        <v>87</v>
      </c>
    </row>
    <row r="589" spans="1:11">
      <c r="A589" s="1" t="s">
        <v>103</v>
      </c>
      <c r="B589" s="7">
        <v>45302</v>
      </c>
      <c r="C589" s="1" t="s">
        <v>12</v>
      </c>
      <c r="D589" s="1">
        <v>314526</v>
      </c>
      <c r="E589" s="4">
        <v>83740.34</v>
      </c>
      <c r="F589" s="4">
        <f t="shared" si="15"/>
        <v>15910.6646</v>
      </c>
      <c r="G589" s="4">
        <f t="shared" si="16"/>
        <v>99651.0046</v>
      </c>
      <c r="H589" s="1">
        <f t="shared" si="17"/>
        <v>1</v>
      </c>
      <c r="I589" s="1">
        <f t="shared" si="18"/>
        <v>2024</v>
      </c>
      <c r="J589" s="4"/>
      <c r="K589" s="1" t="s">
        <v>87</v>
      </c>
    </row>
    <row r="590" spans="1:11">
      <c r="A590" s="1" t="s">
        <v>202</v>
      </c>
      <c r="B590" s="7">
        <v>45300</v>
      </c>
      <c r="C590" s="1" t="s">
        <v>12</v>
      </c>
      <c r="D590" s="1">
        <v>1573986</v>
      </c>
      <c r="E590" s="4">
        <v>2503.25</v>
      </c>
      <c r="F590" s="4">
        <f t="shared" si="15"/>
        <v>475.61750000000001</v>
      </c>
      <c r="G590" s="4">
        <f t="shared" si="16"/>
        <v>2978.8674999999998</v>
      </c>
      <c r="H590" s="1">
        <f t="shared" si="17"/>
        <v>1</v>
      </c>
      <c r="I590" s="1">
        <f t="shared" si="18"/>
        <v>2024</v>
      </c>
      <c r="J590" s="4"/>
      <c r="K590" s="1" t="s">
        <v>87</v>
      </c>
    </row>
    <row r="591" spans="1:11">
      <c r="A591" s="1" t="s">
        <v>364</v>
      </c>
      <c r="B591" s="7">
        <v>45301</v>
      </c>
      <c r="C591" s="1" t="s">
        <v>12</v>
      </c>
      <c r="D591" s="1">
        <v>393023</v>
      </c>
      <c r="E591" s="4">
        <v>48571.43</v>
      </c>
      <c r="F591" s="4">
        <f t="shared" si="15"/>
        <v>9228.5717000000004</v>
      </c>
      <c r="G591" s="4">
        <f t="shared" si="16"/>
        <v>57800.001700000001</v>
      </c>
      <c r="H591" s="1">
        <f t="shared" si="17"/>
        <v>1</v>
      </c>
      <c r="I591" s="1">
        <f t="shared" si="18"/>
        <v>2024</v>
      </c>
      <c r="J591" s="4"/>
      <c r="K591" s="1" t="s">
        <v>87</v>
      </c>
    </row>
    <row r="592" spans="1:11">
      <c r="A592" s="1" t="s">
        <v>28</v>
      </c>
      <c r="B592" s="7">
        <v>45303</v>
      </c>
      <c r="C592" s="1" t="s">
        <v>12</v>
      </c>
      <c r="D592" s="1">
        <v>842765</v>
      </c>
      <c r="E592" s="4">
        <v>3479</v>
      </c>
      <c r="F592" s="4">
        <f t="shared" si="15"/>
        <v>661.01</v>
      </c>
      <c r="G592" s="4">
        <f t="shared" si="16"/>
        <v>4140.01</v>
      </c>
      <c r="H592" s="1">
        <f t="shared" si="17"/>
        <v>1</v>
      </c>
      <c r="I592" s="1">
        <f t="shared" si="18"/>
        <v>2024</v>
      </c>
      <c r="J592" s="4"/>
      <c r="K592" s="1" t="s">
        <v>87</v>
      </c>
    </row>
    <row r="593" spans="1:11">
      <c r="A593" s="1" t="s">
        <v>28</v>
      </c>
      <c r="B593" s="7">
        <v>45303</v>
      </c>
      <c r="C593" s="1" t="s">
        <v>12</v>
      </c>
      <c r="D593" s="1">
        <v>842766</v>
      </c>
      <c r="E593" s="4">
        <v>6496</v>
      </c>
      <c r="F593" s="4">
        <f t="shared" si="15"/>
        <v>1234.24</v>
      </c>
      <c r="G593" s="4">
        <f t="shared" si="16"/>
        <v>7730.24</v>
      </c>
      <c r="H593" s="1">
        <f t="shared" si="17"/>
        <v>1</v>
      </c>
      <c r="I593" s="1">
        <f t="shared" si="18"/>
        <v>2024</v>
      </c>
      <c r="J593" s="4"/>
      <c r="K593" s="1" t="s">
        <v>87</v>
      </c>
    </row>
    <row r="594" spans="1:11">
      <c r="A594" s="1" t="s">
        <v>95</v>
      </c>
      <c r="B594" s="7">
        <v>45304</v>
      </c>
      <c r="C594" s="1" t="s">
        <v>12</v>
      </c>
      <c r="D594" s="1">
        <v>2682547</v>
      </c>
      <c r="E594" s="4">
        <v>3184.87</v>
      </c>
      <c r="F594" s="4">
        <f t="shared" si="15"/>
        <v>605.12530000000004</v>
      </c>
      <c r="G594" s="4">
        <f t="shared" si="16"/>
        <v>3789.9953</v>
      </c>
      <c r="H594" s="1">
        <f t="shared" si="17"/>
        <v>1</v>
      </c>
      <c r="I594" s="1">
        <f t="shared" si="18"/>
        <v>2024</v>
      </c>
      <c r="J594" s="4"/>
      <c r="K594" s="1" t="s">
        <v>87</v>
      </c>
    </row>
    <row r="595" spans="1:11">
      <c r="A595" s="1" t="s">
        <v>95</v>
      </c>
      <c r="B595" s="7">
        <v>45314</v>
      </c>
      <c r="C595" s="1" t="s">
        <v>12</v>
      </c>
      <c r="D595" s="1">
        <v>2691742</v>
      </c>
      <c r="E595" s="4">
        <v>7983.19</v>
      </c>
      <c r="F595" s="4">
        <f t="shared" si="15"/>
        <v>1516.8061</v>
      </c>
      <c r="G595" s="4">
        <f t="shared" si="16"/>
        <v>9499.9961000000003</v>
      </c>
      <c r="H595" s="1">
        <f t="shared" si="17"/>
        <v>1</v>
      </c>
      <c r="I595" s="1">
        <f t="shared" si="18"/>
        <v>2024</v>
      </c>
      <c r="J595" s="4"/>
      <c r="K595" s="1" t="s">
        <v>87</v>
      </c>
    </row>
    <row r="596" spans="1:11">
      <c r="A596" s="1" t="s">
        <v>14</v>
      </c>
      <c r="B596" s="7">
        <v>45315</v>
      </c>
      <c r="C596" s="1" t="s">
        <v>12</v>
      </c>
      <c r="D596" s="1">
        <v>46558</v>
      </c>
      <c r="E596" s="4">
        <v>136600</v>
      </c>
      <c r="F596" s="4">
        <f t="shared" si="15"/>
        <v>25954</v>
      </c>
      <c r="G596" s="4">
        <f t="shared" si="16"/>
        <v>162554</v>
      </c>
      <c r="H596" s="1">
        <f t="shared" si="17"/>
        <v>1</v>
      </c>
      <c r="I596" s="1">
        <f t="shared" si="18"/>
        <v>2024</v>
      </c>
      <c r="J596" s="4"/>
      <c r="K596" s="1" t="s">
        <v>87</v>
      </c>
    </row>
    <row r="597" spans="1:11">
      <c r="A597" s="1" t="s">
        <v>365</v>
      </c>
      <c r="B597" s="7">
        <v>45323</v>
      </c>
      <c r="C597" s="1" t="s">
        <v>12</v>
      </c>
      <c r="D597" s="1">
        <v>1329561</v>
      </c>
      <c r="E597" s="4">
        <v>327240.33</v>
      </c>
      <c r="F597" s="4">
        <f t="shared" si="15"/>
        <v>62175.662700000001</v>
      </c>
      <c r="G597" s="4">
        <f t="shared" si="16"/>
        <v>389415.9927</v>
      </c>
      <c r="H597" s="1">
        <f t="shared" si="17"/>
        <v>2</v>
      </c>
      <c r="I597" s="1">
        <f t="shared" si="18"/>
        <v>2024</v>
      </c>
      <c r="J597" s="4"/>
      <c r="K597" s="1" t="s">
        <v>87</v>
      </c>
    </row>
    <row r="598" spans="1:11">
      <c r="A598" s="1" t="s">
        <v>103</v>
      </c>
      <c r="B598" s="7">
        <v>45323</v>
      </c>
      <c r="C598" s="1" t="s">
        <v>12</v>
      </c>
      <c r="D598" s="1">
        <v>317091</v>
      </c>
      <c r="E598" s="4">
        <v>45630.25</v>
      </c>
      <c r="F598" s="4">
        <f t="shared" si="15"/>
        <v>8669.7474999999995</v>
      </c>
      <c r="G598" s="4">
        <f t="shared" si="16"/>
        <v>54299.997499999998</v>
      </c>
      <c r="H598" s="1">
        <f t="shared" si="17"/>
        <v>2</v>
      </c>
      <c r="I598" s="1">
        <f t="shared" si="18"/>
        <v>2024</v>
      </c>
      <c r="J598" s="4"/>
      <c r="K598" s="1" t="s">
        <v>87</v>
      </c>
    </row>
    <row r="599" spans="1:11">
      <c r="A599" s="1" t="s">
        <v>95</v>
      </c>
      <c r="B599" s="7">
        <v>45318</v>
      </c>
      <c r="C599" s="1" t="s">
        <v>12</v>
      </c>
      <c r="D599" s="1">
        <v>2695501</v>
      </c>
      <c r="E599" s="4">
        <v>7983.19</v>
      </c>
      <c r="F599" s="4">
        <f t="shared" si="15"/>
        <v>1516.8061</v>
      </c>
      <c r="G599" s="4">
        <f t="shared" si="16"/>
        <v>9499.9961000000003</v>
      </c>
      <c r="H599" s="1">
        <f t="shared" si="17"/>
        <v>1</v>
      </c>
      <c r="I599" s="1">
        <f t="shared" si="18"/>
        <v>2024</v>
      </c>
      <c r="J599" s="4"/>
      <c r="K599" s="1" t="s">
        <v>87</v>
      </c>
    </row>
    <row r="600" spans="1:11">
      <c r="A600" s="1" t="s">
        <v>366</v>
      </c>
      <c r="B600" s="7">
        <v>45318</v>
      </c>
      <c r="C600" s="1" t="s">
        <v>12</v>
      </c>
      <c r="D600" s="1">
        <v>94602</v>
      </c>
      <c r="E600" s="4">
        <v>8403.36</v>
      </c>
      <c r="F600" s="4">
        <f t="shared" si="15"/>
        <v>1596.6384</v>
      </c>
      <c r="G600" s="4">
        <f t="shared" si="16"/>
        <v>9999.9984000000004</v>
      </c>
      <c r="H600" s="1">
        <f t="shared" si="17"/>
        <v>1</v>
      </c>
      <c r="I600" s="1">
        <f t="shared" si="18"/>
        <v>2024</v>
      </c>
      <c r="J600" s="4"/>
      <c r="K600" s="1" t="s">
        <v>87</v>
      </c>
    </row>
    <row r="601" spans="1:11">
      <c r="A601" s="1" t="s">
        <v>28</v>
      </c>
      <c r="B601" s="7">
        <v>45318</v>
      </c>
      <c r="C601" s="1" t="s">
        <v>12</v>
      </c>
      <c r="D601" s="1">
        <v>850775</v>
      </c>
      <c r="E601" s="4">
        <v>5890.76</v>
      </c>
      <c r="F601" s="4">
        <f t="shared" si="15"/>
        <v>1119.2444</v>
      </c>
      <c r="G601" s="4">
        <f t="shared" si="16"/>
        <v>7010.0043999999998</v>
      </c>
      <c r="H601" s="1">
        <f t="shared" si="17"/>
        <v>1</v>
      </c>
      <c r="I601" s="1">
        <f t="shared" si="18"/>
        <v>2024</v>
      </c>
      <c r="J601" s="4"/>
      <c r="K601" s="1" t="s">
        <v>87</v>
      </c>
    </row>
    <row r="602" spans="1:11">
      <c r="A602" s="1" t="s">
        <v>166</v>
      </c>
      <c r="B602" s="7">
        <v>45320</v>
      </c>
      <c r="C602" s="1" t="s">
        <v>12</v>
      </c>
      <c r="D602" s="1">
        <v>66291</v>
      </c>
      <c r="E602" s="4">
        <v>12352.94</v>
      </c>
      <c r="F602" s="4">
        <f t="shared" si="15"/>
        <v>2347.0586000000003</v>
      </c>
      <c r="G602" s="4">
        <f t="shared" si="16"/>
        <v>14699.998600000001</v>
      </c>
      <c r="H602" s="1">
        <f t="shared" si="17"/>
        <v>1</v>
      </c>
      <c r="I602" s="1">
        <f t="shared" si="18"/>
        <v>2024</v>
      </c>
      <c r="J602" s="4"/>
      <c r="K602" s="1" t="s">
        <v>87</v>
      </c>
    </row>
    <row r="603" spans="1:11">
      <c r="A603" s="1" t="s">
        <v>236</v>
      </c>
      <c r="B603" s="7">
        <v>45320</v>
      </c>
      <c r="C603" s="1" t="s">
        <v>12</v>
      </c>
      <c r="D603" s="1">
        <v>36699</v>
      </c>
      <c r="E603" s="4">
        <v>4957.9799999999996</v>
      </c>
      <c r="F603" s="4">
        <f t="shared" si="15"/>
        <v>942.01619999999991</v>
      </c>
      <c r="G603" s="4">
        <f t="shared" si="16"/>
        <v>5899.9961999999996</v>
      </c>
      <c r="H603" s="1">
        <f t="shared" si="17"/>
        <v>1</v>
      </c>
      <c r="I603" s="1">
        <f t="shared" si="18"/>
        <v>2024</v>
      </c>
      <c r="J603" s="4"/>
      <c r="K603" s="1" t="s">
        <v>87</v>
      </c>
    </row>
    <row r="604" spans="1:11">
      <c r="A604" s="1" t="s">
        <v>350</v>
      </c>
      <c r="B604" s="7">
        <v>45320</v>
      </c>
      <c r="C604" s="1" t="s">
        <v>12</v>
      </c>
      <c r="D604" s="1">
        <v>88704</v>
      </c>
      <c r="E604" s="4">
        <v>4621.8500000000004</v>
      </c>
      <c r="F604" s="4">
        <f t="shared" si="15"/>
        <v>878.15150000000006</v>
      </c>
      <c r="G604" s="4">
        <f t="shared" si="16"/>
        <v>5500.0015000000003</v>
      </c>
      <c r="H604" s="1">
        <f t="shared" si="17"/>
        <v>1</v>
      </c>
      <c r="I604" s="1">
        <f t="shared" si="18"/>
        <v>2024</v>
      </c>
      <c r="J604" s="4"/>
      <c r="K604" s="1" t="s">
        <v>87</v>
      </c>
    </row>
    <row r="605" spans="1:11">
      <c r="A605" s="1" t="s">
        <v>291</v>
      </c>
      <c r="B605" s="7">
        <v>45321</v>
      </c>
      <c r="C605" s="1" t="s">
        <v>12</v>
      </c>
      <c r="D605" s="1">
        <v>7578</v>
      </c>
      <c r="E605" s="4">
        <v>4369.75</v>
      </c>
      <c r="F605" s="4">
        <f t="shared" si="15"/>
        <v>830.25250000000005</v>
      </c>
      <c r="G605" s="4">
        <f t="shared" si="16"/>
        <v>5200.0025000000005</v>
      </c>
      <c r="H605" s="1">
        <f t="shared" si="17"/>
        <v>1</v>
      </c>
      <c r="I605" s="1">
        <f t="shared" si="18"/>
        <v>2024</v>
      </c>
      <c r="J605" s="4"/>
      <c r="K605" s="1" t="s">
        <v>87</v>
      </c>
    </row>
    <row r="606" spans="1:11">
      <c r="A606" s="1" t="s">
        <v>236</v>
      </c>
      <c r="B606" s="7">
        <v>45324</v>
      </c>
      <c r="C606" s="1" t="s">
        <v>12</v>
      </c>
      <c r="D606" s="1">
        <v>36816</v>
      </c>
      <c r="E606" s="4">
        <v>11680.67</v>
      </c>
      <c r="F606" s="4">
        <f t="shared" si="15"/>
        <v>2219.3272999999999</v>
      </c>
      <c r="G606" s="4">
        <f t="shared" si="16"/>
        <v>13899.997299999999</v>
      </c>
      <c r="H606" s="1">
        <f t="shared" si="17"/>
        <v>2</v>
      </c>
      <c r="I606" s="1">
        <f t="shared" si="18"/>
        <v>2024</v>
      </c>
      <c r="J606" s="4"/>
      <c r="K606" s="1" t="s">
        <v>87</v>
      </c>
    </row>
    <row r="607" spans="1:11">
      <c r="A607" s="1" t="s">
        <v>203</v>
      </c>
      <c r="B607" s="7">
        <v>45326</v>
      </c>
      <c r="C607" s="1" t="s">
        <v>12</v>
      </c>
      <c r="D607" s="1">
        <v>38967275</v>
      </c>
      <c r="E607" s="4">
        <v>24637.81</v>
      </c>
      <c r="F607" s="4">
        <f t="shared" si="15"/>
        <v>4681.1839</v>
      </c>
      <c r="G607" s="4">
        <f t="shared" si="16"/>
        <v>29318.993900000001</v>
      </c>
      <c r="H607" s="1">
        <f t="shared" si="17"/>
        <v>2</v>
      </c>
      <c r="I607" s="1">
        <f t="shared" si="18"/>
        <v>2024</v>
      </c>
      <c r="J607" s="4"/>
      <c r="K607" s="1" t="s">
        <v>87</v>
      </c>
    </row>
    <row r="608" spans="1:11">
      <c r="A608" s="1" t="s">
        <v>360</v>
      </c>
      <c r="B608" s="7">
        <v>45328</v>
      </c>
      <c r="C608" s="1" t="s">
        <v>12</v>
      </c>
      <c r="D608" s="1">
        <v>73993</v>
      </c>
      <c r="E608" s="4">
        <v>35415.97</v>
      </c>
      <c r="F608" s="4">
        <f t="shared" si="15"/>
        <v>6729.0343000000003</v>
      </c>
      <c r="G608" s="4">
        <f t="shared" si="16"/>
        <v>42145.004300000001</v>
      </c>
      <c r="H608" s="1">
        <f t="shared" si="17"/>
        <v>2</v>
      </c>
      <c r="I608" s="1">
        <f t="shared" si="18"/>
        <v>2024</v>
      </c>
      <c r="J608" s="4"/>
      <c r="K608" s="1" t="s">
        <v>87</v>
      </c>
    </row>
    <row r="609" spans="1:11">
      <c r="A609" s="1" t="s">
        <v>202</v>
      </c>
      <c r="B609" s="7">
        <v>45331</v>
      </c>
      <c r="C609" s="1" t="s">
        <v>12</v>
      </c>
      <c r="D609" s="1">
        <v>1634979</v>
      </c>
      <c r="E609" s="4">
        <v>1494.96</v>
      </c>
      <c r="F609" s="4">
        <f t="shared" si="15"/>
        <v>284.04239999999999</v>
      </c>
      <c r="G609" s="4">
        <f t="shared" si="16"/>
        <v>1779.0024000000001</v>
      </c>
      <c r="H609" s="1">
        <f t="shared" si="17"/>
        <v>2</v>
      </c>
      <c r="I609" s="1">
        <f t="shared" si="18"/>
        <v>2024</v>
      </c>
      <c r="J609" s="4"/>
      <c r="K609" s="1" t="s">
        <v>87</v>
      </c>
    </row>
    <row r="610" spans="1:11">
      <c r="A610" s="1" t="s">
        <v>236</v>
      </c>
      <c r="B610" s="7">
        <v>45334</v>
      </c>
      <c r="C610" s="1" t="s">
        <v>12</v>
      </c>
      <c r="D610" s="1">
        <v>37070</v>
      </c>
      <c r="E610" s="4">
        <v>4117.6499999999996</v>
      </c>
      <c r="F610" s="4">
        <f t="shared" si="15"/>
        <v>782.35349999999994</v>
      </c>
      <c r="G610" s="4">
        <f t="shared" si="16"/>
        <v>4900.0034999999998</v>
      </c>
      <c r="H610" s="1">
        <f t="shared" si="17"/>
        <v>2</v>
      </c>
      <c r="I610" s="1">
        <f t="shared" si="18"/>
        <v>2024</v>
      </c>
      <c r="J610" s="4"/>
      <c r="K610" s="1" t="s">
        <v>87</v>
      </c>
    </row>
    <row r="611" spans="1:11">
      <c r="A611" s="1" t="s">
        <v>68</v>
      </c>
      <c r="B611" s="7">
        <v>45335</v>
      </c>
      <c r="C611" s="1" t="s">
        <v>12</v>
      </c>
      <c r="D611" s="1">
        <v>246955</v>
      </c>
      <c r="E611" s="4">
        <v>84979.83</v>
      </c>
      <c r="F611" s="4">
        <f t="shared" si="15"/>
        <v>16146.1677</v>
      </c>
      <c r="G611" s="4">
        <f t="shared" si="16"/>
        <v>101125.99770000001</v>
      </c>
      <c r="H611" s="1">
        <f t="shared" si="17"/>
        <v>2</v>
      </c>
      <c r="I611" s="1">
        <f t="shared" si="18"/>
        <v>2024</v>
      </c>
      <c r="J611" s="4"/>
      <c r="K611" s="1" t="s">
        <v>87</v>
      </c>
    </row>
    <row r="612" spans="1:11">
      <c r="A612" s="1" t="s">
        <v>367</v>
      </c>
      <c r="B612" s="7">
        <v>45337</v>
      </c>
      <c r="C612" s="1" t="s">
        <v>12</v>
      </c>
      <c r="D612" s="1">
        <v>19897</v>
      </c>
      <c r="E612" s="4">
        <v>29411.759999999998</v>
      </c>
      <c r="F612" s="4">
        <f t="shared" si="15"/>
        <v>5588.2343999999994</v>
      </c>
      <c r="G612" s="4">
        <f t="shared" si="16"/>
        <v>34999.994399999996</v>
      </c>
      <c r="H612" s="1">
        <f t="shared" si="17"/>
        <v>2</v>
      </c>
      <c r="I612" s="1">
        <f t="shared" si="18"/>
        <v>2024</v>
      </c>
      <c r="J612" s="4"/>
      <c r="K612" s="1" t="s">
        <v>87</v>
      </c>
    </row>
    <row r="613" spans="1:11">
      <c r="A613" s="1" t="s">
        <v>28</v>
      </c>
      <c r="B613" s="7">
        <v>45337</v>
      </c>
      <c r="C613" s="1" t="s">
        <v>12</v>
      </c>
      <c r="D613" s="1">
        <v>863363</v>
      </c>
      <c r="E613" s="4">
        <v>2873.95</v>
      </c>
      <c r="F613" s="4">
        <f t="shared" si="15"/>
        <v>546.05049999999994</v>
      </c>
      <c r="G613" s="4">
        <f t="shared" si="16"/>
        <v>3420.0004999999996</v>
      </c>
      <c r="H613" s="1">
        <f t="shared" si="17"/>
        <v>2</v>
      </c>
      <c r="I613" s="1">
        <f t="shared" si="18"/>
        <v>2024</v>
      </c>
      <c r="J613" s="4"/>
      <c r="K613" s="1" t="s">
        <v>87</v>
      </c>
    </row>
    <row r="614" spans="1:11">
      <c r="A614" s="1" t="s">
        <v>236</v>
      </c>
      <c r="B614" s="7">
        <v>45341</v>
      </c>
      <c r="C614" s="1" t="s">
        <v>12</v>
      </c>
      <c r="D614" s="1">
        <v>37220</v>
      </c>
      <c r="E614" s="4">
        <v>5882.35</v>
      </c>
      <c r="F614" s="4">
        <f t="shared" si="15"/>
        <v>1117.6465000000001</v>
      </c>
      <c r="G614" s="4">
        <f t="shared" si="16"/>
        <v>6999.9965000000002</v>
      </c>
      <c r="H614" s="1">
        <f t="shared" si="17"/>
        <v>2</v>
      </c>
      <c r="I614" s="1">
        <f t="shared" si="18"/>
        <v>2024</v>
      </c>
      <c r="J614" s="4"/>
      <c r="K614" s="1" t="s">
        <v>87</v>
      </c>
    </row>
    <row r="615" spans="1:11">
      <c r="A615" s="1" t="s">
        <v>291</v>
      </c>
      <c r="B615" s="7">
        <v>45341</v>
      </c>
      <c r="C615" s="1" t="s">
        <v>12</v>
      </c>
      <c r="D615" s="1">
        <v>7751</v>
      </c>
      <c r="E615" s="4">
        <v>5882.35</v>
      </c>
      <c r="F615" s="4">
        <f t="shared" si="15"/>
        <v>1117.6465000000001</v>
      </c>
      <c r="G615" s="4">
        <f t="shared" si="16"/>
        <v>6999.9965000000002</v>
      </c>
      <c r="H615" s="1">
        <f t="shared" si="17"/>
        <v>2</v>
      </c>
      <c r="I615" s="1">
        <f t="shared" si="18"/>
        <v>2024</v>
      </c>
      <c r="J615" s="4"/>
      <c r="K615" s="1" t="s">
        <v>87</v>
      </c>
    </row>
    <row r="616" spans="1:11">
      <c r="A616" s="1" t="s">
        <v>291</v>
      </c>
      <c r="B616" s="7">
        <v>45348</v>
      </c>
      <c r="C616" s="1" t="s">
        <v>12</v>
      </c>
      <c r="D616" s="1">
        <v>7845</v>
      </c>
      <c r="E616" s="4">
        <v>4705.88</v>
      </c>
      <c r="F616" s="4">
        <f t="shared" si="15"/>
        <v>894.11720000000003</v>
      </c>
      <c r="G616" s="4">
        <f t="shared" si="16"/>
        <v>5599.9971999999998</v>
      </c>
      <c r="H616" s="1">
        <f t="shared" si="17"/>
        <v>2</v>
      </c>
      <c r="I616" s="1">
        <f t="shared" si="18"/>
        <v>2024</v>
      </c>
      <c r="J616" s="4"/>
      <c r="K616" s="1" t="s">
        <v>87</v>
      </c>
    </row>
    <row r="617" spans="1:11">
      <c r="A617" s="1" t="s">
        <v>236</v>
      </c>
      <c r="B617" s="7">
        <v>45349</v>
      </c>
      <c r="C617" s="1" t="s">
        <v>12</v>
      </c>
      <c r="D617" s="1">
        <v>37454</v>
      </c>
      <c r="E617" s="4">
        <v>14874.79</v>
      </c>
      <c r="F617" s="4">
        <f t="shared" si="15"/>
        <v>2826.2101000000002</v>
      </c>
      <c r="G617" s="4">
        <f t="shared" si="16"/>
        <v>17701.000100000001</v>
      </c>
      <c r="H617" s="1">
        <f t="shared" si="17"/>
        <v>2</v>
      </c>
      <c r="I617" s="1">
        <f t="shared" si="18"/>
        <v>2024</v>
      </c>
      <c r="J617" s="4"/>
      <c r="K617" s="1" t="s">
        <v>87</v>
      </c>
    </row>
    <row r="618" spans="1:11">
      <c r="A618" s="1" t="s">
        <v>166</v>
      </c>
      <c r="B618" s="7">
        <v>45355</v>
      </c>
      <c r="C618" s="1" t="s">
        <v>12</v>
      </c>
      <c r="D618" s="1">
        <v>68124</v>
      </c>
      <c r="E618" s="4">
        <v>12385.71</v>
      </c>
      <c r="F618" s="4">
        <f t="shared" si="15"/>
        <v>2353.2848999999997</v>
      </c>
      <c r="G618" s="4">
        <f t="shared" si="16"/>
        <v>14738.994899999998</v>
      </c>
      <c r="H618" s="1">
        <f t="shared" si="17"/>
        <v>3</v>
      </c>
      <c r="I618" s="1">
        <f t="shared" si="18"/>
        <v>2024</v>
      </c>
      <c r="J618" s="4"/>
      <c r="K618" s="1" t="s">
        <v>87</v>
      </c>
    </row>
    <row r="619" spans="1:11">
      <c r="A619" s="1" t="s">
        <v>103</v>
      </c>
      <c r="B619" s="7">
        <v>45356</v>
      </c>
      <c r="C619" s="1" t="s">
        <v>12</v>
      </c>
      <c r="D619" s="1">
        <v>322607</v>
      </c>
      <c r="E619" s="4">
        <v>29130.25</v>
      </c>
      <c r="F619" s="4">
        <f t="shared" si="15"/>
        <v>5534.7475000000004</v>
      </c>
      <c r="G619" s="4">
        <f t="shared" si="16"/>
        <v>34664.997499999998</v>
      </c>
      <c r="H619" s="1">
        <f t="shared" si="17"/>
        <v>3</v>
      </c>
      <c r="I619" s="1">
        <f t="shared" si="18"/>
        <v>2024</v>
      </c>
      <c r="J619" s="4"/>
      <c r="K619" s="1" t="s">
        <v>87</v>
      </c>
    </row>
    <row r="620" spans="1:11">
      <c r="A620" s="1" t="s">
        <v>203</v>
      </c>
      <c r="B620" s="7">
        <v>45357</v>
      </c>
      <c r="C620" s="1" t="s">
        <v>12</v>
      </c>
      <c r="D620" s="1">
        <v>39215815</v>
      </c>
      <c r="E620" s="4">
        <v>24610.92</v>
      </c>
      <c r="F620" s="4">
        <f t="shared" si="15"/>
        <v>4676.0747999999994</v>
      </c>
      <c r="G620" s="4">
        <f t="shared" si="16"/>
        <v>29286.994799999997</v>
      </c>
      <c r="H620" s="1">
        <f t="shared" si="17"/>
        <v>3</v>
      </c>
      <c r="I620" s="1">
        <f t="shared" si="18"/>
        <v>2024</v>
      </c>
      <c r="J620" s="4"/>
      <c r="K620" s="1" t="s">
        <v>87</v>
      </c>
    </row>
    <row r="621" spans="1:11">
      <c r="A621" s="1" t="s">
        <v>291</v>
      </c>
      <c r="B621" s="7">
        <v>45357</v>
      </c>
      <c r="C621" s="1" t="s">
        <v>12</v>
      </c>
      <c r="D621" s="1">
        <v>7950</v>
      </c>
      <c r="E621" s="4">
        <v>3865.55</v>
      </c>
      <c r="F621" s="4">
        <f t="shared" si="15"/>
        <v>734.45450000000005</v>
      </c>
      <c r="G621" s="4">
        <f t="shared" si="16"/>
        <v>4600.0045</v>
      </c>
      <c r="H621" s="1">
        <f t="shared" si="17"/>
        <v>3</v>
      </c>
      <c r="I621" s="1">
        <f t="shared" si="18"/>
        <v>2024</v>
      </c>
      <c r="J621" s="4"/>
      <c r="K621" s="1" t="s">
        <v>87</v>
      </c>
    </row>
    <row r="622" spans="1:11">
      <c r="A622" s="1" t="s">
        <v>28</v>
      </c>
      <c r="B622" s="7">
        <v>45358</v>
      </c>
      <c r="C622" s="1" t="s">
        <v>12</v>
      </c>
      <c r="D622" s="1">
        <v>869666</v>
      </c>
      <c r="E622" s="4">
        <v>4680.67</v>
      </c>
      <c r="F622" s="4">
        <f t="shared" si="15"/>
        <v>889.32730000000004</v>
      </c>
      <c r="G622" s="4">
        <f t="shared" si="16"/>
        <v>5569.9973</v>
      </c>
      <c r="H622" s="1">
        <f t="shared" si="17"/>
        <v>3</v>
      </c>
      <c r="I622" s="1">
        <f t="shared" si="18"/>
        <v>2024</v>
      </c>
      <c r="J622" s="4"/>
      <c r="K622" s="1" t="s">
        <v>87</v>
      </c>
    </row>
    <row r="623" spans="1:11">
      <c r="A623" s="1" t="s">
        <v>368</v>
      </c>
      <c r="B623" s="7">
        <v>45358</v>
      </c>
      <c r="C623" s="1" t="s">
        <v>12</v>
      </c>
      <c r="D623" s="1">
        <v>29184</v>
      </c>
      <c r="E623" s="4">
        <v>38655.46</v>
      </c>
      <c r="F623" s="4">
        <f t="shared" si="15"/>
        <v>7344.5374000000002</v>
      </c>
      <c r="G623" s="4">
        <f t="shared" si="16"/>
        <v>45999.9974</v>
      </c>
      <c r="H623" s="1">
        <f t="shared" si="17"/>
        <v>3</v>
      </c>
      <c r="I623" s="1">
        <f t="shared" si="18"/>
        <v>2024</v>
      </c>
      <c r="J623" s="4"/>
      <c r="K623" s="1" t="s">
        <v>87</v>
      </c>
    </row>
    <row r="624" spans="1:11">
      <c r="A624" s="1" t="s">
        <v>202</v>
      </c>
      <c r="B624" s="7">
        <v>45359</v>
      </c>
      <c r="C624" s="1" t="s">
        <v>12</v>
      </c>
      <c r="D624" s="1">
        <v>1651456</v>
      </c>
      <c r="E624" s="4">
        <v>3588.24</v>
      </c>
      <c r="F624" s="4">
        <f t="shared" si="15"/>
        <v>681.76559999999995</v>
      </c>
      <c r="G624" s="4">
        <f t="shared" si="16"/>
        <v>4270.0055999999995</v>
      </c>
      <c r="H624" s="1">
        <f t="shared" si="17"/>
        <v>3</v>
      </c>
      <c r="I624" s="1">
        <f t="shared" si="18"/>
        <v>2024</v>
      </c>
      <c r="J624" s="4"/>
      <c r="K624" s="1" t="s">
        <v>87</v>
      </c>
    </row>
    <row r="625" spans="1:13">
      <c r="A625" s="1" t="s">
        <v>236</v>
      </c>
      <c r="B625" s="7">
        <v>45360</v>
      </c>
      <c r="C625" s="1" t="s">
        <v>12</v>
      </c>
      <c r="D625" s="1">
        <v>37783</v>
      </c>
      <c r="E625" s="4">
        <v>11680.67</v>
      </c>
      <c r="F625" s="4">
        <f t="shared" si="15"/>
        <v>2219.3272999999999</v>
      </c>
      <c r="G625" s="4">
        <f t="shared" si="16"/>
        <v>13899.997299999999</v>
      </c>
      <c r="H625" s="1">
        <f t="shared" si="17"/>
        <v>3</v>
      </c>
      <c r="I625" s="1">
        <f t="shared" si="18"/>
        <v>2024</v>
      </c>
      <c r="J625" s="4"/>
      <c r="K625" s="1" t="s">
        <v>87</v>
      </c>
    </row>
    <row r="626" spans="1:13">
      <c r="A626" s="1" t="s">
        <v>236</v>
      </c>
      <c r="B626" s="7">
        <v>45362</v>
      </c>
      <c r="C626" s="1" t="s">
        <v>12</v>
      </c>
      <c r="D626" s="1">
        <v>37816</v>
      </c>
      <c r="E626" s="4">
        <v>16638.66</v>
      </c>
      <c r="F626" s="4">
        <f t="shared" si="15"/>
        <v>3161.3454000000002</v>
      </c>
      <c r="G626" s="4">
        <f t="shared" si="16"/>
        <v>19800.005400000002</v>
      </c>
      <c r="H626" s="1">
        <f t="shared" si="17"/>
        <v>3</v>
      </c>
      <c r="I626" s="1">
        <f t="shared" si="18"/>
        <v>2024</v>
      </c>
      <c r="J626" s="4"/>
      <c r="K626" s="1" t="s">
        <v>87</v>
      </c>
    </row>
    <row r="627" spans="1:13">
      <c r="A627" s="1" t="s">
        <v>369</v>
      </c>
      <c r="B627" s="7">
        <v>45363</v>
      </c>
      <c r="C627" s="1" t="s">
        <v>12</v>
      </c>
      <c r="D627" s="1">
        <v>114</v>
      </c>
      <c r="E627" s="4">
        <v>68899.16</v>
      </c>
      <c r="F627" s="4">
        <f t="shared" si="15"/>
        <v>13090.840400000001</v>
      </c>
      <c r="G627" s="4">
        <f t="shared" si="16"/>
        <v>81990.000400000004</v>
      </c>
      <c r="H627" s="1">
        <f t="shared" si="17"/>
        <v>3</v>
      </c>
      <c r="I627" s="1">
        <f t="shared" si="18"/>
        <v>2024</v>
      </c>
      <c r="J627" s="4"/>
      <c r="K627" s="1" t="s">
        <v>87</v>
      </c>
    </row>
    <row r="628" spans="1:13">
      <c r="A628" s="1" t="s">
        <v>370</v>
      </c>
      <c r="B628" s="7">
        <v>45367</v>
      </c>
      <c r="C628" s="1" t="s">
        <v>12</v>
      </c>
      <c r="D628" s="1">
        <v>4487658</v>
      </c>
      <c r="E628" s="4">
        <v>9663.8700000000008</v>
      </c>
      <c r="F628" s="4">
        <f t="shared" si="15"/>
        <v>1836.1353000000001</v>
      </c>
      <c r="G628" s="4">
        <f t="shared" si="16"/>
        <v>11500.005300000001</v>
      </c>
      <c r="H628" s="1">
        <f t="shared" si="17"/>
        <v>3</v>
      </c>
      <c r="I628" s="1">
        <f t="shared" si="18"/>
        <v>2024</v>
      </c>
      <c r="J628" s="4"/>
      <c r="K628" s="1" t="s">
        <v>87</v>
      </c>
    </row>
    <row r="629" spans="1:13">
      <c r="A629" s="1" t="s">
        <v>370</v>
      </c>
      <c r="B629" s="7">
        <v>45367</v>
      </c>
      <c r="C629" s="1" t="s">
        <v>12</v>
      </c>
      <c r="D629" s="1">
        <v>4487657</v>
      </c>
      <c r="E629" s="4">
        <v>14337.82</v>
      </c>
      <c r="F629" s="4">
        <f t="shared" si="15"/>
        <v>2724.1858000000002</v>
      </c>
      <c r="G629" s="4">
        <f t="shared" si="16"/>
        <v>17062.005799999999</v>
      </c>
      <c r="H629" s="1">
        <f t="shared" si="17"/>
        <v>3</v>
      </c>
      <c r="I629" s="1">
        <f t="shared" si="18"/>
        <v>2024</v>
      </c>
      <c r="J629" s="4"/>
      <c r="K629" s="1" t="s">
        <v>87</v>
      </c>
    </row>
    <row r="630" spans="1:13">
      <c r="A630" s="1" t="s">
        <v>291</v>
      </c>
      <c r="B630" s="7">
        <v>45370</v>
      </c>
      <c r="C630" s="1" t="s">
        <v>12</v>
      </c>
      <c r="D630" s="1">
        <v>8073</v>
      </c>
      <c r="E630" s="4">
        <v>3697.48</v>
      </c>
      <c r="F630" s="4">
        <f t="shared" si="15"/>
        <v>702.52120000000002</v>
      </c>
      <c r="G630" s="4">
        <f t="shared" si="16"/>
        <v>4400.0011999999997</v>
      </c>
      <c r="H630" s="1">
        <f t="shared" si="17"/>
        <v>3</v>
      </c>
      <c r="I630" s="1">
        <f t="shared" si="18"/>
        <v>2024</v>
      </c>
      <c r="J630" s="4"/>
      <c r="K630" s="1" t="s">
        <v>87</v>
      </c>
    </row>
    <row r="631" spans="1:13">
      <c r="A631" s="1" t="s">
        <v>314</v>
      </c>
      <c r="B631" s="7">
        <v>45377</v>
      </c>
      <c r="C631" s="1" t="s">
        <v>12</v>
      </c>
      <c r="D631" s="1">
        <v>38230</v>
      </c>
      <c r="E631" s="4">
        <v>81008.399999999994</v>
      </c>
      <c r="F631" s="4">
        <f t="shared" si="15"/>
        <v>15391.596</v>
      </c>
      <c r="G631" s="4">
        <f t="shared" si="16"/>
        <v>96399.995999999999</v>
      </c>
      <c r="H631" s="1">
        <f t="shared" si="17"/>
        <v>3</v>
      </c>
      <c r="I631" s="1">
        <f t="shared" si="18"/>
        <v>2024</v>
      </c>
      <c r="J631" s="4"/>
      <c r="K631" s="1" t="s">
        <v>87</v>
      </c>
      <c r="L631" s="1" t="s">
        <v>371</v>
      </c>
      <c r="M631" s="1" t="s">
        <v>372</v>
      </c>
    </row>
    <row r="632" spans="1:13">
      <c r="A632" s="1" t="s">
        <v>350</v>
      </c>
      <c r="B632" s="7">
        <v>45377</v>
      </c>
      <c r="C632" s="1" t="s">
        <v>12</v>
      </c>
      <c r="D632" s="1">
        <v>90626</v>
      </c>
      <c r="E632" s="4">
        <v>28488.240000000002</v>
      </c>
      <c r="F632" s="4">
        <f t="shared" si="15"/>
        <v>5412.7656000000006</v>
      </c>
      <c r="G632" s="4">
        <f t="shared" si="16"/>
        <v>33901.005600000004</v>
      </c>
      <c r="H632" s="1">
        <f t="shared" si="17"/>
        <v>3</v>
      </c>
      <c r="I632" s="1">
        <f t="shared" si="18"/>
        <v>2024</v>
      </c>
      <c r="J632" s="4"/>
      <c r="K632" s="1" t="s">
        <v>87</v>
      </c>
      <c r="L632" s="1" t="s">
        <v>371</v>
      </c>
      <c r="M632" s="1" t="s">
        <v>372</v>
      </c>
    </row>
    <row r="633" spans="1:13">
      <c r="A633" s="1" t="s">
        <v>166</v>
      </c>
      <c r="B633" s="7">
        <v>45379</v>
      </c>
      <c r="C633" s="1" t="s">
        <v>12</v>
      </c>
      <c r="D633" s="1">
        <v>69866</v>
      </c>
      <c r="E633" s="4">
        <v>12461.34</v>
      </c>
      <c r="F633" s="4">
        <f t="shared" si="15"/>
        <v>2367.6545999999998</v>
      </c>
      <c r="G633" s="4">
        <f t="shared" si="16"/>
        <v>14828.9946</v>
      </c>
      <c r="H633" s="1">
        <f t="shared" si="17"/>
        <v>3</v>
      </c>
      <c r="I633" s="1">
        <f t="shared" si="18"/>
        <v>2024</v>
      </c>
      <c r="J633" s="4"/>
      <c r="K633" s="1" t="s">
        <v>87</v>
      </c>
    </row>
    <row r="634" spans="1:13">
      <c r="A634" s="1" t="s">
        <v>368</v>
      </c>
      <c r="B634" s="7">
        <v>45379</v>
      </c>
      <c r="C634" s="1" t="s">
        <v>12</v>
      </c>
      <c r="D634" s="1">
        <v>30694</v>
      </c>
      <c r="E634" s="4">
        <v>53899.16</v>
      </c>
      <c r="F634" s="4">
        <f t="shared" si="15"/>
        <v>10240.840400000001</v>
      </c>
      <c r="G634" s="4">
        <f t="shared" si="16"/>
        <v>64140.000400000004</v>
      </c>
      <c r="H634" s="1">
        <f t="shared" si="17"/>
        <v>3</v>
      </c>
      <c r="I634" s="1">
        <f t="shared" si="18"/>
        <v>2024</v>
      </c>
      <c r="J634" s="4"/>
      <c r="K634" s="1" t="s">
        <v>87</v>
      </c>
    </row>
    <row r="635" spans="1:13">
      <c r="A635" s="1" t="s">
        <v>236</v>
      </c>
      <c r="B635" s="7">
        <v>45383</v>
      </c>
      <c r="C635" s="1" t="s">
        <v>12</v>
      </c>
      <c r="D635" s="1">
        <v>38317</v>
      </c>
      <c r="E635" s="4">
        <v>56973.95</v>
      </c>
      <c r="F635" s="4">
        <f t="shared" si="15"/>
        <v>10825.050499999999</v>
      </c>
      <c r="G635" s="4">
        <f t="shared" si="16"/>
        <v>67799.000499999995</v>
      </c>
      <c r="H635" s="1">
        <f t="shared" si="17"/>
        <v>4</v>
      </c>
      <c r="I635" s="1">
        <f t="shared" si="18"/>
        <v>2024</v>
      </c>
      <c r="J635" s="4"/>
      <c r="K635" s="1" t="s">
        <v>87</v>
      </c>
      <c r="L635" s="1" t="s">
        <v>371</v>
      </c>
      <c r="M635" s="1" t="s">
        <v>372</v>
      </c>
    </row>
    <row r="636" spans="1:13">
      <c r="A636" s="1" t="s">
        <v>203</v>
      </c>
      <c r="B636" s="7">
        <v>45385</v>
      </c>
      <c r="C636" s="1" t="s">
        <v>12</v>
      </c>
      <c r="D636" s="1">
        <v>39517983</v>
      </c>
      <c r="E636" s="4">
        <v>24694.12</v>
      </c>
      <c r="F636" s="4">
        <f t="shared" si="15"/>
        <v>4691.8828000000003</v>
      </c>
      <c r="G636" s="4">
        <f t="shared" si="16"/>
        <v>29386.002799999998</v>
      </c>
      <c r="H636" s="1">
        <f t="shared" si="17"/>
        <v>4</v>
      </c>
      <c r="I636" s="1">
        <f t="shared" si="18"/>
        <v>2024</v>
      </c>
      <c r="J636" s="4"/>
      <c r="K636" s="1" t="s">
        <v>87</v>
      </c>
    </row>
    <row r="637" spans="1:13">
      <c r="A637" s="1" t="s">
        <v>320</v>
      </c>
      <c r="B637" s="7">
        <v>45386</v>
      </c>
      <c r="C637" s="1" t="s">
        <v>12</v>
      </c>
      <c r="D637" s="1">
        <v>512369</v>
      </c>
      <c r="E637" s="4">
        <v>236146</v>
      </c>
      <c r="F637" s="4">
        <f t="shared" si="15"/>
        <v>44867.74</v>
      </c>
      <c r="G637" s="4">
        <f t="shared" si="16"/>
        <v>281013.74</v>
      </c>
      <c r="H637" s="1">
        <f t="shared" si="17"/>
        <v>4</v>
      </c>
      <c r="I637" s="1">
        <f t="shared" si="18"/>
        <v>2024</v>
      </c>
      <c r="J637" s="4"/>
      <c r="K637" s="1" t="s">
        <v>87</v>
      </c>
    </row>
    <row r="638" spans="1:13">
      <c r="A638" s="1" t="s">
        <v>368</v>
      </c>
      <c r="B638" s="7">
        <v>45391</v>
      </c>
      <c r="C638" s="1" t="s">
        <v>12</v>
      </c>
      <c r="D638" s="1">
        <v>34166</v>
      </c>
      <c r="E638" s="4">
        <v>159084.03</v>
      </c>
      <c r="F638" s="4">
        <f t="shared" si="15"/>
        <v>30225.965700000001</v>
      </c>
      <c r="G638" s="4">
        <f t="shared" si="16"/>
        <v>189309.9957</v>
      </c>
      <c r="H638" s="1">
        <f t="shared" si="17"/>
        <v>4</v>
      </c>
      <c r="I638" s="1">
        <f t="shared" si="18"/>
        <v>2024</v>
      </c>
      <c r="J638" s="4"/>
      <c r="K638" s="1" t="s">
        <v>87</v>
      </c>
    </row>
    <row r="639" spans="1:13">
      <c r="A639" s="1" t="s">
        <v>373</v>
      </c>
      <c r="B639" s="7">
        <v>45391</v>
      </c>
      <c r="C639" s="1" t="s">
        <v>12</v>
      </c>
      <c r="D639" s="1">
        <v>471</v>
      </c>
      <c r="E639" s="4">
        <v>4621.8500000000004</v>
      </c>
      <c r="F639" s="4">
        <f t="shared" si="15"/>
        <v>878.15150000000006</v>
      </c>
      <c r="G639" s="4">
        <f t="shared" si="16"/>
        <v>5500.0015000000003</v>
      </c>
      <c r="H639" s="1">
        <f t="shared" si="17"/>
        <v>4</v>
      </c>
      <c r="I639" s="1">
        <f t="shared" si="18"/>
        <v>2024</v>
      </c>
      <c r="J639" s="4"/>
      <c r="K639" s="1" t="s">
        <v>87</v>
      </c>
    </row>
    <row r="640" spans="1:13">
      <c r="A640" s="1" t="s">
        <v>202</v>
      </c>
      <c r="B640" s="7">
        <v>45391</v>
      </c>
      <c r="C640" s="1" t="s">
        <v>12</v>
      </c>
      <c r="D640" s="1">
        <v>1737434</v>
      </c>
      <c r="E640" s="4">
        <v>1909.24</v>
      </c>
      <c r="F640" s="4">
        <f t="shared" si="15"/>
        <v>362.75560000000002</v>
      </c>
      <c r="G640" s="4">
        <f t="shared" si="16"/>
        <v>2271.9956000000002</v>
      </c>
      <c r="H640" s="1">
        <f t="shared" si="17"/>
        <v>4</v>
      </c>
      <c r="I640" s="1">
        <f t="shared" si="18"/>
        <v>2024</v>
      </c>
      <c r="J640" s="4"/>
      <c r="K640" s="1" t="s">
        <v>87</v>
      </c>
    </row>
    <row r="641" spans="1:13">
      <c r="A641" s="1" t="s">
        <v>236</v>
      </c>
      <c r="B641" s="7">
        <v>45392</v>
      </c>
      <c r="C641" s="1" t="s">
        <v>12</v>
      </c>
      <c r="D641" s="1">
        <v>38600</v>
      </c>
      <c r="E641" s="4">
        <v>16722.689999999999</v>
      </c>
      <c r="F641" s="4">
        <f t="shared" si="15"/>
        <v>3177.3110999999999</v>
      </c>
      <c r="G641" s="4">
        <f t="shared" si="16"/>
        <v>19900.001099999998</v>
      </c>
      <c r="H641" s="1">
        <f t="shared" si="17"/>
        <v>4</v>
      </c>
      <c r="I641" s="1">
        <f t="shared" si="18"/>
        <v>2024</v>
      </c>
      <c r="J641" s="4"/>
      <c r="K641" s="1" t="s">
        <v>87</v>
      </c>
    </row>
    <row r="642" spans="1:13">
      <c r="A642" s="1" t="s">
        <v>236</v>
      </c>
      <c r="B642" s="7">
        <v>45392</v>
      </c>
      <c r="C642" s="1" t="s">
        <v>12</v>
      </c>
      <c r="D642" s="1">
        <v>38602</v>
      </c>
      <c r="E642" s="4">
        <v>4117.6499999999996</v>
      </c>
      <c r="F642" s="4">
        <f t="shared" si="15"/>
        <v>782.35349999999994</v>
      </c>
      <c r="G642" s="4">
        <f t="shared" si="16"/>
        <v>4900.0034999999998</v>
      </c>
      <c r="H642" s="1">
        <f t="shared" si="17"/>
        <v>4</v>
      </c>
      <c r="I642" s="1">
        <f t="shared" si="18"/>
        <v>2024</v>
      </c>
      <c r="J642" s="4"/>
      <c r="K642" s="1" t="s">
        <v>87</v>
      </c>
    </row>
    <row r="643" spans="1:13">
      <c r="A643" s="1" t="s">
        <v>103</v>
      </c>
      <c r="B643" s="7">
        <v>45392</v>
      </c>
      <c r="C643" s="1" t="s">
        <v>12</v>
      </c>
      <c r="D643" s="1">
        <v>327364</v>
      </c>
      <c r="E643" s="4">
        <v>164169.75</v>
      </c>
      <c r="F643" s="4">
        <f t="shared" si="15"/>
        <v>31192.252499999999</v>
      </c>
      <c r="G643" s="4">
        <f t="shared" si="16"/>
        <v>195362.0025</v>
      </c>
      <c r="H643" s="1">
        <f t="shared" si="17"/>
        <v>4</v>
      </c>
      <c r="I643" s="1">
        <f t="shared" si="18"/>
        <v>2024</v>
      </c>
      <c r="J643" s="4"/>
      <c r="K643" s="1" t="s">
        <v>87</v>
      </c>
    </row>
    <row r="644" spans="1:13">
      <c r="A644" s="1" t="s">
        <v>291</v>
      </c>
      <c r="B644" s="7">
        <v>45393</v>
      </c>
      <c r="C644" s="1" t="s">
        <v>12</v>
      </c>
      <c r="D644" s="1">
        <v>8300</v>
      </c>
      <c r="E644" s="4">
        <v>2689.08</v>
      </c>
      <c r="F644" s="4">
        <f t="shared" si="15"/>
        <v>510.92520000000002</v>
      </c>
      <c r="G644" s="4">
        <f t="shared" si="16"/>
        <v>3200.0052000000001</v>
      </c>
      <c r="H644" s="1">
        <f t="shared" si="17"/>
        <v>4</v>
      </c>
      <c r="I644" s="1">
        <f t="shared" si="18"/>
        <v>2024</v>
      </c>
      <c r="J644" s="4"/>
      <c r="K644" s="1" t="s">
        <v>87</v>
      </c>
    </row>
    <row r="645" spans="1:13">
      <c r="A645" s="1" t="s">
        <v>28</v>
      </c>
      <c r="B645" s="7">
        <v>45394</v>
      </c>
      <c r="C645" s="1" t="s">
        <v>12</v>
      </c>
      <c r="D645" s="1">
        <v>890351</v>
      </c>
      <c r="E645" s="4">
        <v>7697.48</v>
      </c>
      <c r="F645" s="4">
        <f t="shared" si="15"/>
        <v>1462.5211999999999</v>
      </c>
      <c r="G645" s="4">
        <f t="shared" si="16"/>
        <v>9160.0011999999988</v>
      </c>
      <c r="H645" s="1">
        <f t="shared" si="17"/>
        <v>4</v>
      </c>
      <c r="I645" s="1">
        <f t="shared" si="18"/>
        <v>2024</v>
      </c>
      <c r="J645" s="4"/>
      <c r="K645" s="1" t="s">
        <v>87</v>
      </c>
    </row>
    <row r="646" spans="1:13">
      <c r="A646" s="1" t="s">
        <v>291</v>
      </c>
      <c r="B646" s="7">
        <v>45395</v>
      </c>
      <c r="C646" s="1" t="s">
        <v>12</v>
      </c>
      <c r="D646" s="1">
        <v>8312</v>
      </c>
      <c r="E646" s="4">
        <v>7310.92</v>
      </c>
      <c r="F646" s="4">
        <f t="shared" si="15"/>
        <v>1389.0748000000001</v>
      </c>
      <c r="G646" s="4">
        <f t="shared" si="16"/>
        <v>8699.9948000000004</v>
      </c>
      <c r="H646" s="1">
        <f t="shared" si="17"/>
        <v>4</v>
      </c>
      <c r="I646" s="1">
        <f t="shared" si="18"/>
        <v>2024</v>
      </c>
      <c r="J646" s="4"/>
      <c r="K646" s="1" t="s">
        <v>87</v>
      </c>
    </row>
    <row r="647" spans="1:13">
      <c r="A647" s="1" t="s">
        <v>350</v>
      </c>
      <c r="B647" s="7">
        <v>45395</v>
      </c>
      <c r="C647" s="1" t="s">
        <v>12</v>
      </c>
      <c r="D647" s="1">
        <v>91356</v>
      </c>
      <c r="E647" s="4">
        <v>7563.03</v>
      </c>
      <c r="F647" s="4">
        <f t="shared" si="15"/>
        <v>1436.9757</v>
      </c>
      <c r="G647" s="4">
        <f t="shared" si="16"/>
        <v>9000.0056999999997</v>
      </c>
      <c r="H647" s="1">
        <f t="shared" si="17"/>
        <v>4</v>
      </c>
      <c r="I647" s="1">
        <f t="shared" si="18"/>
        <v>2024</v>
      </c>
      <c r="J647" s="4"/>
      <c r="K647" s="1" t="s">
        <v>87</v>
      </c>
    </row>
    <row r="648" spans="1:13">
      <c r="A648" s="1" t="s">
        <v>14</v>
      </c>
      <c r="B648" s="7">
        <v>45397</v>
      </c>
      <c r="C648" s="1" t="s">
        <v>12</v>
      </c>
      <c r="D648" s="1">
        <v>48200</v>
      </c>
      <c r="E648" s="4">
        <v>323000</v>
      </c>
      <c r="F648" s="4">
        <f t="shared" si="15"/>
        <v>61370</v>
      </c>
      <c r="G648" s="4">
        <f t="shared" si="16"/>
        <v>384370</v>
      </c>
      <c r="H648" s="1">
        <f t="shared" si="17"/>
        <v>4</v>
      </c>
      <c r="I648" s="1">
        <f t="shared" si="18"/>
        <v>2024</v>
      </c>
      <c r="J648" s="4"/>
      <c r="K648" s="1" t="s">
        <v>87</v>
      </c>
    </row>
    <row r="649" spans="1:13">
      <c r="A649" s="1" t="s">
        <v>368</v>
      </c>
      <c r="B649" s="7">
        <v>45398</v>
      </c>
      <c r="C649" s="1" t="s">
        <v>12</v>
      </c>
      <c r="D649" s="1">
        <v>34623</v>
      </c>
      <c r="E649" s="4">
        <v>100848.74</v>
      </c>
      <c r="F649" s="4">
        <f t="shared" si="15"/>
        <v>19161.260600000001</v>
      </c>
      <c r="G649" s="4">
        <f t="shared" si="16"/>
        <v>120010.0006</v>
      </c>
      <c r="H649" s="1">
        <f t="shared" si="17"/>
        <v>4</v>
      </c>
      <c r="I649" s="1">
        <f t="shared" si="18"/>
        <v>2024</v>
      </c>
      <c r="J649" s="4"/>
      <c r="K649" s="1" t="s">
        <v>87</v>
      </c>
      <c r="L649" s="1" t="s">
        <v>371</v>
      </c>
      <c r="M649" s="1" t="s">
        <v>372</v>
      </c>
    </row>
    <row r="650" spans="1:13">
      <c r="A650" s="1" t="s">
        <v>103</v>
      </c>
      <c r="B650" s="7">
        <v>45398</v>
      </c>
      <c r="C650" s="1" t="s">
        <v>12</v>
      </c>
      <c r="D650" s="1">
        <v>328031</v>
      </c>
      <c r="E650" s="4">
        <v>54310.080000000002</v>
      </c>
      <c r="F650" s="4">
        <f t="shared" si="15"/>
        <v>10318.915200000001</v>
      </c>
      <c r="G650" s="4">
        <f t="shared" si="16"/>
        <v>64628.995200000005</v>
      </c>
      <c r="H650" s="1">
        <f t="shared" si="17"/>
        <v>4</v>
      </c>
      <c r="I650" s="1">
        <f t="shared" si="18"/>
        <v>2024</v>
      </c>
      <c r="J650" s="4"/>
      <c r="K650" s="1" t="s">
        <v>87</v>
      </c>
    </row>
    <row r="651" spans="1:13">
      <c r="A651" s="1" t="s">
        <v>374</v>
      </c>
      <c r="B651" s="7">
        <v>45398</v>
      </c>
      <c r="C651" s="1" t="s">
        <v>12</v>
      </c>
      <c r="D651" s="1">
        <v>61510</v>
      </c>
      <c r="E651" s="4">
        <v>17651.259999999998</v>
      </c>
      <c r="F651" s="4">
        <f t="shared" si="15"/>
        <v>3353.7393999999999</v>
      </c>
      <c r="G651" s="4">
        <f t="shared" si="16"/>
        <v>21004.999399999997</v>
      </c>
      <c r="H651" s="1">
        <f t="shared" si="17"/>
        <v>4</v>
      </c>
      <c r="I651" s="1">
        <f t="shared" si="18"/>
        <v>2024</v>
      </c>
      <c r="J651" s="4"/>
      <c r="K651" s="1" t="s">
        <v>87</v>
      </c>
    </row>
    <row r="652" spans="1:13">
      <c r="A652" s="1" t="s">
        <v>375</v>
      </c>
      <c r="B652" s="7">
        <v>45399</v>
      </c>
      <c r="C652" s="1" t="s">
        <v>12</v>
      </c>
      <c r="D652" s="1">
        <v>6041</v>
      </c>
      <c r="E652" s="4">
        <v>25193.279999999999</v>
      </c>
      <c r="F652" s="4">
        <f t="shared" si="15"/>
        <v>4786.7231999999995</v>
      </c>
      <c r="G652" s="4">
        <f t="shared" si="16"/>
        <v>29980.003199999999</v>
      </c>
      <c r="H652" s="1">
        <f t="shared" si="17"/>
        <v>4</v>
      </c>
      <c r="I652" s="1">
        <f t="shared" si="18"/>
        <v>2024</v>
      </c>
      <c r="J652" s="4"/>
      <c r="K652" s="1" t="s">
        <v>87</v>
      </c>
    </row>
    <row r="653" spans="1:13">
      <c r="A653" s="1" t="s">
        <v>28</v>
      </c>
      <c r="B653" s="7">
        <v>45399</v>
      </c>
      <c r="C653" s="1" t="s">
        <v>12</v>
      </c>
      <c r="D653" s="1">
        <v>890426</v>
      </c>
      <c r="E653" s="4">
        <v>6495.8</v>
      </c>
      <c r="F653" s="4">
        <f t="shared" si="15"/>
        <v>1234.202</v>
      </c>
      <c r="G653" s="4">
        <f t="shared" si="16"/>
        <v>7730.0020000000004</v>
      </c>
      <c r="H653" s="1">
        <f t="shared" si="17"/>
        <v>4</v>
      </c>
      <c r="I653" s="1">
        <f t="shared" si="18"/>
        <v>2024</v>
      </c>
      <c r="J653" s="4"/>
      <c r="K653" s="1" t="s">
        <v>87</v>
      </c>
    </row>
    <row r="654" spans="1:13">
      <c r="A654" s="1" t="s">
        <v>366</v>
      </c>
      <c r="B654" s="7">
        <v>45400</v>
      </c>
      <c r="C654" s="1" t="s">
        <v>12</v>
      </c>
      <c r="D654" s="1">
        <v>97932</v>
      </c>
      <c r="E654" s="4">
        <v>39495.79</v>
      </c>
      <c r="F654" s="4">
        <f t="shared" si="15"/>
        <v>7504.2001</v>
      </c>
      <c r="G654" s="4">
        <f t="shared" si="16"/>
        <v>46999.990100000003</v>
      </c>
      <c r="H654" s="1">
        <f t="shared" si="17"/>
        <v>4</v>
      </c>
      <c r="I654" s="1">
        <f t="shared" si="18"/>
        <v>2024</v>
      </c>
      <c r="J654" s="4"/>
      <c r="K654" s="1" t="s">
        <v>87</v>
      </c>
    </row>
    <row r="655" spans="1:13">
      <c r="A655" s="1" t="s">
        <v>368</v>
      </c>
      <c r="B655" s="7">
        <v>45400</v>
      </c>
      <c r="C655" s="1" t="s">
        <v>12</v>
      </c>
      <c r="D655" s="1">
        <v>34797</v>
      </c>
      <c r="E655" s="4">
        <v>20596.64</v>
      </c>
      <c r="F655" s="4">
        <f t="shared" si="15"/>
        <v>3913.3615999999997</v>
      </c>
      <c r="G655" s="4">
        <f t="shared" si="16"/>
        <v>24510.0016</v>
      </c>
      <c r="H655" s="1">
        <f t="shared" si="17"/>
        <v>4</v>
      </c>
      <c r="I655" s="1">
        <f t="shared" si="18"/>
        <v>2024</v>
      </c>
      <c r="J655" s="4"/>
      <c r="K655" s="1" t="s">
        <v>87</v>
      </c>
    </row>
    <row r="656" spans="1:13">
      <c r="A656" s="1" t="s">
        <v>376</v>
      </c>
      <c r="B656" s="7">
        <v>45405</v>
      </c>
      <c r="C656" s="1" t="s">
        <v>12</v>
      </c>
      <c r="D656" s="1">
        <v>481410</v>
      </c>
      <c r="E656" s="4">
        <v>127394.96</v>
      </c>
      <c r="F656" s="4">
        <f t="shared" si="15"/>
        <v>24205.042400000002</v>
      </c>
      <c r="G656" s="4">
        <f t="shared" si="16"/>
        <v>151600.0024</v>
      </c>
      <c r="H656" s="1">
        <f t="shared" si="17"/>
        <v>4</v>
      </c>
      <c r="I656" s="1">
        <f t="shared" si="18"/>
        <v>2024</v>
      </c>
      <c r="J656" s="4"/>
      <c r="K656" s="1" t="s">
        <v>87</v>
      </c>
    </row>
    <row r="657" spans="1:11">
      <c r="A657" s="1" t="s">
        <v>166</v>
      </c>
      <c r="B657" s="7">
        <v>45414</v>
      </c>
      <c r="C657" s="1" t="s">
        <v>12</v>
      </c>
      <c r="D657" s="1">
        <v>71632</v>
      </c>
      <c r="E657" s="4">
        <v>12521.85</v>
      </c>
      <c r="F657" s="4">
        <f t="shared" si="15"/>
        <v>2379.1514999999999</v>
      </c>
      <c r="G657" s="4">
        <f t="shared" si="16"/>
        <v>14901.0015</v>
      </c>
      <c r="H657" s="1">
        <f t="shared" si="17"/>
        <v>5</v>
      </c>
      <c r="I657" s="1">
        <f t="shared" si="18"/>
        <v>2024</v>
      </c>
      <c r="J657" s="4"/>
      <c r="K657" s="1" t="s">
        <v>87</v>
      </c>
    </row>
    <row r="658" spans="1:11">
      <c r="A658" s="1" t="s">
        <v>236</v>
      </c>
      <c r="B658" s="7">
        <v>45412</v>
      </c>
      <c r="C658" s="1" t="s">
        <v>12</v>
      </c>
      <c r="D658" s="1">
        <v>39101</v>
      </c>
      <c r="E658" s="4">
        <v>58991.6</v>
      </c>
      <c r="F658" s="4">
        <f t="shared" si="15"/>
        <v>11208.404</v>
      </c>
      <c r="G658" s="4">
        <f t="shared" si="16"/>
        <v>70200.004000000001</v>
      </c>
      <c r="H658" s="1">
        <f t="shared" si="17"/>
        <v>4</v>
      </c>
      <c r="I658" s="1">
        <f t="shared" si="18"/>
        <v>2024</v>
      </c>
      <c r="J658" s="4"/>
      <c r="K658" s="1" t="s">
        <v>87</v>
      </c>
    </row>
    <row r="659" spans="1:11">
      <c r="A659" s="1" t="s">
        <v>203</v>
      </c>
      <c r="B659" s="7">
        <v>45416</v>
      </c>
      <c r="C659" s="1" t="s">
        <v>12</v>
      </c>
      <c r="D659" s="1">
        <v>39777229</v>
      </c>
      <c r="E659" s="4">
        <v>24837.82</v>
      </c>
      <c r="F659" s="4">
        <f t="shared" si="15"/>
        <v>4719.1858000000002</v>
      </c>
      <c r="G659" s="4">
        <f t="shared" si="16"/>
        <v>29557.005799999999</v>
      </c>
      <c r="H659" s="1">
        <f t="shared" si="17"/>
        <v>5</v>
      </c>
      <c r="I659" s="1">
        <f t="shared" si="18"/>
        <v>2024</v>
      </c>
      <c r="J659" s="4"/>
      <c r="K659" s="1" t="s">
        <v>87</v>
      </c>
    </row>
    <row r="660" spans="1:11">
      <c r="A660" s="1" t="s">
        <v>377</v>
      </c>
      <c r="B660" s="7">
        <v>45418</v>
      </c>
      <c r="C660" s="1" t="s">
        <v>12</v>
      </c>
      <c r="D660" s="1">
        <v>1295</v>
      </c>
      <c r="E660" s="4">
        <v>17200</v>
      </c>
      <c r="F660" s="4">
        <f t="shared" si="15"/>
        <v>3268</v>
      </c>
      <c r="G660" s="4">
        <f t="shared" si="16"/>
        <v>20468</v>
      </c>
      <c r="H660" s="1">
        <f t="shared" si="17"/>
        <v>5</v>
      </c>
      <c r="I660" s="1">
        <f t="shared" si="18"/>
        <v>2024</v>
      </c>
      <c r="J660" s="4"/>
      <c r="K660" s="1" t="s">
        <v>87</v>
      </c>
    </row>
    <row r="661" spans="1:11">
      <c r="A661" s="1" t="s">
        <v>68</v>
      </c>
      <c r="B661" s="7">
        <v>45419</v>
      </c>
      <c r="C661" s="1" t="s">
        <v>12</v>
      </c>
      <c r="D661" s="1">
        <v>250826</v>
      </c>
      <c r="E661" s="4">
        <v>187450.42</v>
      </c>
      <c r="F661" s="4">
        <f t="shared" si="15"/>
        <v>35615.5798</v>
      </c>
      <c r="G661" s="4">
        <f t="shared" si="16"/>
        <v>223065.99980000002</v>
      </c>
      <c r="H661" s="1">
        <f t="shared" si="17"/>
        <v>5</v>
      </c>
      <c r="I661" s="1">
        <f t="shared" si="18"/>
        <v>2024</v>
      </c>
      <c r="J661" s="4"/>
      <c r="K661" s="1" t="s">
        <v>87</v>
      </c>
    </row>
    <row r="662" spans="1:11">
      <c r="A662" s="1" t="s">
        <v>28</v>
      </c>
      <c r="B662" s="7">
        <v>45420</v>
      </c>
      <c r="C662" s="1" t="s">
        <v>12</v>
      </c>
      <c r="D662" s="1">
        <v>902559</v>
      </c>
      <c r="E662" s="4">
        <v>12731.09</v>
      </c>
      <c r="F662" s="4">
        <f t="shared" si="15"/>
        <v>2418.9070999999999</v>
      </c>
      <c r="G662" s="4">
        <f t="shared" si="16"/>
        <v>15149.997100000001</v>
      </c>
      <c r="H662" s="1">
        <f t="shared" si="17"/>
        <v>5</v>
      </c>
      <c r="I662" s="1">
        <f t="shared" si="18"/>
        <v>2024</v>
      </c>
      <c r="J662" s="4"/>
      <c r="K662" s="1" t="s">
        <v>87</v>
      </c>
    </row>
    <row r="663" spans="1:11">
      <c r="A663" s="1" t="s">
        <v>236</v>
      </c>
      <c r="B663" s="7">
        <v>45421</v>
      </c>
      <c r="C663" s="1" t="s">
        <v>12</v>
      </c>
      <c r="D663" s="1">
        <v>39273</v>
      </c>
      <c r="E663" s="4">
        <v>21764.71</v>
      </c>
      <c r="F663" s="4">
        <f t="shared" si="15"/>
        <v>4135.2948999999999</v>
      </c>
      <c r="G663" s="4">
        <f t="shared" si="16"/>
        <v>25900.0049</v>
      </c>
      <c r="H663" s="1">
        <f t="shared" si="17"/>
        <v>5</v>
      </c>
      <c r="I663" s="1">
        <f t="shared" si="18"/>
        <v>2024</v>
      </c>
      <c r="J663" s="4"/>
      <c r="K663" s="1" t="s">
        <v>87</v>
      </c>
    </row>
    <row r="664" spans="1:11">
      <c r="A664" s="1" t="s">
        <v>378</v>
      </c>
      <c r="B664" s="7">
        <v>45421</v>
      </c>
      <c r="C664" s="1" t="s">
        <v>12</v>
      </c>
      <c r="D664" s="1">
        <v>4827772</v>
      </c>
      <c r="E664" s="4">
        <v>18151.259999999998</v>
      </c>
      <c r="F664" s="4">
        <f t="shared" si="15"/>
        <v>3448.7393999999999</v>
      </c>
      <c r="G664" s="4">
        <f t="shared" si="16"/>
        <v>21599.999399999997</v>
      </c>
      <c r="H664" s="1">
        <f t="shared" si="17"/>
        <v>5</v>
      </c>
      <c r="I664" s="1">
        <f t="shared" si="18"/>
        <v>2024</v>
      </c>
      <c r="J664" s="4"/>
      <c r="K664" s="1" t="s">
        <v>87</v>
      </c>
    </row>
    <row r="665" spans="1:11">
      <c r="A665" s="1" t="s">
        <v>202</v>
      </c>
      <c r="B665" s="7">
        <v>45422</v>
      </c>
      <c r="C665" s="1" t="s">
        <v>12</v>
      </c>
      <c r="D665" s="1">
        <v>1792300</v>
      </c>
      <c r="E665" s="4">
        <v>1104.2</v>
      </c>
      <c r="F665" s="4">
        <f t="shared" si="15"/>
        <v>209.798</v>
      </c>
      <c r="G665" s="4">
        <f t="shared" si="16"/>
        <v>1313.998</v>
      </c>
      <c r="H665" s="1">
        <f t="shared" si="17"/>
        <v>5</v>
      </c>
      <c r="I665" s="1">
        <f t="shared" si="18"/>
        <v>2024</v>
      </c>
      <c r="J665" s="4"/>
      <c r="K665" s="1" t="s">
        <v>87</v>
      </c>
    </row>
    <row r="666" spans="1:11">
      <c r="A666" s="1" t="s">
        <v>236</v>
      </c>
      <c r="B666" s="7">
        <v>45423</v>
      </c>
      <c r="C666" s="1" t="s">
        <v>12</v>
      </c>
      <c r="D666" s="1">
        <v>39347</v>
      </c>
      <c r="E666" s="4">
        <v>3950.42</v>
      </c>
      <c r="F666" s="4">
        <f t="shared" si="15"/>
        <v>750.57979999999998</v>
      </c>
      <c r="G666" s="4">
        <f t="shared" si="16"/>
        <v>4700.9997999999996</v>
      </c>
      <c r="H666" s="1">
        <f t="shared" si="17"/>
        <v>5</v>
      </c>
      <c r="I666" s="1">
        <f t="shared" si="18"/>
        <v>2024</v>
      </c>
      <c r="J666" s="4"/>
      <c r="K666" s="1" t="s">
        <v>87</v>
      </c>
    </row>
    <row r="667" spans="1:11">
      <c r="A667" s="1" t="s">
        <v>236</v>
      </c>
      <c r="B667" s="7">
        <v>45423</v>
      </c>
      <c r="C667" s="1" t="s">
        <v>12</v>
      </c>
      <c r="D667" s="1">
        <v>39348</v>
      </c>
      <c r="E667" s="4">
        <v>14201.68</v>
      </c>
      <c r="F667" s="4">
        <f t="shared" si="15"/>
        <v>2698.3191999999999</v>
      </c>
      <c r="G667" s="4">
        <f t="shared" si="16"/>
        <v>16899.999199999998</v>
      </c>
      <c r="H667" s="1">
        <f t="shared" si="17"/>
        <v>5</v>
      </c>
      <c r="I667" s="1">
        <f t="shared" si="18"/>
        <v>2024</v>
      </c>
      <c r="J667" s="4"/>
      <c r="K667" s="1" t="s">
        <v>87</v>
      </c>
    </row>
    <row r="668" spans="1:11">
      <c r="A668" s="1" t="s">
        <v>291</v>
      </c>
      <c r="B668" s="7">
        <v>45425</v>
      </c>
      <c r="C668" s="1" t="s">
        <v>12</v>
      </c>
      <c r="D668" s="1">
        <v>8557</v>
      </c>
      <c r="E668" s="4">
        <v>16806.72</v>
      </c>
      <c r="F668" s="4">
        <f t="shared" si="15"/>
        <v>3193.2768000000001</v>
      </c>
      <c r="G668" s="4">
        <f t="shared" si="16"/>
        <v>19999.996800000001</v>
      </c>
      <c r="H668" s="1">
        <f t="shared" si="17"/>
        <v>5</v>
      </c>
      <c r="I668" s="1">
        <f t="shared" si="18"/>
        <v>2024</v>
      </c>
      <c r="J668" s="4"/>
      <c r="K668" s="1" t="s">
        <v>87</v>
      </c>
    </row>
    <row r="669" spans="1:11">
      <c r="A669" s="1" t="s">
        <v>291</v>
      </c>
      <c r="B669" s="7">
        <v>45425</v>
      </c>
      <c r="C669" s="1" t="s">
        <v>12</v>
      </c>
      <c r="D669" s="1">
        <v>8559</v>
      </c>
      <c r="E669" s="4">
        <v>7142.86</v>
      </c>
      <c r="F669" s="4">
        <f t="shared" si="15"/>
        <v>1357.1433999999999</v>
      </c>
      <c r="G669" s="4">
        <f t="shared" si="16"/>
        <v>8500.0033999999996</v>
      </c>
      <c r="H669" s="1">
        <f t="shared" si="17"/>
        <v>5</v>
      </c>
      <c r="I669" s="1">
        <f t="shared" si="18"/>
        <v>2024</v>
      </c>
      <c r="J669" s="4"/>
      <c r="K669" s="1" t="s">
        <v>87</v>
      </c>
    </row>
    <row r="670" spans="1:11">
      <c r="A670" s="1" t="s">
        <v>236</v>
      </c>
      <c r="B670" s="7">
        <v>45426</v>
      </c>
      <c r="C670" s="1" t="s">
        <v>12</v>
      </c>
      <c r="D670" s="1">
        <v>39379</v>
      </c>
      <c r="E670" s="4">
        <v>8404.2000000000007</v>
      </c>
      <c r="F670" s="4">
        <f t="shared" si="15"/>
        <v>1596.7980000000002</v>
      </c>
      <c r="G670" s="4">
        <f t="shared" si="16"/>
        <v>10000.998000000001</v>
      </c>
      <c r="H670" s="1">
        <f t="shared" si="17"/>
        <v>5</v>
      </c>
      <c r="I670" s="1">
        <f t="shared" si="18"/>
        <v>2024</v>
      </c>
      <c r="J670" s="4"/>
      <c r="K670" s="1" t="s">
        <v>87</v>
      </c>
    </row>
    <row r="671" spans="1:11">
      <c r="A671" s="1" t="s">
        <v>368</v>
      </c>
      <c r="B671" s="7">
        <v>45426</v>
      </c>
      <c r="C671" s="1" t="s">
        <v>12</v>
      </c>
      <c r="D671" s="1">
        <v>36417</v>
      </c>
      <c r="E671" s="4">
        <v>174563</v>
      </c>
      <c r="F671" s="4">
        <f t="shared" si="15"/>
        <v>33166.97</v>
      </c>
      <c r="G671" s="4">
        <f t="shared" si="16"/>
        <v>207729.97</v>
      </c>
      <c r="H671" s="1">
        <f t="shared" si="17"/>
        <v>5</v>
      </c>
      <c r="I671" s="1">
        <f t="shared" si="18"/>
        <v>2024</v>
      </c>
      <c r="J671" s="4"/>
      <c r="K671" s="1" t="s">
        <v>87</v>
      </c>
    </row>
    <row r="672" spans="1:11">
      <c r="A672" s="1" t="s">
        <v>379</v>
      </c>
      <c r="B672" s="7">
        <v>45428</v>
      </c>
      <c r="C672" s="1" t="s">
        <v>12</v>
      </c>
      <c r="D672" s="1">
        <v>92444</v>
      </c>
      <c r="E672" s="4">
        <v>4453.78</v>
      </c>
      <c r="F672" s="4">
        <f t="shared" si="15"/>
        <v>846.21819999999991</v>
      </c>
      <c r="G672" s="4">
        <f t="shared" si="16"/>
        <v>5299.9982</v>
      </c>
      <c r="H672" s="1">
        <f t="shared" si="17"/>
        <v>5</v>
      </c>
      <c r="I672" s="1">
        <f t="shared" si="18"/>
        <v>2024</v>
      </c>
      <c r="J672" s="4"/>
      <c r="K672" s="1" t="s">
        <v>87</v>
      </c>
    </row>
    <row r="673" spans="1:12">
      <c r="A673" s="1" t="s">
        <v>236</v>
      </c>
      <c r="B673" s="7">
        <v>45428</v>
      </c>
      <c r="C673" s="1" t="s">
        <v>12</v>
      </c>
      <c r="D673" s="1">
        <v>39426</v>
      </c>
      <c r="E673" s="4">
        <v>30168.07</v>
      </c>
      <c r="F673" s="4">
        <f t="shared" si="15"/>
        <v>5731.9332999999997</v>
      </c>
      <c r="G673" s="4">
        <f t="shared" si="16"/>
        <v>35900.003299999997</v>
      </c>
      <c r="H673" s="1">
        <f t="shared" si="17"/>
        <v>5</v>
      </c>
      <c r="I673" s="1">
        <f t="shared" si="18"/>
        <v>2024</v>
      </c>
      <c r="J673" s="4"/>
      <c r="K673" s="1" t="s">
        <v>87</v>
      </c>
      <c r="L673" s="1" t="s">
        <v>380</v>
      </c>
    </row>
    <row r="674" spans="1:12">
      <c r="A674" s="1" t="s">
        <v>368</v>
      </c>
      <c r="B674" s="7">
        <v>45429</v>
      </c>
      <c r="C674" s="1" t="s">
        <v>12</v>
      </c>
      <c r="D674" s="1">
        <v>36661</v>
      </c>
      <c r="E674" s="4">
        <v>63865.55</v>
      </c>
      <c r="F674" s="4">
        <f t="shared" si="15"/>
        <v>12134.4545</v>
      </c>
      <c r="G674" s="4">
        <f t="shared" si="16"/>
        <v>76000.00450000001</v>
      </c>
      <c r="H674" s="1">
        <f t="shared" si="17"/>
        <v>5</v>
      </c>
      <c r="I674" s="1">
        <f t="shared" si="18"/>
        <v>2024</v>
      </c>
      <c r="J674" s="4"/>
      <c r="K674" s="1" t="s">
        <v>87</v>
      </c>
    </row>
    <row r="675" spans="1:12">
      <c r="A675" s="1" t="s">
        <v>291</v>
      </c>
      <c r="B675" s="7">
        <v>45430</v>
      </c>
      <c r="C675" s="1" t="s">
        <v>12</v>
      </c>
      <c r="D675" s="1">
        <v>8607</v>
      </c>
      <c r="E675" s="4">
        <v>19160</v>
      </c>
      <c r="F675" s="4">
        <f t="shared" si="15"/>
        <v>3640.4</v>
      </c>
      <c r="G675" s="4">
        <f t="shared" si="16"/>
        <v>22800.400000000001</v>
      </c>
      <c r="H675" s="1">
        <f t="shared" si="17"/>
        <v>5</v>
      </c>
      <c r="I675" s="1">
        <f t="shared" si="18"/>
        <v>2024</v>
      </c>
      <c r="J675" s="4"/>
      <c r="K675" s="1" t="s">
        <v>87</v>
      </c>
    </row>
    <row r="676" spans="1:12">
      <c r="A676" s="1" t="s">
        <v>236</v>
      </c>
      <c r="B676" s="7">
        <v>45432</v>
      </c>
      <c r="C676" s="1" t="s">
        <v>12</v>
      </c>
      <c r="D676" s="1">
        <v>39496</v>
      </c>
      <c r="E676" s="4">
        <v>82184.03</v>
      </c>
      <c r="F676" s="4">
        <f t="shared" si="15"/>
        <v>15614.965700000001</v>
      </c>
      <c r="G676" s="4">
        <f t="shared" si="16"/>
        <v>97798.995699999999</v>
      </c>
      <c r="H676" s="1">
        <f t="shared" si="17"/>
        <v>5</v>
      </c>
      <c r="I676" s="1">
        <f t="shared" si="18"/>
        <v>2024</v>
      </c>
      <c r="J676" s="4"/>
      <c r="K676" s="1" t="s">
        <v>87</v>
      </c>
    </row>
    <row r="677" spans="1:12">
      <c r="A677" s="1" t="s">
        <v>381</v>
      </c>
      <c r="B677" s="7">
        <v>45432</v>
      </c>
      <c r="C677" s="1" t="s">
        <v>12</v>
      </c>
      <c r="D677" s="1">
        <v>21205</v>
      </c>
      <c r="E677" s="4">
        <v>40336</v>
      </c>
      <c r="F677" s="4">
        <f t="shared" si="15"/>
        <v>7663.84</v>
      </c>
      <c r="G677" s="4">
        <f t="shared" si="16"/>
        <v>47999.839999999997</v>
      </c>
      <c r="H677" s="1">
        <f t="shared" si="17"/>
        <v>5</v>
      </c>
      <c r="I677" s="1">
        <f t="shared" si="18"/>
        <v>2024</v>
      </c>
      <c r="J677" s="4"/>
      <c r="K677" s="1" t="s">
        <v>87</v>
      </c>
    </row>
    <row r="678" spans="1:12">
      <c r="A678" s="1" t="s">
        <v>236</v>
      </c>
      <c r="B678" s="3">
        <v>45436</v>
      </c>
      <c r="C678" s="1" t="s">
        <v>12</v>
      </c>
      <c r="D678" s="1">
        <v>39587</v>
      </c>
      <c r="E678" s="4">
        <v>20924.47</v>
      </c>
      <c r="F678" s="4">
        <f t="shared" si="15"/>
        <v>3975.6493000000005</v>
      </c>
      <c r="G678" s="4">
        <f t="shared" si="16"/>
        <v>24900.119300000002</v>
      </c>
      <c r="H678" s="1">
        <f t="shared" si="17"/>
        <v>5</v>
      </c>
      <c r="I678" s="1">
        <f t="shared" si="18"/>
        <v>2024</v>
      </c>
      <c r="J678" s="4"/>
      <c r="K678" s="1" t="s">
        <v>87</v>
      </c>
    </row>
    <row r="679" spans="1:12">
      <c r="A679" s="1" t="s">
        <v>166</v>
      </c>
      <c r="B679" s="7">
        <v>45440</v>
      </c>
      <c r="C679" s="1" t="s">
        <v>12</v>
      </c>
      <c r="D679" s="1">
        <v>73533</v>
      </c>
      <c r="E679" s="4">
        <v>12578.15</v>
      </c>
      <c r="F679" s="4">
        <f t="shared" si="15"/>
        <v>2389.8485000000001</v>
      </c>
      <c r="G679" s="4">
        <f t="shared" si="16"/>
        <v>14967.9985</v>
      </c>
      <c r="H679" s="1">
        <f t="shared" si="17"/>
        <v>5</v>
      </c>
      <c r="I679" s="1">
        <f t="shared" si="18"/>
        <v>2024</v>
      </c>
      <c r="J679" s="4"/>
      <c r="K679" s="1" t="s">
        <v>87</v>
      </c>
    </row>
    <row r="680" spans="1:12">
      <c r="A680" s="1" t="s">
        <v>291</v>
      </c>
      <c r="B680" s="7">
        <v>45446</v>
      </c>
      <c r="C680" s="1" t="s">
        <v>12</v>
      </c>
      <c r="D680" s="1">
        <v>8724</v>
      </c>
      <c r="E680" s="4">
        <v>57563.03</v>
      </c>
      <c r="F680" s="4">
        <f t="shared" si="15"/>
        <v>10936.975699999999</v>
      </c>
      <c r="G680" s="4">
        <f t="shared" si="16"/>
        <v>68500.005699999994</v>
      </c>
      <c r="H680" s="1">
        <f t="shared" si="17"/>
        <v>6</v>
      </c>
      <c r="I680" s="1">
        <f t="shared" si="18"/>
        <v>2024</v>
      </c>
      <c r="J680" s="4"/>
      <c r="K680" s="1" t="s">
        <v>87</v>
      </c>
      <c r="L680" s="1" t="s">
        <v>372</v>
      </c>
    </row>
    <row r="681" spans="1:12">
      <c r="A681" s="1" t="s">
        <v>203</v>
      </c>
      <c r="B681" s="7">
        <v>45448</v>
      </c>
      <c r="C681" s="1" t="s">
        <v>12</v>
      </c>
      <c r="D681" s="1">
        <v>40038135</v>
      </c>
      <c r="E681" s="4">
        <v>24966.39</v>
      </c>
      <c r="F681" s="4">
        <f t="shared" si="15"/>
        <v>4743.6140999999998</v>
      </c>
      <c r="G681" s="4">
        <f t="shared" si="16"/>
        <v>29710.004099999998</v>
      </c>
      <c r="H681" s="1">
        <f t="shared" si="17"/>
        <v>6</v>
      </c>
      <c r="I681" s="1">
        <f t="shared" si="18"/>
        <v>2024</v>
      </c>
      <c r="J681" s="4"/>
      <c r="K681" s="1" t="s">
        <v>87</v>
      </c>
    </row>
    <row r="682" spans="1:12">
      <c r="A682" s="1" t="s">
        <v>236</v>
      </c>
      <c r="B682" s="7">
        <v>45450</v>
      </c>
      <c r="C682" s="1" t="s">
        <v>12</v>
      </c>
      <c r="D682" s="1">
        <v>39906</v>
      </c>
      <c r="E682" s="4">
        <v>4621.8500000000004</v>
      </c>
      <c r="F682" s="4">
        <f t="shared" si="15"/>
        <v>878.15150000000006</v>
      </c>
      <c r="G682" s="4">
        <f t="shared" si="16"/>
        <v>5500.0015000000003</v>
      </c>
      <c r="H682" s="1">
        <f t="shared" si="17"/>
        <v>6</v>
      </c>
      <c r="I682" s="1">
        <f t="shared" si="18"/>
        <v>2024</v>
      </c>
      <c r="J682" s="4"/>
      <c r="K682" s="1" t="s">
        <v>87</v>
      </c>
    </row>
    <row r="683" spans="1:12">
      <c r="A683" s="1" t="s">
        <v>236</v>
      </c>
      <c r="B683" s="7">
        <v>45454</v>
      </c>
      <c r="C683" s="1" t="s">
        <v>12</v>
      </c>
      <c r="D683" s="1">
        <v>39991</v>
      </c>
      <c r="E683" s="4">
        <v>26637.82</v>
      </c>
      <c r="F683" s="4">
        <f t="shared" si="15"/>
        <v>5061.1858000000002</v>
      </c>
      <c r="G683" s="4">
        <f t="shared" si="16"/>
        <v>31699.005799999999</v>
      </c>
      <c r="H683" s="1">
        <f t="shared" si="17"/>
        <v>6</v>
      </c>
      <c r="I683" s="1">
        <f t="shared" si="18"/>
        <v>2024</v>
      </c>
      <c r="J683" s="4"/>
      <c r="K683" s="1" t="s">
        <v>87</v>
      </c>
      <c r="L683" s="1" t="s">
        <v>372</v>
      </c>
    </row>
    <row r="684" spans="1:12">
      <c r="A684" s="1" t="s">
        <v>382</v>
      </c>
      <c r="B684" s="7">
        <v>45460</v>
      </c>
      <c r="C684" s="1" t="s">
        <v>12</v>
      </c>
      <c r="D684" s="1">
        <v>507790</v>
      </c>
      <c r="E684" s="4">
        <v>17093.28</v>
      </c>
      <c r="F684" s="4">
        <f t="shared" si="15"/>
        <v>3247.7231999999999</v>
      </c>
      <c r="G684" s="4">
        <f t="shared" si="16"/>
        <v>20341.003199999999</v>
      </c>
      <c r="H684" s="1">
        <f t="shared" si="17"/>
        <v>6</v>
      </c>
      <c r="I684" s="1">
        <f t="shared" si="18"/>
        <v>2024</v>
      </c>
      <c r="J684" s="4"/>
      <c r="K684" s="1" t="s">
        <v>87</v>
      </c>
    </row>
    <row r="685" spans="1:12">
      <c r="A685" s="1" t="s">
        <v>383</v>
      </c>
      <c r="B685" s="7">
        <v>45462</v>
      </c>
      <c r="C685" s="1" t="s">
        <v>12</v>
      </c>
      <c r="D685" s="1">
        <v>12239422</v>
      </c>
      <c r="E685" s="4">
        <v>4369.75</v>
      </c>
      <c r="F685" s="4">
        <f t="shared" si="15"/>
        <v>830.25250000000005</v>
      </c>
      <c r="G685" s="4">
        <f t="shared" si="16"/>
        <v>5200.0025000000005</v>
      </c>
      <c r="H685" s="1">
        <f t="shared" si="17"/>
        <v>6</v>
      </c>
      <c r="I685" s="1">
        <f t="shared" si="18"/>
        <v>2024</v>
      </c>
      <c r="J685" s="4"/>
      <c r="K685" s="1" t="s">
        <v>87</v>
      </c>
    </row>
    <row r="686" spans="1:12">
      <c r="A686" s="1" t="s">
        <v>14</v>
      </c>
      <c r="B686" s="7">
        <v>45467</v>
      </c>
      <c r="C686" s="1" t="s">
        <v>12</v>
      </c>
      <c r="D686" s="1">
        <v>49404</v>
      </c>
      <c r="E686" s="4">
        <v>206600</v>
      </c>
      <c r="F686" s="4">
        <f t="shared" si="15"/>
        <v>39254</v>
      </c>
      <c r="G686" s="4">
        <f t="shared" si="16"/>
        <v>245854</v>
      </c>
      <c r="H686" s="1">
        <f t="shared" si="17"/>
        <v>6</v>
      </c>
      <c r="I686" s="1">
        <f t="shared" si="18"/>
        <v>2024</v>
      </c>
      <c r="J686" s="4"/>
      <c r="K686" s="1" t="s">
        <v>87</v>
      </c>
    </row>
    <row r="687" spans="1:12">
      <c r="A687" s="1" t="s">
        <v>384</v>
      </c>
      <c r="B687" s="7">
        <v>45468</v>
      </c>
      <c r="C687" s="1" t="s">
        <v>12</v>
      </c>
      <c r="D687" s="1">
        <v>5</v>
      </c>
      <c r="E687" s="4">
        <v>28966.39</v>
      </c>
      <c r="F687" s="4">
        <f t="shared" si="15"/>
        <v>5503.6140999999998</v>
      </c>
      <c r="G687" s="4">
        <f t="shared" si="16"/>
        <v>34470.004099999998</v>
      </c>
      <c r="H687" s="1">
        <f t="shared" si="17"/>
        <v>6</v>
      </c>
      <c r="I687" s="1">
        <f t="shared" si="18"/>
        <v>2024</v>
      </c>
      <c r="J687" s="4"/>
      <c r="K687" s="1" t="s">
        <v>87</v>
      </c>
    </row>
    <row r="688" spans="1:12">
      <c r="A688" s="1" t="s">
        <v>236</v>
      </c>
      <c r="B688" s="7">
        <v>45468</v>
      </c>
      <c r="C688" s="1" t="s">
        <v>12</v>
      </c>
      <c r="D688" s="1">
        <v>40298</v>
      </c>
      <c r="E688" s="4">
        <v>7394.98</v>
      </c>
      <c r="F688" s="4">
        <f t="shared" si="15"/>
        <v>1405.0462</v>
      </c>
      <c r="G688" s="4">
        <f t="shared" si="16"/>
        <v>8800.0262000000002</v>
      </c>
      <c r="H688" s="1">
        <f t="shared" si="17"/>
        <v>6</v>
      </c>
      <c r="I688" s="1">
        <f t="shared" si="18"/>
        <v>2024</v>
      </c>
      <c r="J688" s="4"/>
      <c r="K688" s="1" t="s">
        <v>87</v>
      </c>
    </row>
    <row r="689" spans="1:11">
      <c r="A689" s="1" t="s">
        <v>166</v>
      </c>
      <c r="B689" s="7">
        <v>45475</v>
      </c>
      <c r="C689" s="1" t="s">
        <v>12</v>
      </c>
      <c r="D689" s="1">
        <v>75397</v>
      </c>
      <c r="E689" s="4">
        <v>12626.89</v>
      </c>
      <c r="F689" s="4">
        <f t="shared" si="15"/>
        <v>2399.1091000000001</v>
      </c>
      <c r="G689" s="4">
        <f t="shared" si="16"/>
        <v>15025.999099999999</v>
      </c>
      <c r="H689" s="1">
        <f t="shared" si="17"/>
        <v>7</v>
      </c>
      <c r="I689" s="1">
        <f t="shared" si="18"/>
        <v>2024</v>
      </c>
      <c r="J689" s="4"/>
      <c r="K689" s="1" t="s">
        <v>87</v>
      </c>
    </row>
    <row r="690" spans="1:11">
      <c r="A690" s="1" t="s">
        <v>385</v>
      </c>
      <c r="B690" s="7">
        <v>45474</v>
      </c>
      <c r="C690" s="1" t="s">
        <v>12</v>
      </c>
      <c r="D690" s="1">
        <v>216338</v>
      </c>
      <c r="E690" s="4">
        <v>9263.8700000000008</v>
      </c>
      <c r="F690" s="4">
        <f t="shared" si="15"/>
        <v>1760.1353000000001</v>
      </c>
      <c r="G690" s="4">
        <f t="shared" si="16"/>
        <v>11024.005300000001</v>
      </c>
      <c r="H690" s="1">
        <f t="shared" si="17"/>
        <v>7</v>
      </c>
      <c r="I690" s="1">
        <f t="shared" si="18"/>
        <v>2024</v>
      </c>
      <c r="J690" s="4"/>
      <c r="K690" s="1" t="s">
        <v>87</v>
      </c>
    </row>
    <row r="691" spans="1:11">
      <c r="A691" s="1" t="s">
        <v>386</v>
      </c>
      <c r="C691" s="1"/>
      <c r="E691" s="4">
        <v>-9263.8700000000008</v>
      </c>
      <c r="F691" s="4">
        <f t="shared" si="15"/>
        <v>-1760.1353000000001</v>
      </c>
      <c r="G691" s="4">
        <f t="shared" si="16"/>
        <v>-11024.005300000001</v>
      </c>
      <c r="H691" s="1">
        <f t="shared" si="17"/>
        <v>1</v>
      </c>
      <c r="I691" s="1">
        <f t="shared" si="18"/>
        <v>1900</v>
      </c>
      <c r="J691" s="4"/>
      <c r="K691" s="1" t="s">
        <v>87</v>
      </c>
    </row>
    <row r="692" spans="1:11">
      <c r="A692" s="1" t="s">
        <v>236</v>
      </c>
      <c r="B692" s="7">
        <v>45475</v>
      </c>
      <c r="C692" s="1" t="s">
        <v>12</v>
      </c>
      <c r="D692" s="1">
        <v>40465</v>
      </c>
      <c r="E692" s="4">
        <v>11680.67</v>
      </c>
      <c r="F692" s="4">
        <f t="shared" si="15"/>
        <v>2219.3272999999999</v>
      </c>
      <c r="G692" s="4">
        <f t="shared" si="16"/>
        <v>13899.997299999999</v>
      </c>
      <c r="H692" s="1">
        <f t="shared" si="17"/>
        <v>7</v>
      </c>
      <c r="I692" s="1">
        <f t="shared" si="18"/>
        <v>2024</v>
      </c>
      <c r="J692" s="4"/>
      <c r="K692" s="1" t="s">
        <v>87</v>
      </c>
    </row>
    <row r="693" spans="1:11">
      <c r="A693" s="1" t="s">
        <v>291</v>
      </c>
      <c r="B693" s="7">
        <v>45476</v>
      </c>
      <c r="C693" s="1" t="s">
        <v>12</v>
      </c>
      <c r="D693" s="1">
        <v>8962</v>
      </c>
      <c r="E693" s="4">
        <v>8739.5</v>
      </c>
      <c r="F693" s="4">
        <f t="shared" si="15"/>
        <v>1660.5050000000001</v>
      </c>
      <c r="G693" s="4">
        <f t="shared" si="16"/>
        <v>10400.005000000001</v>
      </c>
      <c r="H693" s="1">
        <f t="shared" si="17"/>
        <v>7</v>
      </c>
      <c r="I693" s="1">
        <f t="shared" si="18"/>
        <v>2024</v>
      </c>
      <c r="J693" s="4"/>
      <c r="K693" s="1" t="s">
        <v>87</v>
      </c>
    </row>
    <row r="694" spans="1:11">
      <c r="A694" s="1" t="s">
        <v>236</v>
      </c>
      <c r="B694" s="7">
        <v>45476</v>
      </c>
      <c r="C694" s="1" t="s">
        <v>12</v>
      </c>
      <c r="D694" s="1">
        <v>40487</v>
      </c>
      <c r="E694" s="4">
        <v>58319</v>
      </c>
      <c r="F694" s="4">
        <f t="shared" si="15"/>
        <v>11080.61</v>
      </c>
      <c r="G694" s="4">
        <f t="shared" si="16"/>
        <v>69399.61</v>
      </c>
      <c r="H694" s="1">
        <f t="shared" si="17"/>
        <v>7</v>
      </c>
      <c r="I694" s="1">
        <f t="shared" si="18"/>
        <v>2024</v>
      </c>
      <c r="J694" s="4"/>
      <c r="K694" s="1" t="s">
        <v>87</v>
      </c>
    </row>
    <row r="695" spans="1:11">
      <c r="A695" s="1" t="s">
        <v>236</v>
      </c>
      <c r="B695" s="7">
        <v>45477</v>
      </c>
      <c r="C695" s="1" t="s">
        <v>12</v>
      </c>
      <c r="D695" s="1">
        <v>40504</v>
      </c>
      <c r="E695" s="4">
        <v>8067</v>
      </c>
      <c r="F695" s="4">
        <f t="shared" si="15"/>
        <v>1532.73</v>
      </c>
      <c r="G695" s="4">
        <f t="shared" si="16"/>
        <v>9599.73</v>
      </c>
      <c r="H695" s="1">
        <f t="shared" si="17"/>
        <v>7</v>
      </c>
      <c r="I695" s="1">
        <f t="shared" si="18"/>
        <v>2024</v>
      </c>
      <c r="J695" s="4"/>
      <c r="K695" s="1" t="s">
        <v>87</v>
      </c>
    </row>
    <row r="696" spans="1:11">
      <c r="A696" s="1" t="s">
        <v>379</v>
      </c>
      <c r="B696" s="7">
        <v>45477</v>
      </c>
      <c r="C696" s="1" t="s">
        <v>12</v>
      </c>
      <c r="D696" s="1">
        <v>94131</v>
      </c>
      <c r="E696" s="4">
        <v>23950</v>
      </c>
      <c r="F696" s="4">
        <f t="shared" si="15"/>
        <v>4550.5</v>
      </c>
      <c r="G696" s="4">
        <f t="shared" si="16"/>
        <v>28500.5</v>
      </c>
      <c r="H696" s="1">
        <f t="shared" si="17"/>
        <v>7</v>
      </c>
      <c r="I696" s="1">
        <f t="shared" si="18"/>
        <v>2024</v>
      </c>
      <c r="J696" s="4"/>
      <c r="K696" s="1" t="s">
        <v>87</v>
      </c>
    </row>
    <row r="697" spans="1:11">
      <c r="A697" s="1" t="s">
        <v>203</v>
      </c>
      <c r="B697" s="7">
        <v>45477</v>
      </c>
      <c r="C697" s="1" t="s">
        <v>12</v>
      </c>
      <c r="D697" s="1">
        <v>40538488</v>
      </c>
      <c r="E697" s="4">
        <v>25084.03</v>
      </c>
      <c r="F697" s="4">
        <f t="shared" si="15"/>
        <v>4765.9656999999997</v>
      </c>
      <c r="G697" s="4">
        <f t="shared" si="16"/>
        <v>29849.995699999999</v>
      </c>
      <c r="H697" s="1">
        <f t="shared" si="17"/>
        <v>7</v>
      </c>
      <c r="I697" s="1">
        <f t="shared" si="18"/>
        <v>2024</v>
      </c>
      <c r="J697" s="4"/>
      <c r="K697" s="1" t="s">
        <v>87</v>
      </c>
    </row>
    <row r="698" spans="1:11">
      <c r="A698" s="1" t="s">
        <v>236</v>
      </c>
      <c r="B698" s="7">
        <v>45481</v>
      </c>
      <c r="C698" s="1" t="s">
        <v>12</v>
      </c>
      <c r="D698" s="1">
        <v>40577</v>
      </c>
      <c r="E698" s="4">
        <v>97142.86</v>
      </c>
      <c r="F698" s="4">
        <f t="shared" si="15"/>
        <v>18457.143400000001</v>
      </c>
      <c r="G698" s="4">
        <f t="shared" si="16"/>
        <v>115600.0034</v>
      </c>
      <c r="H698" s="1">
        <f t="shared" si="17"/>
        <v>7</v>
      </c>
      <c r="I698" s="1">
        <f t="shared" si="18"/>
        <v>2024</v>
      </c>
      <c r="J698" s="4"/>
      <c r="K698" s="1" t="s">
        <v>87</v>
      </c>
    </row>
    <row r="699" spans="1:11">
      <c r="A699" s="1" t="s">
        <v>202</v>
      </c>
      <c r="B699" s="7">
        <v>45482</v>
      </c>
      <c r="C699" s="1" t="s">
        <v>12</v>
      </c>
      <c r="D699" s="1">
        <v>1871162</v>
      </c>
      <c r="E699" s="4">
        <v>2357.98</v>
      </c>
      <c r="F699" s="4">
        <f t="shared" si="15"/>
        <v>448.01620000000003</v>
      </c>
      <c r="G699" s="4">
        <f t="shared" si="16"/>
        <v>2805.9962</v>
      </c>
      <c r="H699" s="1">
        <f t="shared" si="17"/>
        <v>7</v>
      </c>
      <c r="I699" s="1">
        <f t="shared" si="18"/>
        <v>2024</v>
      </c>
      <c r="J699" s="4"/>
      <c r="K699" s="1" t="s">
        <v>87</v>
      </c>
    </row>
    <row r="700" spans="1:11">
      <c r="A700" s="1" t="s">
        <v>236</v>
      </c>
      <c r="B700" s="7">
        <v>45482</v>
      </c>
      <c r="C700" s="1" t="s">
        <v>12</v>
      </c>
      <c r="D700" s="1">
        <v>40620</v>
      </c>
      <c r="E700" s="4">
        <v>11764.71</v>
      </c>
      <c r="F700" s="4">
        <f t="shared" si="15"/>
        <v>2235.2948999999999</v>
      </c>
      <c r="G700" s="4">
        <f t="shared" si="16"/>
        <v>14000.0049</v>
      </c>
      <c r="H700" s="1">
        <f t="shared" si="17"/>
        <v>7</v>
      </c>
      <c r="I700" s="1">
        <f t="shared" si="18"/>
        <v>2024</v>
      </c>
      <c r="J700" s="4"/>
      <c r="K700" s="1" t="s">
        <v>87</v>
      </c>
    </row>
    <row r="701" spans="1:11">
      <c r="A701" s="1" t="s">
        <v>320</v>
      </c>
      <c r="B701" s="7">
        <v>45492</v>
      </c>
      <c r="C701" s="1" t="s">
        <v>12</v>
      </c>
      <c r="D701" s="1">
        <v>530157</v>
      </c>
      <c r="E701" s="4">
        <v>679275.63</v>
      </c>
      <c r="F701" s="4">
        <f t="shared" si="15"/>
        <v>129062.3697</v>
      </c>
      <c r="G701" s="4">
        <f t="shared" si="16"/>
        <v>808337.99970000004</v>
      </c>
      <c r="H701" s="1">
        <f t="shared" si="17"/>
        <v>7</v>
      </c>
      <c r="I701" s="1">
        <f t="shared" si="18"/>
        <v>2024</v>
      </c>
      <c r="J701" s="4"/>
      <c r="K701" s="1" t="s">
        <v>87</v>
      </c>
    </row>
    <row r="702" spans="1:11">
      <c r="A702" s="1" t="s">
        <v>291</v>
      </c>
      <c r="B702" s="7">
        <v>45492</v>
      </c>
      <c r="C702" s="1" t="s">
        <v>12</v>
      </c>
      <c r="D702" s="1">
        <v>9083</v>
      </c>
      <c r="E702" s="4">
        <v>21008.400000000001</v>
      </c>
      <c r="F702" s="4">
        <f t="shared" si="15"/>
        <v>3991.5960000000005</v>
      </c>
      <c r="G702" s="4">
        <f t="shared" si="16"/>
        <v>24999.996000000003</v>
      </c>
      <c r="H702" s="1">
        <f t="shared" si="17"/>
        <v>7</v>
      </c>
      <c r="I702" s="1">
        <f t="shared" si="18"/>
        <v>2024</v>
      </c>
      <c r="J702" s="4"/>
      <c r="K702" s="1" t="s">
        <v>87</v>
      </c>
    </row>
    <row r="703" spans="1:11">
      <c r="A703" s="1" t="s">
        <v>291</v>
      </c>
      <c r="B703" s="7">
        <v>45495</v>
      </c>
      <c r="C703" s="1" t="s">
        <v>12</v>
      </c>
      <c r="D703" s="1">
        <v>9099</v>
      </c>
      <c r="E703" s="4">
        <v>36554.620000000003</v>
      </c>
      <c r="F703" s="4">
        <f t="shared" si="15"/>
        <v>6945.3778000000002</v>
      </c>
      <c r="G703" s="4">
        <f t="shared" si="16"/>
        <v>43499.997800000005</v>
      </c>
      <c r="H703" s="1">
        <f t="shared" si="17"/>
        <v>7</v>
      </c>
      <c r="I703" s="1">
        <f t="shared" si="18"/>
        <v>2024</v>
      </c>
      <c r="J703" s="4"/>
      <c r="K703" s="1" t="s">
        <v>87</v>
      </c>
    </row>
    <row r="704" spans="1:11">
      <c r="A704" s="1" t="s">
        <v>166</v>
      </c>
      <c r="B704" s="7">
        <v>45501</v>
      </c>
      <c r="C704" s="1" t="s">
        <v>12</v>
      </c>
      <c r="D704" s="1">
        <v>77261</v>
      </c>
      <c r="E704" s="4">
        <v>12632.77</v>
      </c>
      <c r="F704" s="4">
        <f t="shared" si="15"/>
        <v>2400.2263000000003</v>
      </c>
      <c r="G704" s="4">
        <f t="shared" si="16"/>
        <v>15032.996300000001</v>
      </c>
      <c r="H704" s="1">
        <f t="shared" si="17"/>
        <v>7</v>
      </c>
      <c r="I704" s="1">
        <f t="shared" si="18"/>
        <v>2024</v>
      </c>
      <c r="J704" s="4"/>
      <c r="K704" s="1" t="s">
        <v>87</v>
      </c>
    </row>
    <row r="705" spans="1:11">
      <c r="A705" s="1" t="s">
        <v>314</v>
      </c>
      <c r="B705" s="7">
        <v>45502</v>
      </c>
      <c r="C705" s="1" t="s">
        <v>12</v>
      </c>
      <c r="D705" s="1">
        <v>41071</v>
      </c>
      <c r="E705" s="4">
        <v>10252.1</v>
      </c>
      <c r="F705" s="4">
        <f t="shared" si="15"/>
        <v>1947.8990000000001</v>
      </c>
      <c r="G705" s="4">
        <f t="shared" si="16"/>
        <v>12199.999</v>
      </c>
      <c r="H705" s="1">
        <f t="shared" si="17"/>
        <v>7</v>
      </c>
      <c r="I705" s="1">
        <f t="shared" si="18"/>
        <v>2024</v>
      </c>
      <c r="J705" s="4"/>
      <c r="K705" s="1" t="s">
        <v>87</v>
      </c>
    </row>
    <row r="706" spans="1:11">
      <c r="A706" s="1" t="s">
        <v>291</v>
      </c>
      <c r="B706" s="7">
        <v>45503</v>
      </c>
      <c r="C706" s="1" t="s">
        <v>12</v>
      </c>
      <c r="D706" s="1">
        <v>9170</v>
      </c>
      <c r="E706" s="4">
        <v>10336</v>
      </c>
      <c r="F706" s="4">
        <f t="shared" si="15"/>
        <v>1963.84</v>
      </c>
      <c r="G706" s="4">
        <f t="shared" si="16"/>
        <v>12299.84</v>
      </c>
      <c r="H706" s="1">
        <f t="shared" si="17"/>
        <v>7</v>
      </c>
      <c r="I706" s="1">
        <f t="shared" si="18"/>
        <v>2024</v>
      </c>
      <c r="J706" s="4"/>
      <c r="K706" s="1" t="s">
        <v>87</v>
      </c>
    </row>
    <row r="707" spans="1:11">
      <c r="A707" s="1" t="s">
        <v>291</v>
      </c>
      <c r="B707" s="7">
        <v>45504</v>
      </c>
      <c r="C707" s="1" t="s">
        <v>12</v>
      </c>
      <c r="D707" s="1">
        <v>9181</v>
      </c>
      <c r="E707" s="4">
        <v>10840.34</v>
      </c>
      <c r="F707" s="4">
        <f t="shared" si="15"/>
        <v>2059.6646000000001</v>
      </c>
      <c r="G707" s="4">
        <f t="shared" si="16"/>
        <v>12900.0046</v>
      </c>
      <c r="H707" s="1">
        <f t="shared" si="17"/>
        <v>7</v>
      </c>
      <c r="I707" s="1">
        <f t="shared" si="18"/>
        <v>2024</v>
      </c>
      <c r="J707" s="4"/>
      <c r="K707" s="1" t="s">
        <v>87</v>
      </c>
    </row>
    <row r="708" spans="1:11">
      <c r="A708" s="1" t="s">
        <v>368</v>
      </c>
      <c r="B708" s="7">
        <v>45504</v>
      </c>
      <c r="C708" s="1" t="s">
        <v>12</v>
      </c>
      <c r="D708" s="1">
        <v>41518</v>
      </c>
      <c r="E708" s="4">
        <v>122974.79</v>
      </c>
      <c r="F708" s="4">
        <f t="shared" si="15"/>
        <v>23365.2101</v>
      </c>
      <c r="G708" s="4">
        <f t="shared" si="16"/>
        <v>146340.0001</v>
      </c>
      <c r="H708" s="1">
        <f t="shared" si="17"/>
        <v>7</v>
      </c>
      <c r="I708" s="1">
        <f t="shared" si="18"/>
        <v>2024</v>
      </c>
      <c r="J708" s="4"/>
      <c r="K708" s="1" t="s">
        <v>87</v>
      </c>
    </row>
    <row r="709" spans="1:11">
      <c r="A709" s="1" t="s">
        <v>368</v>
      </c>
      <c r="B709" s="7">
        <v>45475</v>
      </c>
      <c r="C709" s="1" t="s">
        <v>12</v>
      </c>
      <c r="D709" s="1">
        <v>41737</v>
      </c>
      <c r="E709" s="4">
        <v>16260.5</v>
      </c>
      <c r="F709" s="4">
        <f t="shared" si="15"/>
        <v>3089.4949999999999</v>
      </c>
      <c r="G709" s="4">
        <f t="shared" si="16"/>
        <v>19349.994999999999</v>
      </c>
      <c r="H709" s="1">
        <f t="shared" si="17"/>
        <v>7</v>
      </c>
      <c r="I709" s="1">
        <f t="shared" si="18"/>
        <v>2024</v>
      </c>
      <c r="J709" s="4"/>
      <c r="K709" s="1" t="s">
        <v>87</v>
      </c>
    </row>
    <row r="710" spans="1:11">
      <c r="A710" s="1" t="s">
        <v>103</v>
      </c>
      <c r="B710" s="7">
        <v>45509</v>
      </c>
      <c r="C710" s="1" t="s">
        <v>12</v>
      </c>
      <c r="D710" s="1">
        <v>343170</v>
      </c>
      <c r="E710" s="4">
        <v>164789.9</v>
      </c>
      <c r="F710" s="4">
        <f t="shared" si="15"/>
        <v>31310.080999999998</v>
      </c>
      <c r="G710" s="4">
        <f t="shared" si="16"/>
        <v>196099.981</v>
      </c>
      <c r="H710" s="1">
        <f t="shared" si="17"/>
        <v>8</v>
      </c>
      <c r="I710" s="1">
        <f t="shared" si="18"/>
        <v>2024</v>
      </c>
      <c r="J710" s="4"/>
      <c r="K710" s="1" t="s">
        <v>87</v>
      </c>
    </row>
    <row r="711" spans="1:11">
      <c r="A711" s="1" t="s">
        <v>314</v>
      </c>
      <c r="B711" s="7">
        <v>45509</v>
      </c>
      <c r="C711" s="1" t="s">
        <v>12</v>
      </c>
      <c r="D711" s="1">
        <v>41241</v>
      </c>
      <c r="E711" s="4">
        <v>57899.16</v>
      </c>
      <c r="F711" s="4">
        <f t="shared" si="15"/>
        <v>11000.840400000001</v>
      </c>
      <c r="G711" s="4">
        <f t="shared" si="16"/>
        <v>68900.000400000004</v>
      </c>
      <c r="H711" s="1">
        <f t="shared" si="17"/>
        <v>8</v>
      </c>
      <c r="I711" s="1">
        <f t="shared" si="18"/>
        <v>2024</v>
      </c>
      <c r="J711" s="4"/>
      <c r="K711" s="1" t="s">
        <v>87</v>
      </c>
    </row>
    <row r="712" spans="1:11">
      <c r="A712" s="1" t="s">
        <v>291</v>
      </c>
      <c r="B712" s="7">
        <v>45510</v>
      </c>
      <c r="C712" s="1" t="s">
        <v>12</v>
      </c>
      <c r="D712" s="1">
        <v>9238</v>
      </c>
      <c r="E712" s="4">
        <v>40000</v>
      </c>
      <c r="F712" s="4">
        <f t="shared" si="15"/>
        <v>7600</v>
      </c>
      <c r="G712" s="4">
        <f t="shared" si="16"/>
        <v>47600</v>
      </c>
      <c r="H712" s="1">
        <f t="shared" si="17"/>
        <v>8</v>
      </c>
      <c r="I712" s="1">
        <f t="shared" si="18"/>
        <v>2024</v>
      </c>
      <c r="J712" s="4"/>
      <c r="K712" s="1" t="s">
        <v>87</v>
      </c>
    </row>
    <row r="713" spans="1:11">
      <c r="A713" s="1" t="s">
        <v>291</v>
      </c>
      <c r="B713" s="7">
        <v>45510</v>
      </c>
      <c r="C713" s="1" t="s">
        <v>12</v>
      </c>
      <c r="D713" s="1">
        <v>9240</v>
      </c>
      <c r="E713" s="4">
        <v>3361.34</v>
      </c>
      <c r="F713" s="4">
        <f t="shared" si="15"/>
        <v>638.65460000000007</v>
      </c>
      <c r="G713" s="4">
        <f t="shared" si="16"/>
        <v>3999.9946</v>
      </c>
      <c r="H713" s="1">
        <f t="shared" si="17"/>
        <v>8</v>
      </c>
      <c r="I713" s="1">
        <f t="shared" si="18"/>
        <v>2024</v>
      </c>
      <c r="J713" s="4"/>
      <c r="K713" s="1" t="s">
        <v>87</v>
      </c>
    </row>
    <row r="714" spans="1:11">
      <c r="A714" s="1" t="s">
        <v>28</v>
      </c>
      <c r="B714" s="7">
        <v>45510</v>
      </c>
      <c r="C714" s="1" t="s">
        <v>12</v>
      </c>
      <c r="D714" s="1">
        <v>942676</v>
      </c>
      <c r="E714" s="4">
        <v>13638.66</v>
      </c>
      <c r="F714" s="4">
        <f t="shared" si="15"/>
        <v>2591.3454000000002</v>
      </c>
      <c r="G714" s="4">
        <f t="shared" si="16"/>
        <v>16230.0054</v>
      </c>
      <c r="H714" s="1">
        <f t="shared" si="17"/>
        <v>8</v>
      </c>
      <c r="I714" s="1">
        <f t="shared" si="18"/>
        <v>2024</v>
      </c>
      <c r="J714" s="4"/>
      <c r="K714" s="1" t="s">
        <v>87</v>
      </c>
    </row>
    <row r="715" spans="1:11">
      <c r="A715" s="1" t="s">
        <v>203</v>
      </c>
      <c r="B715" s="7">
        <v>45511</v>
      </c>
      <c r="C715" s="1" t="s">
        <v>12</v>
      </c>
      <c r="D715" s="1">
        <v>40808739</v>
      </c>
      <c r="E715" s="4">
        <v>25168.07</v>
      </c>
      <c r="F715" s="4">
        <f t="shared" si="15"/>
        <v>4781.9332999999997</v>
      </c>
      <c r="G715" s="4">
        <f t="shared" si="16"/>
        <v>29950.0033</v>
      </c>
      <c r="H715" s="1">
        <f t="shared" si="17"/>
        <v>8</v>
      </c>
      <c r="I715" s="1">
        <f t="shared" si="18"/>
        <v>2024</v>
      </c>
      <c r="J715" s="4"/>
      <c r="K715" s="1" t="s">
        <v>87</v>
      </c>
    </row>
    <row r="716" spans="1:11">
      <c r="A716" s="1" t="s">
        <v>360</v>
      </c>
      <c r="B716" s="7">
        <v>45512</v>
      </c>
      <c r="C716" s="1" t="s">
        <v>12</v>
      </c>
      <c r="D716" s="1">
        <v>82771</v>
      </c>
      <c r="E716" s="4">
        <v>15701.68</v>
      </c>
      <c r="F716" s="4">
        <f t="shared" si="15"/>
        <v>2983.3191999999999</v>
      </c>
      <c r="G716" s="4">
        <f t="shared" si="16"/>
        <v>18684.999199999998</v>
      </c>
      <c r="H716" s="1">
        <f t="shared" si="17"/>
        <v>8</v>
      </c>
      <c r="I716" s="1">
        <f t="shared" si="18"/>
        <v>2024</v>
      </c>
      <c r="J716" s="4"/>
      <c r="K716" s="1" t="s">
        <v>87</v>
      </c>
    </row>
    <row r="717" spans="1:11">
      <c r="A717" s="1" t="s">
        <v>314</v>
      </c>
      <c r="B717" s="7">
        <v>45512</v>
      </c>
      <c r="C717" s="1" t="s">
        <v>12</v>
      </c>
      <c r="D717" s="1">
        <v>41326</v>
      </c>
      <c r="E717" s="4">
        <v>26722.69</v>
      </c>
      <c r="F717" s="4">
        <f t="shared" si="15"/>
        <v>5077.3110999999999</v>
      </c>
      <c r="G717" s="4">
        <f t="shared" si="16"/>
        <v>31800.001099999998</v>
      </c>
      <c r="H717" s="1">
        <f t="shared" si="17"/>
        <v>8</v>
      </c>
      <c r="I717" s="1">
        <f t="shared" si="18"/>
        <v>2024</v>
      </c>
      <c r="J717" s="4"/>
      <c r="K717" s="1" t="s">
        <v>87</v>
      </c>
    </row>
    <row r="718" spans="1:11">
      <c r="A718" s="1" t="s">
        <v>202</v>
      </c>
      <c r="B718" s="7">
        <v>45512</v>
      </c>
      <c r="C718" s="1" t="s">
        <v>12</v>
      </c>
      <c r="D718" s="1">
        <v>1931295</v>
      </c>
      <c r="E718" s="4">
        <v>1277.31</v>
      </c>
      <c r="F718" s="4">
        <f t="shared" si="15"/>
        <v>242.68889999999999</v>
      </c>
      <c r="G718" s="4">
        <f t="shared" si="16"/>
        <v>1519.9989</v>
      </c>
      <c r="H718" s="1">
        <f t="shared" si="17"/>
        <v>8</v>
      </c>
      <c r="I718" s="1">
        <f t="shared" si="18"/>
        <v>2024</v>
      </c>
      <c r="J718" s="4"/>
      <c r="K718" s="1" t="s">
        <v>87</v>
      </c>
    </row>
    <row r="719" spans="1:11">
      <c r="A719" s="1" t="s">
        <v>202</v>
      </c>
      <c r="B719" s="7">
        <v>45512</v>
      </c>
      <c r="C719" s="1" t="s">
        <v>12</v>
      </c>
      <c r="D719" s="1">
        <v>1933520</v>
      </c>
      <c r="E719" s="4">
        <v>920.17</v>
      </c>
      <c r="F719" s="4">
        <f t="shared" si="15"/>
        <v>174.8323</v>
      </c>
      <c r="G719" s="4">
        <f t="shared" si="16"/>
        <v>1095.0022999999999</v>
      </c>
      <c r="H719" s="1">
        <f t="shared" si="17"/>
        <v>8</v>
      </c>
      <c r="I719" s="1">
        <f t="shared" si="18"/>
        <v>2024</v>
      </c>
      <c r="J719" s="4"/>
      <c r="K719" s="1" t="s">
        <v>87</v>
      </c>
    </row>
    <row r="720" spans="1:11">
      <c r="A720" s="1" t="s">
        <v>314</v>
      </c>
      <c r="B720" s="7">
        <v>45513</v>
      </c>
      <c r="C720" s="1" t="s">
        <v>12</v>
      </c>
      <c r="D720" s="1">
        <v>41376</v>
      </c>
      <c r="E720" s="4">
        <v>7058.82</v>
      </c>
      <c r="F720" s="4">
        <f t="shared" si="15"/>
        <v>1341.1758</v>
      </c>
      <c r="G720" s="4">
        <f t="shared" si="16"/>
        <v>8399.9958000000006</v>
      </c>
      <c r="H720" s="1">
        <f t="shared" si="17"/>
        <v>8</v>
      </c>
      <c r="I720" s="1">
        <f t="shared" si="18"/>
        <v>2024</v>
      </c>
      <c r="J720" s="4"/>
      <c r="K720" s="1" t="s">
        <v>87</v>
      </c>
    </row>
    <row r="721" spans="1:11">
      <c r="A721" s="1" t="s">
        <v>314</v>
      </c>
      <c r="B721" s="7">
        <v>45514</v>
      </c>
      <c r="C721" s="1" t="s">
        <v>12</v>
      </c>
      <c r="D721" s="1">
        <v>41387</v>
      </c>
      <c r="E721" s="4">
        <v>7900</v>
      </c>
      <c r="F721" s="4">
        <f t="shared" si="15"/>
        <v>1501</v>
      </c>
      <c r="G721" s="4">
        <f t="shared" si="16"/>
        <v>9401</v>
      </c>
      <c r="H721" s="1">
        <f t="shared" si="17"/>
        <v>8</v>
      </c>
      <c r="I721" s="1">
        <f t="shared" si="18"/>
        <v>2024</v>
      </c>
      <c r="J721" s="4"/>
      <c r="K721" s="1" t="s">
        <v>87</v>
      </c>
    </row>
    <row r="722" spans="1:11">
      <c r="A722" s="1" t="s">
        <v>387</v>
      </c>
      <c r="B722" s="7">
        <v>45517</v>
      </c>
      <c r="C722" s="1" t="s">
        <v>12</v>
      </c>
      <c r="D722" s="1">
        <v>80951</v>
      </c>
      <c r="E722" s="4">
        <v>56294.12</v>
      </c>
      <c r="F722" s="4">
        <f t="shared" si="15"/>
        <v>10695.882800000001</v>
      </c>
      <c r="G722" s="4">
        <f t="shared" si="16"/>
        <v>66990.002800000002</v>
      </c>
      <c r="H722" s="1">
        <f t="shared" si="17"/>
        <v>8</v>
      </c>
      <c r="I722" s="1">
        <f t="shared" si="18"/>
        <v>2024</v>
      </c>
      <c r="J722" s="4"/>
      <c r="K722" s="1" t="s">
        <v>87</v>
      </c>
    </row>
    <row r="723" spans="1:11">
      <c r="A723" s="1" t="s">
        <v>320</v>
      </c>
      <c r="B723" s="7">
        <v>45517</v>
      </c>
      <c r="C723" s="1" t="s">
        <v>12</v>
      </c>
      <c r="D723" s="1">
        <v>533835</v>
      </c>
      <c r="E723" s="4">
        <v>250068.9</v>
      </c>
      <c r="F723" s="4">
        <f t="shared" si="15"/>
        <v>47513.091</v>
      </c>
      <c r="G723" s="4">
        <f t="shared" si="16"/>
        <v>297581.99099999998</v>
      </c>
      <c r="H723" s="1">
        <f t="shared" si="17"/>
        <v>8</v>
      </c>
      <c r="I723" s="1">
        <f t="shared" si="18"/>
        <v>2024</v>
      </c>
      <c r="J723" s="4"/>
      <c r="K723" s="1" t="s">
        <v>87</v>
      </c>
    </row>
    <row r="724" spans="1:11">
      <c r="A724" s="1" t="s">
        <v>314</v>
      </c>
      <c r="B724" s="7">
        <v>45530</v>
      </c>
      <c r="C724" s="1" t="s">
        <v>12</v>
      </c>
      <c r="D724" s="1">
        <v>41689</v>
      </c>
      <c r="E724" s="4">
        <v>1932.77</v>
      </c>
      <c r="F724" s="4">
        <f t="shared" si="15"/>
        <v>367.22629999999998</v>
      </c>
      <c r="G724" s="4">
        <f t="shared" si="16"/>
        <v>2299.9962999999998</v>
      </c>
      <c r="H724" s="1">
        <f t="shared" si="17"/>
        <v>8</v>
      </c>
      <c r="I724" s="1">
        <f t="shared" si="18"/>
        <v>2024</v>
      </c>
      <c r="J724" s="4"/>
      <c r="K724" s="1" t="s">
        <v>87</v>
      </c>
    </row>
    <row r="725" spans="1:11">
      <c r="A725" s="1" t="s">
        <v>314</v>
      </c>
      <c r="B725" s="7">
        <v>45530</v>
      </c>
      <c r="C725" s="1" t="s">
        <v>12</v>
      </c>
      <c r="D725" s="1">
        <v>41695</v>
      </c>
      <c r="E725" s="4">
        <v>14201.68</v>
      </c>
      <c r="F725" s="4">
        <f t="shared" si="15"/>
        <v>2698.3191999999999</v>
      </c>
      <c r="G725" s="4">
        <f t="shared" si="16"/>
        <v>16899.999199999998</v>
      </c>
      <c r="H725" s="1">
        <f t="shared" si="17"/>
        <v>8</v>
      </c>
      <c r="I725" s="1">
        <f t="shared" si="18"/>
        <v>2024</v>
      </c>
      <c r="J725" s="4"/>
      <c r="K725" s="1" t="s">
        <v>87</v>
      </c>
    </row>
    <row r="726" spans="1:11">
      <c r="A726" s="1" t="s">
        <v>388</v>
      </c>
      <c r="B726" s="7">
        <v>45530</v>
      </c>
      <c r="C726" s="1"/>
      <c r="E726" s="4">
        <v>-14201.68</v>
      </c>
      <c r="F726" s="4">
        <f t="shared" si="15"/>
        <v>-2698.3191999999999</v>
      </c>
      <c r="G726" s="4">
        <f t="shared" si="16"/>
        <v>-16899.999199999998</v>
      </c>
      <c r="H726" s="1">
        <f t="shared" si="17"/>
        <v>8</v>
      </c>
      <c r="I726" s="1">
        <f t="shared" si="18"/>
        <v>2024</v>
      </c>
      <c r="J726" s="4"/>
      <c r="K726" s="1"/>
    </row>
    <row r="727" spans="1:11">
      <c r="A727" s="1" t="s">
        <v>314</v>
      </c>
      <c r="B727" s="7">
        <v>45530</v>
      </c>
      <c r="C727" s="1" t="s">
        <v>12</v>
      </c>
      <c r="D727" s="1">
        <v>41708</v>
      </c>
      <c r="E727" s="4">
        <v>17563.02</v>
      </c>
      <c r="F727" s="4">
        <f t="shared" si="15"/>
        <v>3336.9738000000002</v>
      </c>
      <c r="G727" s="4">
        <f t="shared" si="16"/>
        <v>20899.9938</v>
      </c>
      <c r="H727" s="1">
        <f t="shared" si="17"/>
        <v>8</v>
      </c>
      <c r="I727" s="1">
        <f t="shared" si="18"/>
        <v>2024</v>
      </c>
      <c r="J727" s="4"/>
      <c r="K727" s="1" t="s">
        <v>87</v>
      </c>
    </row>
    <row r="728" spans="1:11">
      <c r="A728" s="1" t="s">
        <v>212</v>
      </c>
      <c r="B728" s="7">
        <v>45536</v>
      </c>
      <c r="C728" s="1" t="s">
        <v>12</v>
      </c>
      <c r="D728" s="1">
        <v>2295731</v>
      </c>
      <c r="E728" s="4">
        <v>73619.33</v>
      </c>
      <c r="F728" s="4">
        <f t="shared" si="15"/>
        <v>13987.672700000001</v>
      </c>
      <c r="G728" s="4">
        <f t="shared" si="16"/>
        <v>87607.002699999997</v>
      </c>
      <c r="H728" s="1">
        <f t="shared" si="17"/>
        <v>9</v>
      </c>
      <c r="I728" s="1">
        <f t="shared" si="18"/>
        <v>2024</v>
      </c>
      <c r="J728" s="4"/>
      <c r="K728" s="1" t="s">
        <v>87</v>
      </c>
    </row>
    <row r="729" spans="1:11">
      <c r="A729" s="1" t="s">
        <v>212</v>
      </c>
      <c r="B729" s="7">
        <v>45536</v>
      </c>
      <c r="C729" s="1" t="s">
        <v>12</v>
      </c>
      <c r="D729" s="1">
        <v>2290039</v>
      </c>
      <c r="E729" s="4">
        <v>192954.62</v>
      </c>
      <c r="F729" s="4">
        <f t="shared" si="15"/>
        <v>36661.377800000002</v>
      </c>
      <c r="G729" s="4">
        <f t="shared" si="16"/>
        <v>229615.99780000001</v>
      </c>
      <c r="H729" s="1">
        <f t="shared" si="17"/>
        <v>9</v>
      </c>
      <c r="I729" s="1">
        <f t="shared" si="18"/>
        <v>2024</v>
      </c>
      <c r="J729" s="4"/>
      <c r="K729" s="1" t="s">
        <v>87</v>
      </c>
    </row>
    <row r="730" spans="1:11">
      <c r="A730" s="1" t="s">
        <v>166</v>
      </c>
      <c r="B730" s="7">
        <v>45537</v>
      </c>
      <c r="C730" s="1" t="s">
        <v>12</v>
      </c>
      <c r="D730" s="1">
        <v>79162</v>
      </c>
      <c r="E730" s="4">
        <v>12682.35</v>
      </c>
      <c r="F730" s="4">
        <f t="shared" si="15"/>
        <v>2409.6465000000003</v>
      </c>
      <c r="G730" s="4">
        <f t="shared" si="16"/>
        <v>15091.996500000001</v>
      </c>
      <c r="H730" s="1">
        <f t="shared" si="17"/>
        <v>9</v>
      </c>
      <c r="I730" s="1">
        <f t="shared" si="18"/>
        <v>2024</v>
      </c>
      <c r="J730" s="4"/>
      <c r="K730" s="1" t="s">
        <v>87</v>
      </c>
    </row>
    <row r="731" spans="1:11">
      <c r="A731" s="1" t="s">
        <v>236</v>
      </c>
      <c r="B731" s="7">
        <v>45532</v>
      </c>
      <c r="C731" s="1" t="s">
        <v>12</v>
      </c>
      <c r="D731" s="1">
        <v>41758</v>
      </c>
      <c r="E731" s="4">
        <v>18403.36</v>
      </c>
      <c r="F731" s="4">
        <f t="shared" si="15"/>
        <v>3496.6384000000003</v>
      </c>
      <c r="G731" s="4">
        <f t="shared" si="16"/>
        <v>21899.9984</v>
      </c>
      <c r="H731" s="1">
        <f t="shared" si="17"/>
        <v>8</v>
      </c>
      <c r="I731" s="1">
        <f t="shared" si="18"/>
        <v>2024</v>
      </c>
      <c r="J731" s="4"/>
      <c r="K731" s="1" t="s">
        <v>87</v>
      </c>
    </row>
    <row r="732" spans="1:11">
      <c r="A732" s="1" t="s">
        <v>236</v>
      </c>
      <c r="B732" s="7">
        <v>45533</v>
      </c>
      <c r="C732" s="1" t="s">
        <v>12</v>
      </c>
      <c r="D732" s="1">
        <v>41782</v>
      </c>
      <c r="E732" s="4">
        <v>11259.66</v>
      </c>
      <c r="F732" s="4">
        <f t="shared" si="15"/>
        <v>2139.3353999999999</v>
      </c>
      <c r="G732" s="4">
        <f t="shared" si="16"/>
        <v>13398.9954</v>
      </c>
      <c r="H732" s="1">
        <f t="shared" si="17"/>
        <v>8</v>
      </c>
      <c r="I732" s="1">
        <f t="shared" si="18"/>
        <v>2024</v>
      </c>
      <c r="J732" s="4"/>
      <c r="K732" s="1" t="s">
        <v>87</v>
      </c>
    </row>
    <row r="733" spans="1:11">
      <c r="A733" s="1" t="s">
        <v>291</v>
      </c>
      <c r="B733" s="7">
        <v>45533</v>
      </c>
      <c r="C733" s="1" t="s">
        <v>12</v>
      </c>
      <c r="D733" s="1">
        <v>9424</v>
      </c>
      <c r="E733" s="4">
        <v>13697.48</v>
      </c>
      <c r="F733" s="4">
        <f t="shared" si="15"/>
        <v>2602.5212000000001</v>
      </c>
      <c r="G733" s="4">
        <f t="shared" si="16"/>
        <v>16300.001199999999</v>
      </c>
      <c r="H733" s="1">
        <f t="shared" si="17"/>
        <v>8</v>
      </c>
      <c r="I733" s="1">
        <f t="shared" si="18"/>
        <v>2024</v>
      </c>
      <c r="J733" s="4"/>
      <c r="K733" s="1" t="s">
        <v>87</v>
      </c>
    </row>
    <row r="734" spans="1:11">
      <c r="A734" s="1" t="s">
        <v>203</v>
      </c>
      <c r="B734" s="7">
        <v>45539</v>
      </c>
      <c r="C734" s="1" t="s">
        <v>12</v>
      </c>
      <c r="D734" s="1">
        <v>41127585</v>
      </c>
      <c r="E734" s="4">
        <v>25178.15</v>
      </c>
      <c r="F734" s="4">
        <f t="shared" si="15"/>
        <v>4783.8485000000001</v>
      </c>
      <c r="G734" s="4">
        <f t="shared" si="16"/>
        <v>29961.998500000002</v>
      </c>
      <c r="H734" s="1">
        <f t="shared" si="17"/>
        <v>9</v>
      </c>
      <c r="I734" s="1">
        <f t="shared" si="18"/>
        <v>2024</v>
      </c>
      <c r="J734" s="4"/>
      <c r="K734" s="1" t="s">
        <v>87</v>
      </c>
    </row>
    <row r="735" spans="1:11">
      <c r="A735" s="1" t="s">
        <v>202</v>
      </c>
      <c r="B735" s="7">
        <v>45543</v>
      </c>
      <c r="C735" s="1" t="s">
        <v>12</v>
      </c>
      <c r="D735" s="1">
        <v>1989215</v>
      </c>
      <c r="E735" s="4">
        <v>966.39</v>
      </c>
      <c r="F735" s="4">
        <f t="shared" si="15"/>
        <v>183.61410000000001</v>
      </c>
      <c r="G735" s="4">
        <f t="shared" si="16"/>
        <v>1150.0041000000001</v>
      </c>
      <c r="H735" s="1">
        <f t="shared" si="17"/>
        <v>9</v>
      </c>
      <c r="I735" s="1">
        <f t="shared" si="18"/>
        <v>2024</v>
      </c>
      <c r="J735" s="4"/>
      <c r="K735" s="1" t="s">
        <v>87</v>
      </c>
    </row>
    <row r="736" spans="1:11">
      <c r="A736" s="1" t="s">
        <v>236</v>
      </c>
      <c r="B736" s="7">
        <v>45544</v>
      </c>
      <c r="C736" s="1" t="s">
        <v>12</v>
      </c>
      <c r="D736" s="1">
        <v>42039</v>
      </c>
      <c r="E736" s="4">
        <v>29327.73</v>
      </c>
      <c r="F736" s="4">
        <f t="shared" si="15"/>
        <v>5572.2686999999996</v>
      </c>
      <c r="G736" s="4">
        <f t="shared" si="16"/>
        <v>34899.998699999996</v>
      </c>
      <c r="H736" s="1">
        <f t="shared" si="17"/>
        <v>9</v>
      </c>
      <c r="I736" s="1">
        <f t="shared" si="18"/>
        <v>2024</v>
      </c>
      <c r="J736" s="4"/>
      <c r="K736" s="1" t="s">
        <v>87</v>
      </c>
    </row>
    <row r="737" spans="1:12">
      <c r="A737" s="1" t="s">
        <v>389</v>
      </c>
      <c r="B737" s="7">
        <v>45545</v>
      </c>
      <c r="C737" s="1" t="s">
        <v>12</v>
      </c>
      <c r="D737" s="1">
        <v>538167</v>
      </c>
      <c r="E737" s="4">
        <v>338754.62</v>
      </c>
      <c r="F737" s="4">
        <f t="shared" si="15"/>
        <v>64363.377800000002</v>
      </c>
      <c r="G737" s="4">
        <f t="shared" si="16"/>
        <v>403117.99780000001</v>
      </c>
      <c r="H737" s="1">
        <f t="shared" si="17"/>
        <v>9</v>
      </c>
      <c r="I737" s="1">
        <f t="shared" si="18"/>
        <v>2024</v>
      </c>
      <c r="J737" s="4"/>
      <c r="K737" s="1" t="s">
        <v>87</v>
      </c>
    </row>
    <row r="738" spans="1:12">
      <c r="A738" s="1" t="s">
        <v>236</v>
      </c>
      <c r="B738" s="7">
        <v>45547</v>
      </c>
      <c r="C738" s="1" t="s">
        <v>12</v>
      </c>
      <c r="D738" s="1">
        <v>42104</v>
      </c>
      <c r="E738" s="4">
        <v>18486.55</v>
      </c>
      <c r="F738" s="4">
        <f t="shared" si="15"/>
        <v>3512.4445000000001</v>
      </c>
      <c r="G738" s="4">
        <f t="shared" si="16"/>
        <v>21998.994500000001</v>
      </c>
      <c r="H738" s="1">
        <f t="shared" si="17"/>
        <v>9</v>
      </c>
      <c r="I738" s="1">
        <f t="shared" si="18"/>
        <v>2024</v>
      </c>
      <c r="J738" s="4"/>
      <c r="K738" s="1" t="s">
        <v>87</v>
      </c>
    </row>
    <row r="739" spans="1:12">
      <c r="A739" s="1" t="s">
        <v>236</v>
      </c>
      <c r="B739" s="7">
        <v>45547</v>
      </c>
      <c r="C739" s="1" t="s">
        <v>12</v>
      </c>
      <c r="D739" s="1">
        <v>42110</v>
      </c>
      <c r="E739" s="4">
        <v>13025.21</v>
      </c>
      <c r="F739" s="4">
        <f t="shared" si="15"/>
        <v>2474.7898999999998</v>
      </c>
      <c r="G739" s="4">
        <f t="shared" si="16"/>
        <v>15499.999899999999</v>
      </c>
      <c r="H739" s="1">
        <f t="shared" si="17"/>
        <v>9</v>
      </c>
      <c r="I739" s="1">
        <f t="shared" si="18"/>
        <v>2024</v>
      </c>
      <c r="J739" s="4"/>
      <c r="K739" s="1" t="s">
        <v>87</v>
      </c>
    </row>
    <row r="740" spans="1:12">
      <c r="A740" s="1" t="s">
        <v>368</v>
      </c>
      <c r="B740" s="7">
        <v>45551</v>
      </c>
      <c r="C740" s="1" t="s">
        <v>12</v>
      </c>
      <c r="D740" s="1">
        <v>44935</v>
      </c>
      <c r="E740" s="4">
        <v>78731.09</v>
      </c>
      <c r="F740" s="4">
        <f t="shared" si="15"/>
        <v>14958.9071</v>
      </c>
      <c r="G740" s="4">
        <f t="shared" si="16"/>
        <v>93689.997099999993</v>
      </c>
      <c r="H740" s="1">
        <f t="shared" si="17"/>
        <v>9</v>
      </c>
      <c r="I740" s="1">
        <f t="shared" si="18"/>
        <v>2024</v>
      </c>
      <c r="J740" s="4"/>
      <c r="K740" s="1" t="s">
        <v>87</v>
      </c>
    </row>
    <row r="741" spans="1:12">
      <c r="A741" s="1" t="s">
        <v>342</v>
      </c>
      <c r="B741" s="7">
        <v>45551</v>
      </c>
      <c r="C741" s="1" t="s">
        <v>12</v>
      </c>
      <c r="D741" s="1">
        <v>5041551</v>
      </c>
      <c r="E741" s="4">
        <v>11588.24</v>
      </c>
      <c r="F741" s="4">
        <f t="shared" si="15"/>
        <v>2201.7656000000002</v>
      </c>
      <c r="G741" s="4">
        <f t="shared" si="16"/>
        <v>13790.0056</v>
      </c>
      <c r="H741" s="1">
        <f t="shared" si="17"/>
        <v>9</v>
      </c>
      <c r="I741" s="1">
        <f t="shared" si="18"/>
        <v>2024</v>
      </c>
      <c r="J741" s="4"/>
      <c r="K741" s="1" t="s">
        <v>87</v>
      </c>
    </row>
    <row r="742" spans="1:12">
      <c r="A742" s="1" t="s">
        <v>236</v>
      </c>
      <c r="B742" s="7">
        <v>45551</v>
      </c>
      <c r="C742" s="1" t="s">
        <v>12</v>
      </c>
      <c r="D742" s="1">
        <v>42212</v>
      </c>
      <c r="E742" s="4">
        <v>11680.67</v>
      </c>
      <c r="F742" s="4">
        <f t="shared" si="15"/>
        <v>2219.3272999999999</v>
      </c>
      <c r="G742" s="4">
        <f t="shared" si="16"/>
        <v>13899.997299999999</v>
      </c>
      <c r="H742" s="1">
        <f t="shared" si="17"/>
        <v>9</v>
      </c>
      <c r="I742" s="1">
        <f t="shared" si="18"/>
        <v>2024</v>
      </c>
      <c r="J742" s="4"/>
      <c r="K742" s="1" t="s">
        <v>87</v>
      </c>
    </row>
    <row r="743" spans="1:12">
      <c r="A743" s="1" t="s">
        <v>390</v>
      </c>
      <c r="B743" s="7">
        <v>45554</v>
      </c>
      <c r="C743" s="1" t="s">
        <v>12</v>
      </c>
      <c r="D743" s="1">
        <v>1369</v>
      </c>
      <c r="E743" s="4">
        <v>82308.399999999994</v>
      </c>
      <c r="F743" s="4">
        <f t="shared" si="15"/>
        <v>15638.596</v>
      </c>
      <c r="G743" s="4">
        <f t="shared" si="16"/>
        <v>97946.995999999999</v>
      </c>
      <c r="H743" s="1">
        <f t="shared" si="17"/>
        <v>9</v>
      </c>
      <c r="I743" s="1">
        <f t="shared" si="18"/>
        <v>2024</v>
      </c>
      <c r="J743" s="4"/>
      <c r="K743" s="1" t="s">
        <v>87</v>
      </c>
      <c r="L743" s="1" t="s">
        <v>372</v>
      </c>
    </row>
    <row r="744" spans="1:12">
      <c r="A744" s="1" t="s">
        <v>236</v>
      </c>
      <c r="B744" s="7">
        <v>45558</v>
      </c>
      <c r="C744" s="1" t="s">
        <v>12</v>
      </c>
      <c r="D744" s="1">
        <v>42261</v>
      </c>
      <c r="E744" s="4">
        <v>5715.13</v>
      </c>
      <c r="F744" s="4">
        <f t="shared" si="15"/>
        <v>1085.8747000000001</v>
      </c>
      <c r="G744" s="4">
        <f t="shared" si="16"/>
        <v>6801.0047000000004</v>
      </c>
      <c r="H744" s="1">
        <f t="shared" si="17"/>
        <v>9</v>
      </c>
      <c r="I744" s="1">
        <f t="shared" si="18"/>
        <v>2024</v>
      </c>
      <c r="J744" s="4"/>
      <c r="K744" s="1" t="s">
        <v>87</v>
      </c>
    </row>
    <row r="745" spans="1:12">
      <c r="A745" s="1" t="s">
        <v>391</v>
      </c>
      <c r="B745" s="7">
        <v>45558</v>
      </c>
      <c r="C745" s="1" t="s">
        <v>12</v>
      </c>
      <c r="D745" s="1">
        <v>7701</v>
      </c>
      <c r="E745" s="4">
        <v>8319.33</v>
      </c>
      <c r="F745" s="4">
        <f t="shared" si="15"/>
        <v>1580.6727000000001</v>
      </c>
      <c r="G745" s="4">
        <f t="shared" si="16"/>
        <v>9900.0027000000009</v>
      </c>
      <c r="H745" s="1">
        <f t="shared" si="17"/>
        <v>9</v>
      </c>
      <c r="I745" s="1">
        <f t="shared" si="18"/>
        <v>2024</v>
      </c>
      <c r="J745" s="4"/>
      <c r="K745" s="1" t="s">
        <v>87</v>
      </c>
    </row>
    <row r="746" spans="1:12">
      <c r="A746" s="1" t="s">
        <v>166</v>
      </c>
      <c r="B746" s="7">
        <v>45565</v>
      </c>
      <c r="C746" s="1" t="s">
        <v>12</v>
      </c>
      <c r="D746" s="1">
        <v>81104</v>
      </c>
      <c r="E746" s="4">
        <v>12740.34</v>
      </c>
      <c r="F746" s="4">
        <f t="shared" si="15"/>
        <v>2420.6646000000001</v>
      </c>
      <c r="G746" s="4">
        <f t="shared" si="16"/>
        <v>15161.0046</v>
      </c>
      <c r="H746" s="1">
        <f t="shared" si="17"/>
        <v>9</v>
      </c>
      <c r="I746" s="1">
        <f t="shared" si="18"/>
        <v>2024</v>
      </c>
      <c r="J746" s="4"/>
      <c r="K746" s="1" t="s">
        <v>87</v>
      </c>
    </row>
    <row r="747" spans="1:12">
      <c r="A747" s="1" t="s">
        <v>314</v>
      </c>
      <c r="B747" s="7">
        <v>45565</v>
      </c>
      <c r="C747" s="1" t="s">
        <v>12</v>
      </c>
      <c r="D747" s="1">
        <v>42447</v>
      </c>
      <c r="E747" s="4">
        <v>4117.6499999999996</v>
      </c>
      <c r="F747" s="4">
        <f t="shared" si="15"/>
        <v>782.35349999999994</v>
      </c>
      <c r="G747" s="4">
        <f t="shared" si="16"/>
        <v>4900.0034999999998</v>
      </c>
      <c r="H747" s="1">
        <f t="shared" si="17"/>
        <v>9</v>
      </c>
      <c r="I747" s="1">
        <f t="shared" si="18"/>
        <v>2024</v>
      </c>
      <c r="J747" s="4"/>
      <c r="K747" s="1" t="s">
        <v>87</v>
      </c>
    </row>
    <row r="748" spans="1:12">
      <c r="A748" s="1" t="s">
        <v>291</v>
      </c>
      <c r="B748" s="7">
        <v>45565</v>
      </c>
      <c r="C748" s="1" t="s">
        <v>12</v>
      </c>
      <c r="D748" s="1">
        <v>9676</v>
      </c>
      <c r="E748" s="4">
        <v>38655.46</v>
      </c>
      <c r="F748" s="4">
        <f t="shared" si="15"/>
        <v>7344.5374000000002</v>
      </c>
      <c r="G748" s="4">
        <f t="shared" si="16"/>
        <v>45999.9974</v>
      </c>
      <c r="H748" s="1">
        <f t="shared" si="17"/>
        <v>9</v>
      </c>
      <c r="I748" s="1">
        <f t="shared" si="18"/>
        <v>2024</v>
      </c>
      <c r="J748" s="4"/>
      <c r="K748" s="1" t="s">
        <v>87</v>
      </c>
    </row>
    <row r="749" spans="1:12">
      <c r="A749" s="1" t="s">
        <v>291</v>
      </c>
      <c r="B749" s="7">
        <v>45566</v>
      </c>
      <c r="C749" s="1" t="s">
        <v>12</v>
      </c>
      <c r="D749" s="1">
        <v>9684</v>
      </c>
      <c r="E749" s="4">
        <v>19159.66</v>
      </c>
      <c r="F749" s="4">
        <f t="shared" si="15"/>
        <v>3640.3353999999999</v>
      </c>
      <c r="G749" s="4">
        <f t="shared" si="16"/>
        <v>22799.9954</v>
      </c>
      <c r="H749" s="1">
        <f t="shared" si="17"/>
        <v>10</v>
      </c>
      <c r="I749" s="1">
        <f t="shared" si="18"/>
        <v>2024</v>
      </c>
      <c r="J749" s="4"/>
      <c r="K749" s="1" t="s">
        <v>87</v>
      </c>
    </row>
    <row r="750" spans="1:12">
      <c r="A750" s="1" t="s">
        <v>349</v>
      </c>
      <c r="B750" s="7">
        <v>45567</v>
      </c>
      <c r="C750" s="1" t="s">
        <v>12</v>
      </c>
      <c r="D750" s="1">
        <v>5952676</v>
      </c>
      <c r="E750" s="4">
        <v>11403.36</v>
      </c>
      <c r="F750" s="4">
        <f t="shared" si="15"/>
        <v>2166.6384000000003</v>
      </c>
      <c r="G750" s="4">
        <f t="shared" si="16"/>
        <v>13569.9984</v>
      </c>
      <c r="H750" s="1">
        <f t="shared" si="17"/>
        <v>10</v>
      </c>
      <c r="I750" s="1">
        <f t="shared" si="18"/>
        <v>2024</v>
      </c>
      <c r="J750" s="4"/>
      <c r="K750" s="1" t="s">
        <v>87</v>
      </c>
    </row>
    <row r="751" spans="1:12">
      <c r="A751" s="1" t="s">
        <v>203</v>
      </c>
      <c r="B751" s="7">
        <v>45568</v>
      </c>
      <c r="C751" s="1" t="s">
        <v>12</v>
      </c>
      <c r="D751" s="1">
        <v>41399324</v>
      </c>
      <c r="E751" s="4">
        <v>25289.919999999998</v>
      </c>
      <c r="F751" s="4">
        <f t="shared" si="15"/>
        <v>4805.0847999999996</v>
      </c>
      <c r="G751" s="4">
        <f t="shared" si="16"/>
        <v>30095.004799999999</v>
      </c>
      <c r="H751" s="1">
        <f t="shared" si="17"/>
        <v>10</v>
      </c>
      <c r="I751" s="1">
        <f t="shared" si="18"/>
        <v>2024</v>
      </c>
      <c r="J751" s="4"/>
      <c r="K751" s="1" t="s">
        <v>87</v>
      </c>
    </row>
    <row r="752" spans="1:12">
      <c r="A752" s="1" t="s">
        <v>236</v>
      </c>
      <c r="B752" s="7">
        <v>45569</v>
      </c>
      <c r="C752" s="1" t="s">
        <v>12</v>
      </c>
      <c r="D752" s="1">
        <v>42620</v>
      </c>
      <c r="E752" s="4">
        <v>8067.23</v>
      </c>
      <c r="F752" s="4">
        <f t="shared" si="15"/>
        <v>1532.7737</v>
      </c>
      <c r="G752" s="4">
        <f t="shared" si="16"/>
        <v>9600.0036999999993</v>
      </c>
      <c r="H752" s="1">
        <f t="shared" si="17"/>
        <v>10</v>
      </c>
      <c r="I752" s="1">
        <f t="shared" si="18"/>
        <v>2024</v>
      </c>
      <c r="J752" s="4"/>
      <c r="K752" s="1" t="s">
        <v>87</v>
      </c>
    </row>
    <row r="753" spans="1:11">
      <c r="A753" s="1" t="s">
        <v>202</v>
      </c>
      <c r="B753" s="7">
        <v>45574</v>
      </c>
      <c r="C753" s="1" t="s">
        <v>12</v>
      </c>
      <c r="D753" s="1">
        <v>2036801</v>
      </c>
      <c r="E753" s="4">
        <v>2726.05</v>
      </c>
      <c r="F753" s="4">
        <f t="shared" si="15"/>
        <v>517.94950000000006</v>
      </c>
      <c r="G753" s="4">
        <f t="shared" si="16"/>
        <v>3243.9995000000004</v>
      </c>
      <c r="H753" s="1">
        <f t="shared" si="17"/>
        <v>10</v>
      </c>
      <c r="I753" s="1">
        <f t="shared" si="18"/>
        <v>2024</v>
      </c>
      <c r="J753" s="4"/>
      <c r="K753" s="1" t="s">
        <v>87</v>
      </c>
    </row>
    <row r="754" spans="1:11">
      <c r="A754" s="1" t="s">
        <v>236</v>
      </c>
      <c r="B754" s="3">
        <v>45586</v>
      </c>
      <c r="C754" s="1" t="s">
        <v>12</v>
      </c>
      <c r="D754" s="1">
        <v>42985</v>
      </c>
      <c r="E754" s="4">
        <v>3950.42</v>
      </c>
      <c r="F754" s="4">
        <f t="shared" si="15"/>
        <v>750.57979999999998</v>
      </c>
      <c r="G754" s="4">
        <f t="shared" si="16"/>
        <v>4700.9997999999996</v>
      </c>
      <c r="H754" s="1">
        <f t="shared" si="17"/>
        <v>10</v>
      </c>
      <c r="I754" s="1">
        <f t="shared" si="18"/>
        <v>2024</v>
      </c>
      <c r="J754" s="4"/>
      <c r="K754" s="1" t="s">
        <v>87</v>
      </c>
    </row>
    <row r="755" spans="1:11">
      <c r="A755" s="1" t="s">
        <v>166</v>
      </c>
      <c r="B755" s="3">
        <v>45593</v>
      </c>
      <c r="C755" s="1" t="s">
        <v>12</v>
      </c>
      <c r="D755" s="1">
        <v>82989</v>
      </c>
      <c r="E755" s="4">
        <v>12762.18</v>
      </c>
      <c r="F755" s="4">
        <f t="shared" si="15"/>
        <v>2424.8142000000003</v>
      </c>
      <c r="G755" s="4">
        <f t="shared" si="16"/>
        <v>15186.994200000001</v>
      </c>
      <c r="H755" s="1">
        <f t="shared" si="17"/>
        <v>10</v>
      </c>
      <c r="I755" s="1">
        <f t="shared" si="18"/>
        <v>2024</v>
      </c>
      <c r="J755" s="4"/>
      <c r="K755" s="1" t="s">
        <v>87</v>
      </c>
    </row>
    <row r="756" spans="1:11">
      <c r="A756" s="1" t="s">
        <v>291</v>
      </c>
      <c r="B756" s="3">
        <v>45593</v>
      </c>
      <c r="C756" s="1" t="s">
        <v>12</v>
      </c>
      <c r="D756" s="1">
        <v>10096</v>
      </c>
      <c r="E756" s="4">
        <v>11260.5</v>
      </c>
      <c r="F756" s="4">
        <f t="shared" si="15"/>
        <v>2139.4949999999999</v>
      </c>
      <c r="G756" s="4">
        <f t="shared" si="16"/>
        <v>13399.994999999999</v>
      </c>
      <c r="H756" s="1">
        <f t="shared" si="17"/>
        <v>10</v>
      </c>
      <c r="I756" s="1">
        <f t="shared" si="18"/>
        <v>2024</v>
      </c>
      <c r="J756" s="4"/>
      <c r="K756" s="1" t="s">
        <v>87</v>
      </c>
    </row>
    <row r="757" spans="1:11">
      <c r="A757" s="1" t="s">
        <v>236</v>
      </c>
      <c r="B757" s="3">
        <v>45593</v>
      </c>
      <c r="C757" s="1" t="s">
        <v>12</v>
      </c>
      <c r="D757" s="1">
        <v>43164</v>
      </c>
      <c r="E757" s="4">
        <v>4117.6499999999996</v>
      </c>
      <c r="F757" s="4">
        <f t="shared" si="15"/>
        <v>782.35349999999994</v>
      </c>
      <c r="G757" s="4">
        <f t="shared" si="16"/>
        <v>4900.0034999999998</v>
      </c>
      <c r="H757" s="1">
        <f t="shared" si="17"/>
        <v>10</v>
      </c>
      <c r="I757" s="1">
        <f t="shared" si="18"/>
        <v>2024</v>
      </c>
      <c r="J757" s="4"/>
      <c r="K757" s="1" t="s">
        <v>87</v>
      </c>
    </row>
    <row r="758" spans="1:11">
      <c r="A758" s="1" t="s">
        <v>291</v>
      </c>
      <c r="B758" s="7">
        <v>45600</v>
      </c>
      <c r="C758" s="1" t="s">
        <v>12</v>
      </c>
      <c r="D758" s="1">
        <v>10138</v>
      </c>
      <c r="E758" s="4">
        <v>2941.18</v>
      </c>
      <c r="F758" s="4">
        <f t="shared" si="15"/>
        <v>558.82420000000002</v>
      </c>
      <c r="G758" s="4">
        <f t="shared" si="16"/>
        <v>3500.0041999999999</v>
      </c>
      <c r="H758" s="1">
        <f t="shared" si="17"/>
        <v>11</v>
      </c>
      <c r="I758" s="1">
        <f t="shared" si="18"/>
        <v>2024</v>
      </c>
      <c r="J758" s="4"/>
      <c r="K758" s="1" t="s">
        <v>87</v>
      </c>
    </row>
    <row r="759" spans="1:11">
      <c r="A759" s="1" t="s">
        <v>389</v>
      </c>
      <c r="B759" s="7">
        <v>45602</v>
      </c>
      <c r="C759" s="1" t="s">
        <v>12</v>
      </c>
      <c r="D759" s="1">
        <v>545828</v>
      </c>
      <c r="E759" s="4">
        <v>465941</v>
      </c>
      <c r="F759" s="4">
        <f t="shared" si="15"/>
        <v>88528.790000000008</v>
      </c>
      <c r="G759" s="4">
        <f t="shared" si="16"/>
        <v>554469.79</v>
      </c>
      <c r="H759" s="1">
        <f t="shared" si="17"/>
        <v>11</v>
      </c>
      <c r="I759" s="1">
        <f t="shared" si="18"/>
        <v>2024</v>
      </c>
      <c r="J759" s="4"/>
      <c r="K759" s="1" t="s">
        <v>87</v>
      </c>
    </row>
    <row r="760" spans="1:11">
      <c r="A760" s="1" t="s">
        <v>203</v>
      </c>
      <c r="B760" s="7">
        <v>45602</v>
      </c>
      <c r="C760" s="1" t="s">
        <v>12</v>
      </c>
      <c r="D760" s="1">
        <v>41671786</v>
      </c>
      <c r="E760" s="4">
        <v>25400</v>
      </c>
      <c r="F760" s="4">
        <f t="shared" si="15"/>
        <v>4826</v>
      </c>
      <c r="G760" s="4">
        <f t="shared" si="16"/>
        <v>30226</v>
      </c>
      <c r="H760" s="1">
        <f t="shared" si="17"/>
        <v>11</v>
      </c>
      <c r="I760" s="1">
        <f t="shared" si="18"/>
        <v>2024</v>
      </c>
      <c r="J760" s="4"/>
      <c r="K760" s="1" t="s">
        <v>87</v>
      </c>
    </row>
    <row r="761" spans="1:11">
      <c r="A761" s="1" t="s">
        <v>392</v>
      </c>
      <c r="B761" s="7">
        <v>45603</v>
      </c>
      <c r="C761" s="1" t="s">
        <v>12</v>
      </c>
      <c r="D761" s="1">
        <v>98501</v>
      </c>
      <c r="E761" s="4">
        <v>15126.89</v>
      </c>
      <c r="F761" s="4">
        <f t="shared" si="15"/>
        <v>2874.1091000000001</v>
      </c>
      <c r="G761" s="4">
        <f t="shared" si="16"/>
        <v>18000.999100000001</v>
      </c>
      <c r="H761" s="1">
        <f t="shared" si="17"/>
        <v>11</v>
      </c>
      <c r="I761" s="1">
        <f t="shared" si="18"/>
        <v>2024</v>
      </c>
      <c r="J761" s="4"/>
      <c r="K761" s="1" t="s">
        <v>87</v>
      </c>
    </row>
    <row r="762" spans="1:11">
      <c r="A762" s="1" t="s">
        <v>291</v>
      </c>
      <c r="B762" s="7">
        <v>45603</v>
      </c>
      <c r="C762" s="1" t="s">
        <v>12</v>
      </c>
      <c r="D762" s="1">
        <v>10181</v>
      </c>
      <c r="E762" s="4">
        <v>19663.87</v>
      </c>
      <c r="F762" s="4">
        <f t="shared" si="15"/>
        <v>3736.1352999999999</v>
      </c>
      <c r="G762" s="4">
        <f t="shared" si="16"/>
        <v>23400.005299999997</v>
      </c>
      <c r="H762" s="1">
        <f t="shared" si="17"/>
        <v>11</v>
      </c>
      <c r="I762" s="1">
        <f t="shared" si="18"/>
        <v>2024</v>
      </c>
      <c r="J762" s="4"/>
      <c r="K762" s="1" t="s">
        <v>87</v>
      </c>
    </row>
    <row r="763" spans="1:11">
      <c r="A763" s="1" t="s">
        <v>291</v>
      </c>
      <c r="B763" s="7">
        <v>45604</v>
      </c>
      <c r="C763" s="1" t="s">
        <v>12</v>
      </c>
      <c r="D763" s="1">
        <v>10189</v>
      </c>
      <c r="E763" s="4">
        <v>5042.0200000000004</v>
      </c>
      <c r="F763" s="4">
        <f t="shared" si="15"/>
        <v>957.98380000000009</v>
      </c>
      <c r="G763" s="4">
        <f t="shared" si="16"/>
        <v>6000.0038000000004</v>
      </c>
      <c r="H763" s="1">
        <f t="shared" si="17"/>
        <v>11</v>
      </c>
      <c r="I763" s="1">
        <f t="shared" si="18"/>
        <v>2024</v>
      </c>
      <c r="J763" s="4"/>
      <c r="K763" s="1" t="s">
        <v>87</v>
      </c>
    </row>
    <row r="764" spans="1:11">
      <c r="A764" s="1" t="s">
        <v>202</v>
      </c>
      <c r="B764" s="7">
        <v>45604</v>
      </c>
      <c r="C764" s="1" t="s">
        <v>12</v>
      </c>
      <c r="D764" s="1">
        <v>2126777</v>
      </c>
      <c r="E764" s="4">
        <v>1931.93</v>
      </c>
      <c r="F764" s="4">
        <f t="shared" si="15"/>
        <v>367.06670000000003</v>
      </c>
      <c r="G764" s="4">
        <f t="shared" si="16"/>
        <v>2298.9967000000001</v>
      </c>
      <c r="H764" s="1">
        <f t="shared" si="17"/>
        <v>11</v>
      </c>
      <c r="I764" s="1">
        <f t="shared" si="18"/>
        <v>2024</v>
      </c>
      <c r="J764" s="4"/>
      <c r="K764" s="1" t="s">
        <v>87</v>
      </c>
    </row>
    <row r="765" spans="1:11">
      <c r="A765" s="1" t="s">
        <v>291</v>
      </c>
      <c r="B765" s="7">
        <v>45604</v>
      </c>
      <c r="C765" s="1" t="s">
        <v>12</v>
      </c>
      <c r="D765" s="1">
        <v>10203</v>
      </c>
      <c r="E765" s="4">
        <v>47478.99</v>
      </c>
      <c r="F765" s="4">
        <f t="shared" si="15"/>
        <v>9021.0080999999991</v>
      </c>
      <c r="G765" s="4">
        <f t="shared" si="16"/>
        <v>56499.998099999997</v>
      </c>
      <c r="H765" s="1">
        <f t="shared" si="17"/>
        <v>11</v>
      </c>
      <c r="I765" s="1">
        <f t="shared" si="18"/>
        <v>2024</v>
      </c>
      <c r="J765" s="4"/>
      <c r="K765" s="1" t="s">
        <v>87</v>
      </c>
    </row>
    <row r="766" spans="1:11">
      <c r="A766" s="1" t="s">
        <v>103</v>
      </c>
      <c r="B766" s="3">
        <v>45607</v>
      </c>
      <c r="C766" s="1" t="s">
        <v>12</v>
      </c>
      <c r="D766" s="1">
        <v>356191</v>
      </c>
      <c r="E766" s="4">
        <v>189426.89</v>
      </c>
      <c r="F766" s="4">
        <f t="shared" si="15"/>
        <v>35991.109100000001</v>
      </c>
      <c r="G766" s="4">
        <f t="shared" si="16"/>
        <v>225417.99910000002</v>
      </c>
      <c r="H766" s="1">
        <f t="shared" si="17"/>
        <v>11</v>
      </c>
      <c r="I766" s="1">
        <f t="shared" si="18"/>
        <v>2024</v>
      </c>
      <c r="J766" s="4"/>
      <c r="K766" s="1" t="s">
        <v>87</v>
      </c>
    </row>
    <row r="767" spans="1:11">
      <c r="A767" s="1" t="s">
        <v>291</v>
      </c>
      <c r="B767" s="3">
        <v>45607</v>
      </c>
      <c r="C767" s="1" t="s">
        <v>12</v>
      </c>
      <c r="D767" s="1">
        <v>10226</v>
      </c>
      <c r="E767" s="4">
        <v>4873.95</v>
      </c>
      <c r="F767" s="4">
        <f t="shared" si="15"/>
        <v>926.05049999999994</v>
      </c>
      <c r="G767" s="4">
        <f t="shared" si="16"/>
        <v>5800.0005000000001</v>
      </c>
      <c r="H767" s="1">
        <f t="shared" si="17"/>
        <v>11</v>
      </c>
      <c r="I767" s="1">
        <f t="shared" si="18"/>
        <v>2024</v>
      </c>
      <c r="J767" s="4"/>
      <c r="K767" s="1" t="s">
        <v>87</v>
      </c>
    </row>
    <row r="768" spans="1:11">
      <c r="A768" s="1" t="s">
        <v>236</v>
      </c>
      <c r="B768" s="3">
        <v>45607</v>
      </c>
      <c r="C768" s="1" t="s">
        <v>12</v>
      </c>
      <c r="D768" s="1">
        <v>43524</v>
      </c>
      <c r="E768" s="4">
        <v>16974.79</v>
      </c>
      <c r="F768" s="4">
        <f t="shared" si="15"/>
        <v>3225.2101000000002</v>
      </c>
      <c r="G768" s="4">
        <f t="shared" si="16"/>
        <v>20200.000100000001</v>
      </c>
      <c r="H768" s="1">
        <f t="shared" si="17"/>
        <v>11</v>
      </c>
      <c r="I768" s="1">
        <f t="shared" si="18"/>
        <v>2024</v>
      </c>
      <c r="J768" s="4"/>
      <c r="K768" s="1" t="s">
        <v>87</v>
      </c>
    </row>
    <row r="769" spans="1:11">
      <c r="A769" s="1" t="s">
        <v>14</v>
      </c>
      <c r="B769" s="3">
        <v>45607</v>
      </c>
      <c r="C769" s="1" t="s">
        <v>12</v>
      </c>
      <c r="D769" s="1">
        <v>51954</v>
      </c>
      <c r="E769" s="4">
        <v>389900</v>
      </c>
      <c r="F769" s="4">
        <f t="shared" si="15"/>
        <v>74081</v>
      </c>
      <c r="G769" s="4">
        <f t="shared" si="16"/>
        <v>463981</v>
      </c>
      <c r="H769" s="1">
        <f t="shared" si="17"/>
        <v>11</v>
      </c>
      <c r="I769" s="1">
        <f t="shared" si="18"/>
        <v>2024</v>
      </c>
      <c r="J769" s="4"/>
      <c r="K769" s="1" t="s">
        <v>87</v>
      </c>
    </row>
    <row r="770" spans="1:11">
      <c r="A770" s="1" t="s">
        <v>291</v>
      </c>
      <c r="B770" s="3">
        <v>45608</v>
      </c>
      <c r="C770" s="1" t="s">
        <v>12</v>
      </c>
      <c r="D770" s="1">
        <v>10233</v>
      </c>
      <c r="E770" s="4">
        <v>20084.03</v>
      </c>
      <c r="F770" s="4">
        <f t="shared" si="15"/>
        <v>3815.9656999999997</v>
      </c>
      <c r="G770" s="4">
        <f t="shared" si="16"/>
        <v>23899.995699999999</v>
      </c>
      <c r="H770" s="1">
        <f t="shared" si="17"/>
        <v>11</v>
      </c>
      <c r="I770" s="1">
        <f t="shared" si="18"/>
        <v>2024</v>
      </c>
      <c r="J770" s="4"/>
      <c r="K770" s="1" t="s">
        <v>87</v>
      </c>
    </row>
    <row r="771" spans="1:11">
      <c r="A771" s="1" t="s">
        <v>393</v>
      </c>
      <c r="B771" s="3">
        <v>45608</v>
      </c>
      <c r="C771" s="1" t="s">
        <v>12</v>
      </c>
      <c r="D771" s="1">
        <v>2133</v>
      </c>
      <c r="E771" s="4">
        <v>15042.02</v>
      </c>
      <c r="F771" s="4">
        <f t="shared" si="15"/>
        <v>2857.9838</v>
      </c>
      <c r="G771" s="4">
        <f t="shared" si="16"/>
        <v>17900.003799999999</v>
      </c>
      <c r="H771" s="1">
        <f t="shared" si="17"/>
        <v>11</v>
      </c>
      <c r="I771" s="1">
        <f t="shared" si="18"/>
        <v>2024</v>
      </c>
      <c r="J771" s="4"/>
      <c r="K771" s="1" t="s">
        <v>87</v>
      </c>
    </row>
    <row r="772" spans="1:11">
      <c r="A772" s="1" t="s">
        <v>28</v>
      </c>
      <c r="B772" s="3">
        <v>45608</v>
      </c>
      <c r="C772" s="1" t="s">
        <v>12</v>
      </c>
      <c r="D772" s="1">
        <v>986884</v>
      </c>
      <c r="E772" s="4">
        <v>14352.94</v>
      </c>
      <c r="F772" s="4">
        <f t="shared" si="15"/>
        <v>2727.0586000000003</v>
      </c>
      <c r="G772" s="4">
        <f t="shared" si="16"/>
        <v>17079.998599999999</v>
      </c>
      <c r="H772" s="1">
        <f t="shared" si="17"/>
        <v>11</v>
      </c>
      <c r="I772" s="1">
        <f t="shared" si="18"/>
        <v>2024</v>
      </c>
      <c r="J772" s="4"/>
      <c r="K772" s="1" t="s">
        <v>87</v>
      </c>
    </row>
    <row r="773" spans="1:11">
      <c r="A773" s="1" t="s">
        <v>394</v>
      </c>
      <c r="B773" s="3">
        <v>45609</v>
      </c>
      <c r="C773" s="1" t="s">
        <v>12</v>
      </c>
      <c r="D773" s="1">
        <v>6297711</v>
      </c>
      <c r="E773" s="4">
        <v>26042.02</v>
      </c>
      <c r="F773" s="4">
        <f t="shared" si="15"/>
        <v>4947.9838</v>
      </c>
      <c r="G773" s="4">
        <f t="shared" si="16"/>
        <v>30990.003799999999</v>
      </c>
      <c r="H773" s="1">
        <f t="shared" si="17"/>
        <v>11</v>
      </c>
      <c r="I773" s="1">
        <f t="shared" si="18"/>
        <v>2024</v>
      </c>
      <c r="J773" s="4"/>
      <c r="K773" s="1" t="s">
        <v>87</v>
      </c>
    </row>
    <row r="774" spans="1:11">
      <c r="A774" s="1" t="s">
        <v>394</v>
      </c>
      <c r="B774" s="3">
        <v>45609</v>
      </c>
      <c r="C774" s="1" t="s">
        <v>12</v>
      </c>
      <c r="D774" s="1">
        <v>6297712</v>
      </c>
      <c r="E774" s="4">
        <v>26042.02</v>
      </c>
      <c r="F774" s="4">
        <f t="shared" ref="F774:F1028" si="19">E774*0.19</f>
        <v>4947.9838</v>
      </c>
      <c r="G774" s="4">
        <f t="shared" si="16"/>
        <v>30990.003799999999</v>
      </c>
      <c r="H774" s="1">
        <f t="shared" si="17"/>
        <v>11</v>
      </c>
      <c r="I774" s="1">
        <f t="shared" si="18"/>
        <v>2024</v>
      </c>
      <c r="J774" s="4"/>
      <c r="K774" s="1" t="s">
        <v>87</v>
      </c>
    </row>
    <row r="775" spans="1:11">
      <c r="A775" s="1" t="s">
        <v>291</v>
      </c>
      <c r="B775" s="3">
        <v>45614</v>
      </c>
      <c r="C775" s="1" t="s">
        <v>12</v>
      </c>
      <c r="D775" s="1">
        <v>10291</v>
      </c>
      <c r="E775" s="4">
        <v>18907.560000000001</v>
      </c>
      <c r="F775" s="4">
        <f t="shared" si="19"/>
        <v>3592.4364000000005</v>
      </c>
      <c r="G775" s="4">
        <f t="shared" si="16"/>
        <v>22499.996400000004</v>
      </c>
      <c r="H775" s="1">
        <f t="shared" si="17"/>
        <v>11</v>
      </c>
      <c r="I775" s="1">
        <f t="shared" si="18"/>
        <v>2024</v>
      </c>
      <c r="J775" s="4"/>
      <c r="K775" s="1" t="s">
        <v>87</v>
      </c>
    </row>
    <row r="776" spans="1:11">
      <c r="A776" s="1" t="s">
        <v>368</v>
      </c>
      <c r="B776" s="3">
        <v>45616</v>
      </c>
      <c r="C776" s="1" t="s">
        <v>12</v>
      </c>
      <c r="D776" s="1">
        <v>53377</v>
      </c>
      <c r="E776" s="4">
        <v>105092.44</v>
      </c>
      <c r="F776" s="4">
        <f t="shared" si="19"/>
        <v>19967.563600000001</v>
      </c>
      <c r="G776" s="4">
        <f t="shared" si="16"/>
        <v>125060.0036</v>
      </c>
      <c r="H776" s="1">
        <f t="shared" si="17"/>
        <v>11</v>
      </c>
      <c r="I776" s="1">
        <f t="shared" si="18"/>
        <v>2024</v>
      </c>
      <c r="J776" s="4"/>
      <c r="K776" s="1" t="s">
        <v>87</v>
      </c>
    </row>
    <row r="777" spans="1:11">
      <c r="A777" s="1" t="s">
        <v>395</v>
      </c>
      <c r="B777" s="3">
        <v>45621</v>
      </c>
      <c r="C777" s="1" t="s">
        <v>12</v>
      </c>
      <c r="D777" s="1">
        <v>35926</v>
      </c>
      <c r="E777" s="4">
        <v>16722.689999999999</v>
      </c>
      <c r="F777" s="4">
        <f t="shared" si="19"/>
        <v>3177.3110999999999</v>
      </c>
      <c r="G777" s="4">
        <f t="shared" si="16"/>
        <v>19900.001099999998</v>
      </c>
      <c r="H777" s="1">
        <f t="shared" si="17"/>
        <v>11</v>
      </c>
      <c r="I777" s="1">
        <f t="shared" si="18"/>
        <v>2024</v>
      </c>
      <c r="J777" s="4"/>
      <c r="K777" s="1" t="s">
        <v>87</v>
      </c>
    </row>
    <row r="778" spans="1:11">
      <c r="A778" s="1" t="s">
        <v>291</v>
      </c>
      <c r="B778" s="3">
        <v>45623</v>
      </c>
      <c r="C778" s="1" t="s">
        <v>12</v>
      </c>
      <c r="D778" s="1">
        <v>10400</v>
      </c>
      <c r="E778" s="4">
        <v>7983.19</v>
      </c>
      <c r="F778" s="4">
        <f t="shared" si="19"/>
        <v>1516.8061</v>
      </c>
      <c r="G778" s="4">
        <f t="shared" si="16"/>
        <v>9499.9961000000003</v>
      </c>
      <c r="H778" s="1">
        <f t="shared" si="17"/>
        <v>11</v>
      </c>
      <c r="I778" s="1">
        <f t="shared" si="18"/>
        <v>2024</v>
      </c>
      <c r="J778" s="4"/>
      <c r="K778" s="1" t="s">
        <v>87</v>
      </c>
    </row>
    <row r="779" spans="1:11">
      <c r="A779" s="1" t="s">
        <v>166</v>
      </c>
      <c r="B779" s="3">
        <v>45624</v>
      </c>
      <c r="C779" s="1" t="s">
        <v>12</v>
      </c>
      <c r="D779" s="1">
        <v>84897</v>
      </c>
      <c r="E779" s="4">
        <v>12847.898999999999</v>
      </c>
      <c r="F779" s="4">
        <f t="shared" si="19"/>
        <v>2441.1008099999999</v>
      </c>
      <c r="G779" s="4">
        <f t="shared" si="16"/>
        <v>15288.999809999999</v>
      </c>
      <c r="H779" s="1">
        <f t="shared" si="17"/>
        <v>11</v>
      </c>
      <c r="I779" s="1">
        <f t="shared" si="18"/>
        <v>2024</v>
      </c>
      <c r="J779" s="4"/>
      <c r="K779" s="1" t="s">
        <v>87</v>
      </c>
    </row>
    <row r="780" spans="1:11">
      <c r="A780" s="1" t="s">
        <v>236</v>
      </c>
      <c r="B780" s="7">
        <v>45628</v>
      </c>
      <c r="C780" s="1" t="s">
        <v>12</v>
      </c>
      <c r="D780" s="1">
        <v>44104</v>
      </c>
      <c r="E780" s="4">
        <v>5798.32</v>
      </c>
      <c r="F780" s="4">
        <f t="shared" si="19"/>
        <v>1101.6807999999999</v>
      </c>
      <c r="G780" s="4">
        <f t="shared" si="16"/>
        <v>6900.0007999999998</v>
      </c>
      <c r="H780" s="1">
        <f t="shared" si="17"/>
        <v>12</v>
      </c>
      <c r="I780" s="1">
        <f t="shared" si="18"/>
        <v>2024</v>
      </c>
      <c r="J780" s="4"/>
      <c r="K780" s="1" t="s">
        <v>87</v>
      </c>
    </row>
    <row r="781" spans="1:11">
      <c r="A781" s="1" t="s">
        <v>236</v>
      </c>
      <c r="B781" s="7">
        <v>45628</v>
      </c>
      <c r="C781" s="1" t="s">
        <v>12</v>
      </c>
      <c r="D781" s="1">
        <v>44106</v>
      </c>
      <c r="E781" s="4">
        <v>20840.34</v>
      </c>
      <c r="F781" s="4">
        <f t="shared" si="19"/>
        <v>3959.6646000000001</v>
      </c>
      <c r="G781" s="4">
        <f t="shared" si="16"/>
        <v>24800.0046</v>
      </c>
      <c r="H781" s="1">
        <f t="shared" si="17"/>
        <v>12</v>
      </c>
      <c r="I781" s="1">
        <f t="shared" si="18"/>
        <v>2024</v>
      </c>
      <c r="J781" s="4"/>
      <c r="K781" s="1" t="s">
        <v>87</v>
      </c>
    </row>
    <row r="782" spans="1:11">
      <c r="A782" s="1" t="s">
        <v>203</v>
      </c>
      <c r="B782" s="7">
        <v>45631</v>
      </c>
      <c r="C782" s="1" t="s">
        <v>12</v>
      </c>
      <c r="D782" s="1">
        <v>41936487</v>
      </c>
      <c r="E782" s="4">
        <v>25440.35</v>
      </c>
      <c r="F782" s="4">
        <f t="shared" si="19"/>
        <v>4833.6664999999994</v>
      </c>
      <c r="G782" s="4">
        <f t="shared" si="16"/>
        <v>30274.016499999998</v>
      </c>
      <c r="H782" s="1">
        <f t="shared" si="17"/>
        <v>12</v>
      </c>
      <c r="I782" s="1">
        <f t="shared" si="18"/>
        <v>2024</v>
      </c>
      <c r="J782" s="4"/>
      <c r="K782" s="1" t="s">
        <v>87</v>
      </c>
    </row>
    <row r="783" spans="1:11">
      <c r="A783" s="1" t="s">
        <v>396</v>
      </c>
      <c r="B783" s="7">
        <v>45632</v>
      </c>
      <c r="C783" s="1" t="s">
        <v>12</v>
      </c>
      <c r="D783" s="1">
        <v>2996211</v>
      </c>
      <c r="E783" s="4">
        <v>7142.86</v>
      </c>
      <c r="F783" s="4">
        <f t="shared" si="19"/>
        <v>1357.1433999999999</v>
      </c>
      <c r="G783" s="4">
        <f t="shared" si="16"/>
        <v>8500.0033999999996</v>
      </c>
      <c r="H783" s="1">
        <f t="shared" si="17"/>
        <v>12</v>
      </c>
      <c r="I783" s="1">
        <f t="shared" si="18"/>
        <v>2024</v>
      </c>
      <c r="J783" s="4"/>
      <c r="K783" s="1" t="s">
        <v>87</v>
      </c>
    </row>
    <row r="784" spans="1:11">
      <c r="A784" s="1" t="s">
        <v>202</v>
      </c>
      <c r="B784" s="7">
        <v>45634</v>
      </c>
      <c r="C784" s="1" t="s">
        <v>12</v>
      </c>
      <c r="D784" s="1">
        <v>2179422</v>
      </c>
      <c r="E784" s="4">
        <v>3761.34</v>
      </c>
      <c r="F784" s="4">
        <f t="shared" si="19"/>
        <v>714.65460000000007</v>
      </c>
      <c r="G784" s="4">
        <f t="shared" si="16"/>
        <v>4475.9946</v>
      </c>
      <c r="H784" s="1">
        <f t="shared" si="17"/>
        <v>12</v>
      </c>
      <c r="I784" s="1">
        <f t="shared" si="18"/>
        <v>2024</v>
      </c>
      <c r="J784" s="4"/>
      <c r="K784" s="1" t="s">
        <v>87</v>
      </c>
    </row>
    <row r="785" spans="1:11">
      <c r="A785" s="1" t="s">
        <v>342</v>
      </c>
      <c r="B785" s="3">
        <v>45638</v>
      </c>
      <c r="C785" s="1" t="s">
        <v>12</v>
      </c>
      <c r="D785" s="1">
        <v>5222925</v>
      </c>
      <c r="E785" s="4">
        <v>23176.47</v>
      </c>
      <c r="F785" s="4">
        <f t="shared" si="19"/>
        <v>4403.5293000000001</v>
      </c>
      <c r="G785" s="4">
        <f t="shared" si="16"/>
        <v>27579.999300000003</v>
      </c>
      <c r="H785" s="1">
        <f t="shared" si="17"/>
        <v>12</v>
      </c>
      <c r="I785" s="1">
        <f t="shared" si="18"/>
        <v>2024</v>
      </c>
      <c r="J785" s="4"/>
      <c r="K785" s="1" t="s">
        <v>87</v>
      </c>
    </row>
    <row r="786" spans="1:11">
      <c r="A786" s="1" t="s">
        <v>368</v>
      </c>
      <c r="B786" s="3">
        <v>45638</v>
      </c>
      <c r="C786" s="1" t="s">
        <v>12</v>
      </c>
      <c r="D786" s="1">
        <v>55133</v>
      </c>
      <c r="E786" s="4">
        <v>37210.080000000002</v>
      </c>
      <c r="F786" s="4">
        <f t="shared" si="19"/>
        <v>7069.9152000000004</v>
      </c>
      <c r="G786" s="4">
        <f t="shared" si="16"/>
        <v>44279.995200000005</v>
      </c>
      <c r="H786" s="1">
        <f t="shared" si="17"/>
        <v>12</v>
      </c>
      <c r="I786" s="1">
        <f t="shared" si="18"/>
        <v>2024</v>
      </c>
      <c r="J786" s="4"/>
      <c r="K786" s="1" t="s">
        <v>87</v>
      </c>
    </row>
    <row r="787" spans="1:11">
      <c r="A787" s="1" t="s">
        <v>368</v>
      </c>
      <c r="B787" s="3">
        <v>45638</v>
      </c>
      <c r="C787" s="1" t="s">
        <v>12</v>
      </c>
      <c r="D787" s="1">
        <v>55136</v>
      </c>
      <c r="E787" s="4">
        <v>35210.080000000002</v>
      </c>
      <c r="F787" s="4">
        <f t="shared" si="19"/>
        <v>6689.9152000000004</v>
      </c>
      <c r="G787" s="4">
        <f t="shared" si="16"/>
        <v>41899.995200000005</v>
      </c>
      <c r="H787" s="1">
        <f t="shared" si="17"/>
        <v>12</v>
      </c>
      <c r="I787" s="1">
        <f t="shared" si="18"/>
        <v>2024</v>
      </c>
      <c r="J787" s="4"/>
      <c r="K787" s="1" t="s">
        <v>87</v>
      </c>
    </row>
    <row r="788" spans="1:11">
      <c r="A788" s="1" t="s">
        <v>397</v>
      </c>
      <c r="B788" s="3">
        <v>45638</v>
      </c>
      <c r="C788" s="1" t="s">
        <v>12</v>
      </c>
      <c r="D788" s="1">
        <v>1415</v>
      </c>
      <c r="E788" s="4">
        <v>12605.04</v>
      </c>
      <c r="F788" s="4">
        <f t="shared" si="19"/>
        <v>2394.9576000000002</v>
      </c>
      <c r="G788" s="4">
        <f t="shared" si="16"/>
        <v>14999.997600000001</v>
      </c>
      <c r="H788" s="1">
        <f t="shared" si="17"/>
        <v>12</v>
      </c>
      <c r="I788" s="1">
        <f t="shared" si="18"/>
        <v>2024</v>
      </c>
      <c r="J788" s="4"/>
      <c r="K788" s="1" t="s">
        <v>87</v>
      </c>
    </row>
    <row r="789" spans="1:11">
      <c r="A789" s="1" t="s">
        <v>291</v>
      </c>
      <c r="B789" s="3">
        <v>45639</v>
      </c>
      <c r="C789" s="1" t="s">
        <v>12</v>
      </c>
      <c r="D789" s="1">
        <v>10581</v>
      </c>
      <c r="E789" s="4">
        <v>7647.06</v>
      </c>
      <c r="F789" s="4">
        <f t="shared" si="19"/>
        <v>1452.9414000000002</v>
      </c>
      <c r="G789" s="4">
        <f t="shared" ref="G789:G1000" si="20">E789+F789</f>
        <v>9100.001400000001</v>
      </c>
      <c r="H789" s="1">
        <f t="shared" si="17"/>
        <v>12</v>
      </c>
      <c r="I789" s="1">
        <f t="shared" si="18"/>
        <v>2024</v>
      </c>
      <c r="J789" s="4"/>
      <c r="K789" s="1" t="s">
        <v>87</v>
      </c>
    </row>
    <row r="790" spans="1:11">
      <c r="A790" s="1" t="s">
        <v>398</v>
      </c>
      <c r="B790" s="3">
        <v>45639</v>
      </c>
      <c r="C790" s="1" t="s">
        <v>12</v>
      </c>
      <c r="D790" s="1">
        <v>107050</v>
      </c>
      <c r="E790" s="4">
        <v>29411.759999999998</v>
      </c>
      <c r="F790" s="4">
        <f t="shared" si="19"/>
        <v>5588.2343999999994</v>
      </c>
      <c r="G790" s="4">
        <f t="shared" si="20"/>
        <v>34999.994399999996</v>
      </c>
      <c r="H790" s="1">
        <f t="shared" si="17"/>
        <v>12</v>
      </c>
      <c r="I790" s="1">
        <f t="shared" si="18"/>
        <v>2024</v>
      </c>
      <c r="J790" s="4"/>
      <c r="K790" s="1" t="s">
        <v>87</v>
      </c>
    </row>
    <row r="791" spans="1:11">
      <c r="A791" s="1" t="s">
        <v>14</v>
      </c>
      <c r="B791" s="3">
        <v>45642</v>
      </c>
      <c r="C791" s="1" t="s">
        <v>12</v>
      </c>
      <c r="D791" s="1">
        <v>52608</v>
      </c>
      <c r="E791" s="4">
        <v>151800.84</v>
      </c>
      <c r="F791" s="4">
        <f t="shared" si="19"/>
        <v>28842.159599999999</v>
      </c>
      <c r="G791" s="4">
        <f t="shared" si="20"/>
        <v>180642.99959999998</v>
      </c>
      <c r="H791" s="1">
        <f t="shared" si="17"/>
        <v>12</v>
      </c>
      <c r="I791" s="1">
        <f t="shared" si="18"/>
        <v>2024</v>
      </c>
      <c r="J791" s="4"/>
      <c r="K791" s="1" t="s">
        <v>87</v>
      </c>
    </row>
    <row r="792" spans="1:11">
      <c r="A792" s="1" t="s">
        <v>368</v>
      </c>
      <c r="B792" s="3">
        <v>45642</v>
      </c>
      <c r="C792" s="1" t="s">
        <v>12</v>
      </c>
      <c r="D792" s="1">
        <v>55320</v>
      </c>
      <c r="E792" s="4">
        <v>65210.080000000002</v>
      </c>
      <c r="F792" s="4">
        <f t="shared" si="19"/>
        <v>12389.915200000001</v>
      </c>
      <c r="G792" s="4">
        <f t="shared" si="20"/>
        <v>77599.995200000005</v>
      </c>
      <c r="H792" s="1">
        <f t="shared" si="17"/>
        <v>12</v>
      </c>
      <c r="I792" s="1">
        <f t="shared" si="18"/>
        <v>2024</v>
      </c>
      <c r="J792" s="4"/>
      <c r="K792" s="1" t="s">
        <v>87</v>
      </c>
    </row>
    <row r="793" spans="1:11">
      <c r="A793" s="1" t="s">
        <v>291</v>
      </c>
      <c r="B793" s="3">
        <v>45644</v>
      </c>
      <c r="C793" s="1" t="s">
        <v>12</v>
      </c>
      <c r="D793" s="1">
        <v>10633</v>
      </c>
      <c r="E793" s="4">
        <v>33445.379999999997</v>
      </c>
      <c r="F793" s="4">
        <f t="shared" si="19"/>
        <v>6354.6221999999998</v>
      </c>
      <c r="G793" s="4">
        <f t="shared" si="20"/>
        <v>39800.002199999995</v>
      </c>
      <c r="H793" s="1">
        <f t="shared" si="17"/>
        <v>12</v>
      </c>
      <c r="I793" s="1">
        <f t="shared" si="18"/>
        <v>2024</v>
      </c>
      <c r="J793" s="4"/>
      <c r="K793" s="1" t="s">
        <v>87</v>
      </c>
    </row>
    <row r="794" spans="1:11">
      <c r="A794" s="1" t="s">
        <v>373</v>
      </c>
      <c r="B794" s="3">
        <v>45644</v>
      </c>
      <c r="C794" s="1" t="s">
        <v>12</v>
      </c>
      <c r="D794" s="1">
        <v>936</v>
      </c>
      <c r="E794" s="4">
        <v>58738.66</v>
      </c>
      <c r="F794" s="4">
        <f t="shared" si="19"/>
        <v>11160.3454</v>
      </c>
      <c r="G794" s="4">
        <f t="shared" si="20"/>
        <v>69899.005400000009</v>
      </c>
      <c r="H794" s="1">
        <f t="shared" si="17"/>
        <v>12</v>
      </c>
      <c r="I794" s="1">
        <f t="shared" si="18"/>
        <v>2024</v>
      </c>
      <c r="J794" s="4"/>
      <c r="K794" s="1" t="s">
        <v>87</v>
      </c>
    </row>
    <row r="795" spans="1:11">
      <c r="A795" s="1" t="s">
        <v>14</v>
      </c>
      <c r="B795" s="3">
        <v>45645</v>
      </c>
      <c r="C795" s="1" t="s">
        <v>12</v>
      </c>
      <c r="D795" s="1">
        <v>52711</v>
      </c>
      <c r="E795" s="4">
        <v>68200</v>
      </c>
      <c r="F795" s="4">
        <f t="shared" si="19"/>
        <v>12958</v>
      </c>
      <c r="G795" s="4">
        <f t="shared" si="20"/>
        <v>81158</v>
      </c>
      <c r="H795" s="1">
        <f t="shared" si="17"/>
        <v>12</v>
      </c>
      <c r="I795" s="1">
        <f t="shared" si="18"/>
        <v>2024</v>
      </c>
      <c r="J795" s="4"/>
      <c r="K795" s="1" t="s">
        <v>87</v>
      </c>
    </row>
    <row r="796" spans="1:11">
      <c r="A796" s="1" t="s">
        <v>291</v>
      </c>
      <c r="B796" s="3">
        <v>45645</v>
      </c>
      <c r="C796" s="1" t="s">
        <v>12</v>
      </c>
      <c r="D796" s="1">
        <v>10650</v>
      </c>
      <c r="E796" s="4">
        <v>3781.51</v>
      </c>
      <c r="F796" s="4">
        <f t="shared" si="19"/>
        <v>718.48690000000011</v>
      </c>
      <c r="G796" s="4">
        <f t="shared" si="20"/>
        <v>4499.9969000000001</v>
      </c>
      <c r="H796" s="1">
        <f t="shared" si="17"/>
        <v>12</v>
      </c>
      <c r="I796" s="1">
        <f t="shared" si="18"/>
        <v>2024</v>
      </c>
      <c r="J796" s="4"/>
      <c r="K796" s="1" t="s">
        <v>87</v>
      </c>
    </row>
    <row r="797" spans="1:11">
      <c r="A797" s="1" t="s">
        <v>373</v>
      </c>
      <c r="B797" s="3">
        <v>45647</v>
      </c>
      <c r="C797" s="1" t="s">
        <v>12</v>
      </c>
      <c r="D797" s="1">
        <v>944</v>
      </c>
      <c r="E797" s="4">
        <v>18403</v>
      </c>
      <c r="F797" s="4">
        <f t="shared" si="19"/>
        <v>3496.57</v>
      </c>
      <c r="G797" s="4">
        <f t="shared" si="20"/>
        <v>21899.57</v>
      </c>
      <c r="H797" s="1">
        <f t="shared" si="17"/>
        <v>12</v>
      </c>
      <c r="I797" s="1">
        <f t="shared" si="18"/>
        <v>2024</v>
      </c>
      <c r="J797" s="4"/>
      <c r="K797" s="1" t="s">
        <v>87</v>
      </c>
    </row>
    <row r="798" spans="1:11">
      <c r="A798" s="1" t="s">
        <v>389</v>
      </c>
      <c r="B798" s="3">
        <v>45649</v>
      </c>
      <c r="C798" s="1" t="s">
        <v>12</v>
      </c>
      <c r="D798" s="1">
        <v>553239</v>
      </c>
      <c r="E798" s="4">
        <v>389262.18</v>
      </c>
      <c r="F798" s="4">
        <f t="shared" si="19"/>
        <v>73959.814199999993</v>
      </c>
      <c r="G798" s="4">
        <f t="shared" si="20"/>
        <v>463221.99419999996</v>
      </c>
      <c r="H798" s="1">
        <f t="shared" si="17"/>
        <v>12</v>
      </c>
      <c r="I798" s="1">
        <f t="shared" si="18"/>
        <v>2024</v>
      </c>
      <c r="J798" s="4"/>
      <c r="K798" s="1" t="s">
        <v>87</v>
      </c>
    </row>
    <row r="799" spans="1:11">
      <c r="A799" s="1" t="s">
        <v>373</v>
      </c>
      <c r="B799" s="3">
        <v>45650</v>
      </c>
      <c r="C799" s="1" t="s">
        <v>12</v>
      </c>
      <c r="D799" s="1">
        <v>948</v>
      </c>
      <c r="E799" s="4">
        <v>9663.8700000000008</v>
      </c>
      <c r="F799" s="4">
        <f t="shared" si="19"/>
        <v>1836.1353000000001</v>
      </c>
      <c r="G799" s="4">
        <f t="shared" si="20"/>
        <v>11500.005300000001</v>
      </c>
      <c r="H799" s="1">
        <f t="shared" si="17"/>
        <v>12</v>
      </c>
      <c r="I799" s="1">
        <f t="shared" si="18"/>
        <v>2024</v>
      </c>
      <c r="J799" s="4"/>
      <c r="K799" s="1" t="s">
        <v>87</v>
      </c>
    </row>
    <row r="800" spans="1:11">
      <c r="A800" s="1" t="s">
        <v>373</v>
      </c>
      <c r="B800" s="3">
        <v>45652</v>
      </c>
      <c r="C800" s="1" t="s">
        <v>12</v>
      </c>
      <c r="D800" s="1">
        <v>949</v>
      </c>
      <c r="E800" s="4">
        <v>10504.2</v>
      </c>
      <c r="F800" s="4">
        <f t="shared" si="19"/>
        <v>1995.7980000000002</v>
      </c>
      <c r="G800" s="4">
        <f t="shared" si="20"/>
        <v>12499.998000000001</v>
      </c>
      <c r="H800" s="1">
        <f t="shared" si="17"/>
        <v>12</v>
      </c>
      <c r="I800" s="1">
        <f t="shared" si="18"/>
        <v>2024</v>
      </c>
      <c r="J800" s="4"/>
      <c r="K800" s="1" t="s">
        <v>87</v>
      </c>
    </row>
    <row r="801" spans="1:12">
      <c r="A801" s="1" t="s">
        <v>291</v>
      </c>
      <c r="B801" s="3">
        <v>45652</v>
      </c>
      <c r="C801" s="1" t="s">
        <v>12</v>
      </c>
      <c r="D801" s="1">
        <v>10690</v>
      </c>
      <c r="E801" s="4">
        <v>9243.7000000000007</v>
      </c>
      <c r="F801" s="4">
        <f t="shared" si="19"/>
        <v>1756.3030000000001</v>
      </c>
      <c r="G801" s="4">
        <f t="shared" si="20"/>
        <v>11000.003000000001</v>
      </c>
      <c r="H801" s="1">
        <f t="shared" si="17"/>
        <v>12</v>
      </c>
      <c r="I801" s="1">
        <f t="shared" si="18"/>
        <v>2024</v>
      </c>
      <c r="J801" s="4"/>
      <c r="K801" s="1" t="s">
        <v>87</v>
      </c>
    </row>
    <row r="802" spans="1:12">
      <c r="A802" s="1" t="s">
        <v>166</v>
      </c>
      <c r="B802" s="3">
        <v>45659</v>
      </c>
      <c r="C802" s="1" t="s">
        <v>12</v>
      </c>
      <c r="D802" s="1">
        <v>86827</v>
      </c>
      <c r="E802" s="4">
        <v>12910.92</v>
      </c>
      <c r="F802" s="4">
        <f t="shared" si="19"/>
        <v>2453.0747999999999</v>
      </c>
      <c r="G802" s="4">
        <f t="shared" si="20"/>
        <v>15363.9948</v>
      </c>
      <c r="H802" s="1">
        <f t="shared" si="17"/>
        <v>1</v>
      </c>
      <c r="I802" s="1">
        <f t="shared" si="18"/>
        <v>2025</v>
      </c>
      <c r="J802" s="4"/>
      <c r="K802" s="1" t="s">
        <v>87</v>
      </c>
    </row>
    <row r="803" spans="1:12">
      <c r="A803" s="1" t="s">
        <v>291</v>
      </c>
      <c r="B803" s="3">
        <v>45656</v>
      </c>
      <c r="C803" s="1" t="s">
        <v>12</v>
      </c>
      <c r="D803" s="1">
        <v>10706</v>
      </c>
      <c r="E803" s="4">
        <v>55882.35</v>
      </c>
      <c r="F803" s="4">
        <f t="shared" si="19"/>
        <v>10617.646500000001</v>
      </c>
      <c r="G803" s="4">
        <f t="shared" si="20"/>
        <v>66499.996499999994</v>
      </c>
      <c r="H803" s="1">
        <f t="shared" si="17"/>
        <v>12</v>
      </c>
      <c r="I803" s="1">
        <f t="shared" si="18"/>
        <v>2024</v>
      </c>
      <c r="J803" s="4"/>
      <c r="K803" s="1" t="s">
        <v>87</v>
      </c>
    </row>
    <row r="804" spans="1:12">
      <c r="A804" s="1" t="s">
        <v>291</v>
      </c>
      <c r="B804" s="3">
        <v>45656</v>
      </c>
      <c r="C804" s="1" t="s">
        <v>12</v>
      </c>
      <c r="D804" s="1">
        <v>10707</v>
      </c>
      <c r="E804" s="4">
        <v>2521</v>
      </c>
      <c r="F804" s="4">
        <f t="shared" si="19"/>
        <v>478.99</v>
      </c>
      <c r="G804" s="4">
        <f t="shared" si="20"/>
        <v>2999.99</v>
      </c>
      <c r="H804" s="1">
        <f t="shared" si="17"/>
        <v>12</v>
      </c>
      <c r="I804" s="1">
        <f t="shared" si="18"/>
        <v>2024</v>
      </c>
      <c r="J804" s="4"/>
      <c r="K804" s="1" t="s">
        <v>87</v>
      </c>
    </row>
    <row r="805" spans="1:12">
      <c r="A805" s="1" t="s">
        <v>373</v>
      </c>
      <c r="B805" s="7">
        <v>45659</v>
      </c>
      <c r="C805" s="1" t="s">
        <v>12</v>
      </c>
      <c r="D805" s="1">
        <v>966</v>
      </c>
      <c r="E805" s="4">
        <v>12941.18</v>
      </c>
      <c r="F805" s="4">
        <f t="shared" si="19"/>
        <v>2458.8242</v>
      </c>
      <c r="G805" s="4">
        <f t="shared" si="20"/>
        <v>15400.004199999999</v>
      </c>
      <c r="H805" s="1">
        <f t="shared" si="17"/>
        <v>1</v>
      </c>
      <c r="I805" s="1">
        <f t="shared" si="18"/>
        <v>2025</v>
      </c>
      <c r="J805" s="4"/>
      <c r="K805" s="1" t="s">
        <v>87</v>
      </c>
    </row>
    <row r="806" spans="1:12">
      <c r="A806" s="1" t="s">
        <v>373</v>
      </c>
      <c r="B806" s="7">
        <v>45660</v>
      </c>
      <c r="C806" s="1" t="s">
        <v>12</v>
      </c>
      <c r="D806" s="1">
        <v>970</v>
      </c>
      <c r="E806" s="4">
        <v>14117.65</v>
      </c>
      <c r="F806" s="4">
        <f t="shared" si="19"/>
        <v>2682.3535000000002</v>
      </c>
      <c r="G806" s="4">
        <f t="shared" si="20"/>
        <v>16800.003499999999</v>
      </c>
      <c r="H806" s="1">
        <f t="shared" si="17"/>
        <v>1</v>
      </c>
      <c r="I806" s="1">
        <f t="shared" si="18"/>
        <v>2025</v>
      </c>
      <c r="J806" s="4"/>
      <c r="K806" s="1" t="s">
        <v>87</v>
      </c>
    </row>
    <row r="807" spans="1:12">
      <c r="A807" s="1" t="s">
        <v>373</v>
      </c>
      <c r="B807" s="7">
        <v>45660</v>
      </c>
      <c r="C807" s="1" t="s">
        <v>12</v>
      </c>
      <c r="D807" s="1">
        <v>971</v>
      </c>
      <c r="E807" s="4">
        <v>104033.61</v>
      </c>
      <c r="F807" s="4">
        <f t="shared" si="19"/>
        <v>19766.385900000001</v>
      </c>
      <c r="G807" s="4">
        <f t="shared" si="20"/>
        <v>123799.99590000001</v>
      </c>
      <c r="H807" s="1">
        <f t="shared" si="17"/>
        <v>1</v>
      </c>
      <c r="I807" s="1">
        <f t="shared" si="18"/>
        <v>2025</v>
      </c>
      <c r="J807" s="4"/>
      <c r="K807" s="1" t="s">
        <v>87</v>
      </c>
    </row>
    <row r="808" spans="1:12">
      <c r="A808" s="1" t="s">
        <v>399</v>
      </c>
      <c r="B808" s="7">
        <v>45661</v>
      </c>
      <c r="C808" s="1" t="s">
        <v>12</v>
      </c>
      <c r="D808" s="1">
        <v>100709</v>
      </c>
      <c r="E808" s="4">
        <v>7983.19</v>
      </c>
      <c r="F808" s="4">
        <f t="shared" si="19"/>
        <v>1516.8061</v>
      </c>
      <c r="G808" s="4">
        <f t="shared" si="20"/>
        <v>9499.9961000000003</v>
      </c>
      <c r="H808" s="1">
        <f t="shared" si="17"/>
        <v>1</v>
      </c>
      <c r="I808" s="1">
        <f t="shared" si="18"/>
        <v>2025</v>
      </c>
      <c r="J808" s="4"/>
      <c r="K808" s="1" t="s">
        <v>87</v>
      </c>
    </row>
    <row r="809" spans="1:12">
      <c r="A809" s="1" t="s">
        <v>236</v>
      </c>
      <c r="B809" s="7">
        <v>45661</v>
      </c>
      <c r="C809" s="1" t="s">
        <v>12</v>
      </c>
      <c r="D809" s="1">
        <v>44882</v>
      </c>
      <c r="E809" s="4">
        <v>4957.9799999999996</v>
      </c>
      <c r="F809" s="4">
        <f t="shared" si="19"/>
        <v>942.01619999999991</v>
      </c>
      <c r="G809" s="4">
        <f t="shared" si="20"/>
        <v>5899.9961999999996</v>
      </c>
      <c r="H809" s="1">
        <f t="shared" si="17"/>
        <v>1</v>
      </c>
      <c r="I809" s="1">
        <f t="shared" si="18"/>
        <v>2025</v>
      </c>
      <c r="J809" s="4"/>
      <c r="K809" s="1" t="s">
        <v>87</v>
      </c>
    </row>
    <row r="810" spans="1:12">
      <c r="A810" s="1" t="s">
        <v>203</v>
      </c>
      <c r="B810" s="7">
        <v>45662</v>
      </c>
      <c r="C810" s="1" t="s">
        <v>12</v>
      </c>
      <c r="D810" s="1">
        <v>42224607</v>
      </c>
      <c r="E810" s="4">
        <v>25617.65</v>
      </c>
      <c r="F810" s="4">
        <f t="shared" si="19"/>
        <v>4867.3535000000002</v>
      </c>
      <c r="G810" s="4">
        <f t="shared" si="20"/>
        <v>30485.003500000003</v>
      </c>
      <c r="H810" s="1">
        <f t="shared" si="17"/>
        <v>1</v>
      </c>
      <c r="I810" s="1">
        <f t="shared" si="18"/>
        <v>2025</v>
      </c>
      <c r="J810" s="4"/>
      <c r="K810" s="1" t="s">
        <v>87</v>
      </c>
    </row>
    <row r="811" spans="1:12">
      <c r="A811" s="1" t="s">
        <v>373</v>
      </c>
      <c r="B811" s="7">
        <v>45664</v>
      </c>
      <c r="C811" s="1" t="s">
        <v>12</v>
      </c>
      <c r="D811" s="1">
        <v>978</v>
      </c>
      <c r="E811" s="4">
        <v>28824.37</v>
      </c>
      <c r="F811" s="4">
        <f t="shared" si="19"/>
        <v>5476.6302999999998</v>
      </c>
      <c r="G811" s="4">
        <f t="shared" si="20"/>
        <v>34301.0003</v>
      </c>
      <c r="H811" s="1">
        <f t="shared" si="17"/>
        <v>1</v>
      </c>
      <c r="I811" s="1">
        <f t="shared" si="18"/>
        <v>2025</v>
      </c>
      <c r="J811" s="4"/>
      <c r="K811" s="1" t="s">
        <v>87</v>
      </c>
    </row>
    <row r="812" spans="1:12">
      <c r="A812" s="1" t="s">
        <v>202</v>
      </c>
      <c r="B812" s="7">
        <v>45666</v>
      </c>
      <c r="C812" s="1" t="s">
        <v>12</v>
      </c>
      <c r="D812" s="1">
        <v>2195929</v>
      </c>
      <c r="E812" s="4">
        <v>4129.41</v>
      </c>
      <c r="F812" s="4">
        <f t="shared" si="19"/>
        <v>784.58789999999999</v>
      </c>
      <c r="G812" s="4">
        <f t="shared" si="20"/>
        <v>4913.9979000000003</v>
      </c>
      <c r="H812" s="1">
        <f t="shared" si="17"/>
        <v>1</v>
      </c>
      <c r="I812" s="1">
        <f t="shared" si="18"/>
        <v>2025</v>
      </c>
      <c r="J812" s="4"/>
      <c r="K812" s="1" t="s">
        <v>87</v>
      </c>
    </row>
    <row r="813" spans="1:12">
      <c r="A813" s="1" t="s">
        <v>342</v>
      </c>
      <c r="B813" s="7">
        <v>45666</v>
      </c>
      <c r="C813" s="1" t="s">
        <v>12</v>
      </c>
      <c r="D813" s="1">
        <v>5285458</v>
      </c>
      <c r="E813" s="4">
        <v>33445.379999999997</v>
      </c>
      <c r="F813" s="4">
        <f t="shared" si="19"/>
        <v>6354.6221999999998</v>
      </c>
      <c r="G813" s="4">
        <f t="shared" si="20"/>
        <v>39800.002199999995</v>
      </c>
      <c r="H813" s="1">
        <f t="shared" si="17"/>
        <v>1</v>
      </c>
      <c r="I813" s="1">
        <f t="shared" si="18"/>
        <v>2025</v>
      </c>
      <c r="J813" s="4"/>
      <c r="K813" s="1" t="s">
        <v>87</v>
      </c>
    </row>
    <row r="814" spans="1:12">
      <c r="A814" s="1" t="s">
        <v>368</v>
      </c>
      <c r="B814" s="7">
        <v>45666</v>
      </c>
      <c r="C814" s="1" t="s">
        <v>12</v>
      </c>
      <c r="D814" s="1">
        <v>56923</v>
      </c>
      <c r="E814" s="4"/>
      <c r="F814" s="4">
        <f t="shared" si="19"/>
        <v>0</v>
      </c>
      <c r="G814" s="4">
        <f t="shared" si="20"/>
        <v>0</v>
      </c>
      <c r="H814" s="1">
        <f t="shared" si="17"/>
        <v>1</v>
      </c>
      <c r="I814" s="1">
        <f t="shared" si="18"/>
        <v>2025</v>
      </c>
      <c r="J814" s="4"/>
      <c r="K814" s="1" t="s">
        <v>87</v>
      </c>
      <c r="L814" s="1" t="s">
        <v>354</v>
      </c>
    </row>
    <row r="815" spans="1:12">
      <c r="A815" s="1" t="s">
        <v>373</v>
      </c>
      <c r="B815" s="7">
        <v>45667</v>
      </c>
      <c r="C815" s="1" t="s">
        <v>12</v>
      </c>
      <c r="D815" s="1">
        <v>986</v>
      </c>
      <c r="E815" s="4">
        <v>80504.2</v>
      </c>
      <c r="F815" s="4">
        <f t="shared" si="19"/>
        <v>15295.797999999999</v>
      </c>
      <c r="G815" s="4">
        <f t="shared" si="20"/>
        <v>95799.997999999992</v>
      </c>
      <c r="H815" s="1">
        <f t="shared" si="17"/>
        <v>1</v>
      </c>
      <c r="I815" s="1">
        <f t="shared" si="18"/>
        <v>2025</v>
      </c>
      <c r="J815" s="4"/>
      <c r="K815" s="1" t="s">
        <v>87</v>
      </c>
    </row>
    <row r="816" spans="1:12">
      <c r="A816" s="1" t="s">
        <v>291</v>
      </c>
      <c r="B816" s="7">
        <v>45667</v>
      </c>
      <c r="C816" s="1" t="s">
        <v>12</v>
      </c>
      <c r="D816" s="1">
        <v>10867</v>
      </c>
      <c r="E816" s="4">
        <v>4201.68</v>
      </c>
      <c r="F816" s="4">
        <f t="shared" si="19"/>
        <v>798.31920000000002</v>
      </c>
      <c r="G816" s="4">
        <f t="shared" si="20"/>
        <v>4999.9992000000002</v>
      </c>
      <c r="H816" s="1">
        <f t="shared" si="17"/>
        <v>1</v>
      </c>
      <c r="I816" s="1">
        <f t="shared" si="18"/>
        <v>2025</v>
      </c>
      <c r="J816" s="4"/>
      <c r="K816" s="1" t="s">
        <v>87</v>
      </c>
    </row>
    <row r="817" spans="1:11">
      <c r="A817" s="1" t="s">
        <v>400</v>
      </c>
      <c r="B817" s="7">
        <v>45668</v>
      </c>
      <c r="C817" s="1" t="s">
        <v>12</v>
      </c>
      <c r="D817" s="1">
        <v>67066</v>
      </c>
      <c r="E817" s="4">
        <v>75630.25</v>
      </c>
      <c r="F817" s="4">
        <f t="shared" si="19"/>
        <v>14369.747499999999</v>
      </c>
      <c r="G817" s="4">
        <f t="shared" si="20"/>
        <v>89999.997499999998</v>
      </c>
      <c r="H817" s="1">
        <f t="shared" si="17"/>
        <v>1</v>
      </c>
      <c r="I817" s="1">
        <f t="shared" si="18"/>
        <v>2025</v>
      </c>
      <c r="J817" s="4"/>
      <c r="K817" s="1" t="s">
        <v>87</v>
      </c>
    </row>
    <row r="818" spans="1:11">
      <c r="A818" s="1" t="s">
        <v>103</v>
      </c>
      <c r="B818" s="7">
        <v>45672</v>
      </c>
      <c r="C818" s="1" t="s">
        <v>12</v>
      </c>
      <c r="D818" s="1">
        <v>365569</v>
      </c>
      <c r="E818" s="4">
        <v>110710.92</v>
      </c>
      <c r="F818" s="4">
        <f t="shared" si="19"/>
        <v>21035.074799999999</v>
      </c>
      <c r="G818" s="4">
        <f t="shared" si="20"/>
        <v>131745.99479999999</v>
      </c>
      <c r="H818" s="1">
        <f t="shared" si="17"/>
        <v>1</v>
      </c>
      <c r="I818" s="1">
        <f t="shared" si="18"/>
        <v>2025</v>
      </c>
      <c r="J818" s="4"/>
      <c r="K818" s="1" t="s">
        <v>87</v>
      </c>
    </row>
    <row r="819" spans="1:11">
      <c r="A819" s="1" t="s">
        <v>103</v>
      </c>
      <c r="B819" s="7">
        <v>45672</v>
      </c>
      <c r="C819" s="1" t="s">
        <v>12</v>
      </c>
      <c r="D819" s="1">
        <v>365568</v>
      </c>
      <c r="E819" s="4">
        <v>141693.28</v>
      </c>
      <c r="F819" s="4">
        <f t="shared" si="19"/>
        <v>26921.7232</v>
      </c>
      <c r="G819" s="4">
        <f t="shared" si="20"/>
        <v>168615.00320000001</v>
      </c>
      <c r="H819" s="1">
        <f t="shared" si="17"/>
        <v>1</v>
      </c>
      <c r="I819" s="1">
        <f t="shared" si="18"/>
        <v>2025</v>
      </c>
      <c r="J819" s="4"/>
      <c r="K819" s="1" t="s">
        <v>87</v>
      </c>
    </row>
    <row r="820" spans="1:11">
      <c r="A820" s="1" t="s">
        <v>401</v>
      </c>
      <c r="B820" s="7">
        <v>45673</v>
      </c>
      <c r="C820" s="1" t="s">
        <v>12</v>
      </c>
      <c r="D820" s="1">
        <v>17234</v>
      </c>
      <c r="E820" s="4">
        <v>343904.2</v>
      </c>
      <c r="F820" s="4">
        <f t="shared" si="19"/>
        <v>65341.798000000003</v>
      </c>
      <c r="G820" s="4">
        <f t="shared" si="20"/>
        <v>409245.99800000002</v>
      </c>
      <c r="H820" s="1">
        <f t="shared" si="17"/>
        <v>1</v>
      </c>
      <c r="I820" s="1">
        <f t="shared" si="18"/>
        <v>2025</v>
      </c>
      <c r="J820" s="4"/>
      <c r="K820" s="1" t="s">
        <v>87</v>
      </c>
    </row>
    <row r="821" spans="1:11">
      <c r="A821" s="1" t="s">
        <v>28</v>
      </c>
      <c r="B821" s="7">
        <v>45674</v>
      </c>
      <c r="C821" s="1" t="s">
        <v>12</v>
      </c>
      <c r="D821" s="1">
        <v>1023186</v>
      </c>
      <c r="E821" s="4">
        <v>15470.59</v>
      </c>
      <c r="F821" s="4">
        <f t="shared" si="19"/>
        <v>2939.4121</v>
      </c>
      <c r="G821" s="4">
        <f t="shared" si="20"/>
        <v>18410.002100000002</v>
      </c>
      <c r="H821" s="1">
        <f t="shared" si="17"/>
        <v>1</v>
      </c>
      <c r="I821" s="1">
        <f t="shared" si="18"/>
        <v>2025</v>
      </c>
      <c r="J821" s="4"/>
      <c r="K821" s="1" t="s">
        <v>87</v>
      </c>
    </row>
    <row r="822" spans="1:11">
      <c r="A822" s="1" t="s">
        <v>399</v>
      </c>
      <c r="B822" s="7">
        <v>45677</v>
      </c>
      <c r="C822" s="1" t="s">
        <v>12</v>
      </c>
      <c r="D822" s="1">
        <v>101365</v>
      </c>
      <c r="E822" s="4">
        <v>13025.21</v>
      </c>
      <c r="F822" s="4">
        <f t="shared" si="19"/>
        <v>2474.7898999999998</v>
      </c>
      <c r="G822" s="4">
        <f t="shared" si="20"/>
        <v>15499.999899999999</v>
      </c>
      <c r="H822" s="1">
        <f t="shared" si="17"/>
        <v>1</v>
      </c>
      <c r="I822" s="1">
        <f t="shared" si="18"/>
        <v>2025</v>
      </c>
      <c r="J822" s="4"/>
      <c r="K822" s="1" t="s">
        <v>87</v>
      </c>
    </row>
    <row r="823" spans="1:11">
      <c r="A823" s="1" t="s">
        <v>402</v>
      </c>
      <c r="B823" s="7">
        <v>45678</v>
      </c>
      <c r="C823" s="1" t="s">
        <v>12</v>
      </c>
      <c r="D823" s="1">
        <v>252798</v>
      </c>
      <c r="E823" s="4">
        <v>13256.3</v>
      </c>
      <c r="F823" s="4">
        <f t="shared" si="19"/>
        <v>2518.6970000000001</v>
      </c>
      <c r="G823" s="4">
        <f t="shared" si="20"/>
        <v>15774.996999999999</v>
      </c>
      <c r="H823" s="1">
        <f t="shared" ref="H823:H1077" si="21">MONTH(B823)</f>
        <v>1</v>
      </c>
      <c r="I823" s="1">
        <f t="shared" ref="I823:I1077" si="22">YEAR(B823)</f>
        <v>2025</v>
      </c>
      <c r="J823" s="4"/>
      <c r="K823" s="1" t="s">
        <v>87</v>
      </c>
    </row>
    <row r="824" spans="1:11">
      <c r="A824" s="1" t="s">
        <v>368</v>
      </c>
      <c r="B824" s="7">
        <v>45678</v>
      </c>
      <c r="C824" s="1" t="s">
        <v>12</v>
      </c>
      <c r="D824" s="1">
        <v>57769</v>
      </c>
      <c r="E824" s="4">
        <v>7974.79</v>
      </c>
      <c r="F824" s="4">
        <f t="shared" si="19"/>
        <v>1515.2101</v>
      </c>
      <c r="G824" s="4">
        <f t="shared" si="20"/>
        <v>9490.0000999999993</v>
      </c>
      <c r="H824" s="1">
        <f t="shared" si="21"/>
        <v>1</v>
      </c>
      <c r="I824" s="1">
        <f t="shared" si="22"/>
        <v>2025</v>
      </c>
      <c r="J824" s="4"/>
      <c r="K824" s="1" t="s">
        <v>87</v>
      </c>
    </row>
    <row r="825" spans="1:11">
      <c r="A825" s="1" t="s">
        <v>68</v>
      </c>
      <c r="B825" s="7">
        <v>45689</v>
      </c>
      <c r="C825" s="1" t="s">
        <v>12</v>
      </c>
      <c r="D825" s="1">
        <v>262560</v>
      </c>
      <c r="E825" s="4">
        <v>99173</v>
      </c>
      <c r="F825" s="4">
        <f t="shared" si="19"/>
        <v>18842.87</v>
      </c>
      <c r="G825" s="4">
        <f t="shared" si="20"/>
        <v>118015.87</v>
      </c>
      <c r="H825" s="1">
        <f t="shared" si="21"/>
        <v>2</v>
      </c>
      <c r="I825" s="1">
        <f t="shared" si="22"/>
        <v>2025</v>
      </c>
      <c r="J825" s="4"/>
      <c r="K825" s="1" t="s">
        <v>87</v>
      </c>
    </row>
    <row r="826" spans="1:11">
      <c r="A826" s="1" t="s">
        <v>236</v>
      </c>
      <c r="B826" s="7">
        <v>45680</v>
      </c>
      <c r="C826" s="1" t="s">
        <v>12</v>
      </c>
      <c r="D826" s="1">
        <v>45431</v>
      </c>
      <c r="E826" s="4">
        <v>4873.95</v>
      </c>
      <c r="F826" s="4">
        <f t="shared" si="19"/>
        <v>926.05049999999994</v>
      </c>
      <c r="G826" s="4">
        <f t="shared" si="20"/>
        <v>5800.0005000000001</v>
      </c>
      <c r="H826" s="1">
        <f t="shared" si="21"/>
        <v>1</v>
      </c>
      <c r="I826" s="1">
        <f t="shared" si="22"/>
        <v>2025</v>
      </c>
      <c r="J826" s="4"/>
      <c r="K826" s="1" t="s">
        <v>87</v>
      </c>
    </row>
    <row r="827" spans="1:11">
      <c r="A827" s="1" t="s">
        <v>28</v>
      </c>
      <c r="B827" s="7">
        <v>45689</v>
      </c>
      <c r="C827" s="1" t="s">
        <v>12</v>
      </c>
      <c r="D827" s="1">
        <v>1023273</v>
      </c>
      <c r="E827" s="4">
        <v>3823.53</v>
      </c>
      <c r="F827" s="4">
        <f t="shared" si="19"/>
        <v>726.47070000000008</v>
      </c>
      <c r="G827" s="4">
        <f t="shared" si="20"/>
        <v>4550.0007000000005</v>
      </c>
      <c r="H827" s="1">
        <f t="shared" si="21"/>
        <v>2</v>
      </c>
      <c r="I827" s="1">
        <f t="shared" si="22"/>
        <v>2025</v>
      </c>
      <c r="J827" s="4"/>
      <c r="K827" s="1" t="s">
        <v>87</v>
      </c>
    </row>
    <row r="828" spans="1:11">
      <c r="A828" s="1" t="s">
        <v>403</v>
      </c>
      <c r="B828" s="7">
        <v>45681</v>
      </c>
      <c r="C828" s="1" t="s">
        <v>12</v>
      </c>
      <c r="D828" s="1">
        <v>4287</v>
      </c>
      <c r="E828" s="4">
        <v>57957.98</v>
      </c>
      <c r="F828" s="4">
        <f t="shared" si="19"/>
        <v>11012.0162</v>
      </c>
      <c r="G828" s="4">
        <f t="shared" si="20"/>
        <v>68969.996200000009</v>
      </c>
      <c r="H828" s="1">
        <f t="shared" si="21"/>
        <v>1</v>
      </c>
      <c r="I828" s="1">
        <f t="shared" si="22"/>
        <v>2025</v>
      </c>
      <c r="J828" s="4"/>
      <c r="K828" s="1" t="s">
        <v>87</v>
      </c>
    </row>
    <row r="829" spans="1:11">
      <c r="A829" s="1" t="s">
        <v>291</v>
      </c>
      <c r="B829" s="7">
        <v>45684</v>
      </c>
      <c r="C829" s="1" t="s">
        <v>12</v>
      </c>
      <c r="D829" s="1">
        <v>11035</v>
      </c>
      <c r="E829" s="4">
        <v>21176.5</v>
      </c>
      <c r="F829" s="4">
        <f t="shared" si="19"/>
        <v>4023.5349999999999</v>
      </c>
      <c r="G829" s="4">
        <f t="shared" si="20"/>
        <v>25200.035</v>
      </c>
      <c r="H829" s="1">
        <f t="shared" si="21"/>
        <v>1</v>
      </c>
      <c r="I829" s="1">
        <f t="shared" si="22"/>
        <v>2025</v>
      </c>
      <c r="J829" s="4"/>
      <c r="K829" s="1" t="s">
        <v>87</v>
      </c>
    </row>
    <row r="830" spans="1:11">
      <c r="A830" s="1" t="s">
        <v>236</v>
      </c>
      <c r="B830" s="7">
        <v>45684</v>
      </c>
      <c r="C830" s="1" t="s">
        <v>12</v>
      </c>
      <c r="D830" s="1">
        <v>45520</v>
      </c>
      <c r="E830" s="4">
        <v>3782.35</v>
      </c>
      <c r="F830" s="4">
        <f t="shared" si="19"/>
        <v>718.64649999999995</v>
      </c>
      <c r="G830" s="4">
        <f t="shared" si="20"/>
        <v>4500.9965000000002</v>
      </c>
      <c r="H830" s="1">
        <f t="shared" si="21"/>
        <v>1</v>
      </c>
      <c r="I830" s="1">
        <f t="shared" si="22"/>
        <v>2025</v>
      </c>
      <c r="J830" s="4"/>
      <c r="K830" s="1" t="s">
        <v>87</v>
      </c>
    </row>
    <row r="831" spans="1:11">
      <c r="A831" s="1" t="s">
        <v>166</v>
      </c>
      <c r="B831" s="7">
        <v>45689</v>
      </c>
      <c r="C831" s="1" t="s">
        <v>12</v>
      </c>
      <c r="D831" s="1">
        <v>88807</v>
      </c>
      <c r="E831" s="4">
        <v>12905.04</v>
      </c>
      <c r="F831" s="4">
        <f t="shared" si="19"/>
        <v>2451.9576000000002</v>
      </c>
      <c r="G831" s="4">
        <f t="shared" si="20"/>
        <v>15356.997600000001</v>
      </c>
      <c r="H831" s="1">
        <f t="shared" si="21"/>
        <v>2</v>
      </c>
      <c r="I831" s="1">
        <f t="shared" si="22"/>
        <v>2025</v>
      </c>
      <c r="J831" s="4"/>
      <c r="K831" s="1" t="s">
        <v>87</v>
      </c>
    </row>
    <row r="832" spans="1:11">
      <c r="A832" s="1" t="s">
        <v>373</v>
      </c>
      <c r="B832" s="7">
        <v>45687</v>
      </c>
      <c r="C832" s="1" t="s">
        <v>12</v>
      </c>
      <c r="D832" s="1">
        <v>1013</v>
      </c>
      <c r="E832" s="4">
        <v>20084.03</v>
      </c>
      <c r="F832" s="4">
        <f t="shared" si="19"/>
        <v>3815.9656999999997</v>
      </c>
      <c r="G832" s="4">
        <f t="shared" si="20"/>
        <v>23899.995699999999</v>
      </c>
      <c r="H832" s="1">
        <f t="shared" si="21"/>
        <v>1</v>
      </c>
      <c r="I832" s="1">
        <f t="shared" si="22"/>
        <v>2025</v>
      </c>
      <c r="J832" s="4"/>
      <c r="K832" s="1" t="s">
        <v>87</v>
      </c>
    </row>
    <row r="833" spans="1:11">
      <c r="A833" s="1" t="s">
        <v>399</v>
      </c>
      <c r="B833" s="7">
        <v>45687</v>
      </c>
      <c r="C833" s="1" t="s">
        <v>12</v>
      </c>
      <c r="D833" s="1">
        <v>101815</v>
      </c>
      <c r="E833" s="4">
        <v>9243.7000000000007</v>
      </c>
      <c r="F833" s="4">
        <f t="shared" si="19"/>
        <v>1756.3030000000001</v>
      </c>
      <c r="G833" s="4">
        <f t="shared" si="20"/>
        <v>11000.003000000001</v>
      </c>
      <c r="H833" s="1">
        <f t="shared" si="21"/>
        <v>1</v>
      </c>
      <c r="I833" s="1">
        <f t="shared" si="22"/>
        <v>2025</v>
      </c>
      <c r="J833" s="4"/>
      <c r="K833" s="1" t="s">
        <v>87</v>
      </c>
    </row>
    <row r="834" spans="1:11">
      <c r="A834" s="1" t="s">
        <v>291</v>
      </c>
      <c r="B834" s="7">
        <v>45688</v>
      </c>
      <c r="C834" s="1" t="s">
        <v>12</v>
      </c>
      <c r="D834" s="1">
        <v>11101</v>
      </c>
      <c r="E834" s="4">
        <v>11764.7</v>
      </c>
      <c r="F834" s="4">
        <f t="shared" si="19"/>
        <v>2235.2930000000001</v>
      </c>
      <c r="G834" s="4">
        <f t="shared" si="20"/>
        <v>13999.993</v>
      </c>
      <c r="H834" s="1">
        <f t="shared" si="21"/>
        <v>1</v>
      </c>
      <c r="I834" s="1">
        <f t="shared" si="22"/>
        <v>2025</v>
      </c>
      <c r="J834" s="4"/>
      <c r="K834" s="1" t="s">
        <v>87</v>
      </c>
    </row>
    <row r="835" spans="1:11">
      <c r="A835" s="1" t="s">
        <v>399</v>
      </c>
      <c r="B835" s="7">
        <v>45688</v>
      </c>
      <c r="C835" s="1" t="s">
        <v>12</v>
      </c>
      <c r="D835" s="1">
        <v>101879</v>
      </c>
      <c r="E835" s="4">
        <v>8824.3700000000008</v>
      </c>
      <c r="F835" s="4">
        <f t="shared" si="19"/>
        <v>1676.6303000000003</v>
      </c>
      <c r="G835" s="4">
        <f t="shared" si="20"/>
        <v>10501.000300000002</v>
      </c>
      <c r="H835" s="1">
        <f t="shared" si="21"/>
        <v>1</v>
      </c>
      <c r="I835" s="1">
        <f t="shared" si="22"/>
        <v>2025</v>
      </c>
      <c r="J835" s="4"/>
      <c r="K835" s="1" t="s">
        <v>87</v>
      </c>
    </row>
    <row r="836" spans="1:11">
      <c r="A836" s="1" t="s">
        <v>373</v>
      </c>
      <c r="B836" s="7">
        <v>45691</v>
      </c>
      <c r="C836" s="1" t="s">
        <v>12</v>
      </c>
      <c r="D836" s="1">
        <v>1020</v>
      </c>
      <c r="E836" s="4">
        <v>9075.6299999999992</v>
      </c>
      <c r="F836" s="4">
        <f t="shared" si="19"/>
        <v>1724.3697</v>
      </c>
      <c r="G836" s="4">
        <f t="shared" si="20"/>
        <v>10799.999699999998</v>
      </c>
      <c r="H836" s="1">
        <f t="shared" si="21"/>
        <v>2</v>
      </c>
      <c r="I836" s="1">
        <f t="shared" si="22"/>
        <v>2025</v>
      </c>
      <c r="J836" s="4"/>
      <c r="K836" s="1" t="s">
        <v>87</v>
      </c>
    </row>
    <row r="837" spans="1:11">
      <c r="A837" s="1" t="s">
        <v>389</v>
      </c>
      <c r="B837" s="7">
        <v>45692</v>
      </c>
      <c r="C837" s="1" t="s">
        <v>12</v>
      </c>
      <c r="D837" s="1">
        <v>560175</v>
      </c>
      <c r="E837" s="4">
        <v>367475.63</v>
      </c>
      <c r="F837" s="4">
        <f t="shared" si="19"/>
        <v>69820.369699999996</v>
      </c>
      <c r="G837" s="4">
        <f t="shared" si="20"/>
        <v>437295.99969999999</v>
      </c>
      <c r="H837" s="1">
        <f t="shared" si="21"/>
        <v>2</v>
      </c>
      <c r="I837" s="1">
        <f t="shared" si="22"/>
        <v>2025</v>
      </c>
      <c r="J837" s="4"/>
      <c r="K837" s="1" t="s">
        <v>87</v>
      </c>
    </row>
    <row r="838" spans="1:11">
      <c r="A838" s="1" t="s">
        <v>404</v>
      </c>
      <c r="B838" s="7">
        <v>45693</v>
      </c>
      <c r="C838" s="1" t="s">
        <v>12</v>
      </c>
      <c r="D838" s="1">
        <v>7193573</v>
      </c>
      <c r="E838" s="4">
        <v>30352.94</v>
      </c>
      <c r="F838" s="4">
        <f t="shared" si="19"/>
        <v>5767.0585999999994</v>
      </c>
      <c r="G838" s="4">
        <f t="shared" si="20"/>
        <v>36119.998599999999</v>
      </c>
      <c r="H838" s="1">
        <f t="shared" si="21"/>
        <v>2</v>
      </c>
      <c r="I838" s="1">
        <f t="shared" si="22"/>
        <v>2025</v>
      </c>
      <c r="J838" s="4"/>
      <c r="K838" s="1" t="s">
        <v>87</v>
      </c>
    </row>
    <row r="839" spans="1:11">
      <c r="A839" s="1" t="s">
        <v>399</v>
      </c>
      <c r="B839" s="7">
        <v>45693</v>
      </c>
      <c r="C839" s="1" t="s">
        <v>12</v>
      </c>
      <c r="D839" s="1">
        <v>102046</v>
      </c>
      <c r="E839" s="4">
        <v>16820.169999999998</v>
      </c>
      <c r="F839" s="4">
        <f t="shared" si="19"/>
        <v>3195.8322999999996</v>
      </c>
      <c r="G839" s="4">
        <f t="shared" si="20"/>
        <v>20016.002299999996</v>
      </c>
      <c r="H839" s="1">
        <f t="shared" si="21"/>
        <v>2</v>
      </c>
      <c r="I839" s="1">
        <f t="shared" si="22"/>
        <v>2025</v>
      </c>
      <c r="J839" s="4"/>
      <c r="K839" s="1" t="s">
        <v>87</v>
      </c>
    </row>
    <row r="840" spans="1:11">
      <c r="A840" s="1" t="s">
        <v>405</v>
      </c>
      <c r="B840" s="7">
        <v>45693</v>
      </c>
      <c r="C840" s="1" t="s">
        <v>12</v>
      </c>
      <c r="D840" s="1">
        <v>9628</v>
      </c>
      <c r="E840" s="4">
        <v>84487.39</v>
      </c>
      <c r="F840" s="4">
        <f t="shared" si="19"/>
        <v>16052.6041</v>
      </c>
      <c r="G840" s="4">
        <f t="shared" si="20"/>
        <v>100539.9941</v>
      </c>
      <c r="H840" s="1">
        <f t="shared" si="21"/>
        <v>2</v>
      </c>
      <c r="I840" s="1">
        <f t="shared" si="22"/>
        <v>2025</v>
      </c>
      <c r="J840" s="4"/>
      <c r="K840" s="1" t="s">
        <v>87</v>
      </c>
    </row>
    <row r="841" spans="1:11">
      <c r="A841" s="1" t="s">
        <v>291</v>
      </c>
      <c r="B841" s="7">
        <v>45693</v>
      </c>
      <c r="C841" s="1" t="s">
        <v>12</v>
      </c>
      <c r="D841" s="1">
        <v>11181</v>
      </c>
      <c r="E841" s="4">
        <v>20168.07</v>
      </c>
      <c r="F841" s="4">
        <f t="shared" si="19"/>
        <v>3831.9333000000001</v>
      </c>
      <c r="G841" s="4">
        <f t="shared" si="20"/>
        <v>24000.0033</v>
      </c>
      <c r="H841" s="1">
        <f t="shared" si="21"/>
        <v>2</v>
      </c>
      <c r="I841" s="1">
        <f t="shared" si="22"/>
        <v>2025</v>
      </c>
      <c r="J841" s="4"/>
      <c r="K841" s="1" t="s">
        <v>87</v>
      </c>
    </row>
    <row r="842" spans="1:11">
      <c r="A842" s="1" t="s">
        <v>14</v>
      </c>
      <c r="B842" s="7">
        <v>45693</v>
      </c>
      <c r="C842" s="1" t="s">
        <v>12</v>
      </c>
      <c r="D842" s="1">
        <v>53693</v>
      </c>
      <c r="E842" s="4">
        <v>331700</v>
      </c>
      <c r="F842" s="4">
        <f t="shared" si="19"/>
        <v>63023</v>
      </c>
      <c r="G842" s="4">
        <f t="shared" si="20"/>
        <v>394723</v>
      </c>
      <c r="H842" s="1">
        <f t="shared" si="21"/>
        <v>2</v>
      </c>
      <c r="I842" s="1">
        <f t="shared" si="22"/>
        <v>2025</v>
      </c>
      <c r="J842" s="4"/>
      <c r="K842" s="1" t="s">
        <v>87</v>
      </c>
    </row>
    <row r="843" spans="1:11">
      <c r="A843" s="1" t="s">
        <v>406</v>
      </c>
      <c r="B843" s="7">
        <v>45693</v>
      </c>
      <c r="C843" s="1" t="s">
        <v>12</v>
      </c>
      <c r="D843" s="1">
        <v>106</v>
      </c>
      <c r="E843" s="4">
        <v>31084.03</v>
      </c>
      <c r="F843" s="4">
        <f t="shared" si="19"/>
        <v>5905.9656999999997</v>
      </c>
      <c r="G843" s="4">
        <f t="shared" si="20"/>
        <v>36989.995699999999</v>
      </c>
      <c r="H843" s="1">
        <f t="shared" si="21"/>
        <v>2</v>
      </c>
      <c r="I843" s="1">
        <f t="shared" si="22"/>
        <v>2025</v>
      </c>
      <c r="J843" s="4"/>
      <c r="K843" s="1" t="s">
        <v>87</v>
      </c>
    </row>
    <row r="844" spans="1:11">
      <c r="A844" s="1" t="s">
        <v>203</v>
      </c>
      <c r="B844" s="7">
        <v>45694</v>
      </c>
      <c r="C844" s="1" t="s">
        <v>12</v>
      </c>
      <c r="D844" s="1">
        <v>42500644</v>
      </c>
      <c r="E844" s="4">
        <v>25737.82</v>
      </c>
      <c r="F844" s="4">
        <f t="shared" si="19"/>
        <v>4890.1858000000002</v>
      </c>
      <c r="G844" s="4">
        <f t="shared" si="20"/>
        <v>30628.005799999999</v>
      </c>
      <c r="H844" s="1">
        <f t="shared" si="21"/>
        <v>2</v>
      </c>
      <c r="I844" s="1">
        <f t="shared" si="22"/>
        <v>2025</v>
      </c>
      <c r="J844" s="4"/>
      <c r="K844" s="1" t="s">
        <v>87</v>
      </c>
    </row>
    <row r="845" spans="1:11">
      <c r="A845" s="1" t="s">
        <v>291</v>
      </c>
      <c r="B845" s="7">
        <v>45695</v>
      </c>
      <c r="C845" s="1" t="s">
        <v>12</v>
      </c>
      <c r="D845" s="1">
        <v>11211</v>
      </c>
      <c r="E845" s="4">
        <v>43277.31</v>
      </c>
      <c r="F845" s="4">
        <f t="shared" si="19"/>
        <v>8222.6888999999992</v>
      </c>
      <c r="G845" s="4">
        <f t="shared" si="20"/>
        <v>51499.998899999999</v>
      </c>
      <c r="H845" s="1">
        <f t="shared" si="21"/>
        <v>2</v>
      </c>
      <c r="I845" s="1">
        <f t="shared" si="22"/>
        <v>2025</v>
      </c>
      <c r="J845" s="4"/>
      <c r="K845" s="1" t="s">
        <v>87</v>
      </c>
    </row>
    <row r="846" spans="1:11">
      <c r="A846" s="1" t="s">
        <v>202</v>
      </c>
      <c r="B846" s="7">
        <v>45695</v>
      </c>
      <c r="C846" s="1" t="s">
        <v>12</v>
      </c>
      <c r="D846" s="1">
        <v>2254310</v>
      </c>
      <c r="E846" s="4">
        <v>736.13</v>
      </c>
      <c r="F846" s="4">
        <f t="shared" si="19"/>
        <v>139.8647</v>
      </c>
      <c r="G846" s="4">
        <f t="shared" si="20"/>
        <v>875.99469999999997</v>
      </c>
      <c r="H846" s="1">
        <f t="shared" si="21"/>
        <v>2</v>
      </c>
      <c r="I846" s="1">
        <f t="shared" si="22"/>
        <v>2025</v>
      </c>
      <c r="J846" s="4"/>
      <c r="K846" s="1" t="s">
        <v>87</v>
      </c>
    </row>
    <row r="847" spans="1:11">
      <c r="A847" s="1" t="s">
        <v>291</v>
      </c>
      <c r="B847" s="7">
        <v>45696</v>
      </c>
      <c r="C847" s="1" t="s">
        <v>12</v>
      </c>
      <c r="D847" s="1">
        <v>11219</v>
      </c>
      <c r="E847" s="4">
        <v>11008.4</v>
      </c>
      <c r="F847" s="4">
        <f t="shared" si="19"/>
        <v>2091.596</v>
      </c>
      <c r="G847" s="4">
        <f t="shared" si="20"/>
        <v>13099.995999999999</v>
      </c>
      <c r="H847" s="1">
        <f t="shared" si="21"/>
        <v>2</v>
      </c>
      <c r="I847" s="1">
        <f t="shared" si="22"/>
        <v>2025</v>
      </c>
      <c r="J847" s="4"/>
      <c r="K847" s="1" t="s">
        <v>87</v>
      </c>
    </row>
    <row r="848" spans="1:11">
      <c r="A848" s="1" t="s">
        <v>291</v>
      </c>
      <c r="B848" s="7">
        <v>45698</v>
      </c>
      <c r="C848" s="1" t="s">
        <v>12</v>
      </c>
      <c r="D848" s="1">
        <v>11237</v>
      </c>
      <c r="E848" s="4">
        <v>57983.19</v>
      </c>
      <c r="F848" s="4">
        <f t="shared" si="19"/>
        <v>11016.8061</v>
      </c>
      <c r="G848" s="4">
        <f t="shared" si="20"/>
        <v>68999.996100000004</v>
      </c>
      <c r="H848" s="1">
        <f t="shared" si="21"/>
        <v>2</v>
      </c>
      <c r="I848" s="1">
        <f t="shared" si="22"/>
        <v>2025</v>
      </c>
      <c r="J848" s="4"/>
      <c r="K848" s="1" t="s">
        <v>87</v>
      </c>
    </row>
    <row r="849" spans="1:11">
      <c r="A849" s="1" t="s">
        <v>291</v>
      </c>
      <c r="B849" s="7">
        <v>45699</v>
      </c>
      <c r="C849" s="1" t="s">
        <v>12</v>
      </c>
      <c r="D849" s="1">
        <v>11254</v>
      </c>
      <c r="E849" s="4">
        <v>4957.9799999999996</v>
      </c>
      <c r="F849" s="4">
        <f t="shared" si="19"/>
        <v>942.01619999999991</v>
      </c>
      <c r="G849" s="4">
        <f t="shared" si="20"/>
        <v>5899.9961999999996</v>
      </c>
      <c r="H849" s="1">
        <f t="shared" si="21"/>
        <v>2</v>
      </c>
      <c r="I849" s="1">
        <f t="shared" si="22"/>
        <v>2025</v>
      </c>
      <c r="J849" s="4"/>
      <c r="K849" s="1" t="s">
        <v>87</v>
      </c>
    </row>
    <row r="850" spans="1:11">
      <c r="A850" s="1" t="s">
        <v>373</v>
      </c>
      <c r="B850" s="7">
        <v>45701</v>
      </c>
      <c r="C850" s="1" t="s">
        <v>12</v>
      </c>
      <c r="D850" s="1">
        <v>1053</v>
      </c>
      <c r="E850" s="4">
        <v>3782.35</v>
      </c>
      <c r="F850" s="4">
        <f t="shared" si="19"/>
        <v>718.64649999999995</v>
      </c>
      <c r="G850" s="4">
        <f t="shared" si="20"/>
        <v>4500.9965000000002</v>
      </c>
      <c r="H850" s="1">
        <f t="shared" si="21"/>
        <v>2</v>
      </c>
      <c r="I850" s="1">
        <f t="shared" si="22"/>
        <v>2025</v>
      </c>
      <c r="J850" s="4"/>
      <c r="K850" s="1" t="s">
        <v>87</v>
      </c>
    </row>
    <row r="851" spans="1:11">
      <c r="A851" s="1" t="s">
        <v>291</v>
      </c>
      <c r="B851" s="7">
        <v>45702</v>
      </c>
      <c r="C851" s="1" t="s">
        <v>12</v>
      </c>
      <c r="D851" s="1">
        <v>11286</v>
      </c>
      <c r="E851" s="4">
        <v>5042.0200000000004</v>
      </c>
      <c r="F851" s="4">
        <f t="shared" si="19"/>
        <v>957.98380000000009</v>
      </c>
      <c r="G851" s="4">
        <f t="shared" si="20"/>
        <v>6000.0038000000004</v>
      </c>
      <c r="H851" s="1">
        <f t="shared" si="21"/>
        <v>2</v>
      </c>
      <c r="I851" s="1">
        <f t="shared" si="22"/>
        <v>2025</v>
      </c>
      <c r="J851" s="4"/>
      <c r="K851" s="1" t="s">
        <v>87</v>
      </c>
    </row>
    <row r="852" spans="1:11">
      <c r="A852" s="1" t="s">
        <v>373</v>
      </c>
      <c r="B852" s="7">
        <v>45702</v>
      </c>
      <c r="C852" s="1" t="s">
        <v>12</v>
      </c>
      <c r="D852" s="1">
        <v>1061</v>
      </c>
      <c r="E852" s="4">
        <v>50336.13</v>
      </c>
      <c r="F852" s="4">
        <f t="shared" si="19"/>
        <v>9563.8647000000001</v>
      </c>
      <c r="G852" s="4">
        <f t="shared" si="20"/>
        <v>59899.994699999996</v>
      </c>
      <c r="H852" s="1">
        <f t="shared" si="21"/>
        <v>2</v>
      </c>
      <c r="I852" s="1">
        <f t="shared" si="22"/>
        <v>2025</v>
      </c>
      <c r="J852" s="4"/>
      <c r="K852" s="1" t="s">
        <v>87</v>
      </c>
    </row>
    <row r="853" spans="1:11">
      <c r="A853" s="1" t="s">
        <v>291</v>
      </c>
      <c r="B853" s="7">
        <v>45703</v>
      </c>
      <c r="C853" s="1" t="s">
        <v>12</v>
      </c>
      <c r="D853" s="1">
        <v>11299</v>
      </c>
      <c r="E853" s="4">
        <v>12621</v>
      </c>
      <c r="F853" s="4">
        <f t="shared" si="19"/>
        <v>2397.9900000000002</v>
      </c>
      <c r="G853" s="4">
        <f t="shared" si="20"/>
        <v>15018.99</v>
      </c>
      <c r="H853" s="1">
        <f t="shared" si="21"/>
        <v>2</v>
      </c>
      <c r="I853" s="1">
        <f t="shared" si="22"/>
        <v>2025</v>
      </c>
      <c r="J853" s="4"/>
      <c r="K853" s="1" t="s">
        <v>87</v>
      </c>
    </row>
    <row r="854" spans="1:11">
      <c r="A854" s="1" t="s">
        <v>291</v>
      </c>
      <c r="B854" s="7">
        <v>45705</v>
      </c>
      <c r="C854" s="1" t="s">
        <v>12</v>
      </c>
      <c r="D854" s="1">
        <v>11301</v>
      </c>
      <c r="E854" s="4">
        <v>4117.6499999999996</v>
      </c>
      <c r="F854" s="4">
        <f t="shared" si="19"/>
        <v>782.35349999999994</v>
      </c>
      <c r="G854" s="4">
        <f t="shared" si="20"/>
        <v>4900.0034999999998</v>
      </c>
      <c r="H854" s="1">
        <f t="shared" si="21"/>
        <v>2</v>
      </c>
      <c r="I854" s="1">
        <f t="shared" si="22"/>
        <v>2025</v>
      </c>
      <c r="J854" s="4"/>
      <c r="K854" s="1" t="s">
        <v>87</v>
      </c>
    </row>
    <row r="855" spans="1:11">
      <c r="A855" s="1" t="s">
        <v>407</v>
      </c>
      <c r="B855" s="7">
        <v>45705</v>
      </c>
      <c r="C855" s="1" t="s">
        <v>12</v>
      </c>
      <c r="D855" s="1">
        <v>28016</v>
      </c>
      <c r="E855" s="4">
        <v>56294.12</v>
      </c>
      <c r="F855" s="4">
        <f t="shared" si="19"/>
        <v>10695.882800000001</v>
      </c>
      <c r="G855" s="4">
        <f t="shared" si="20"/>
        <v>66990.002800000002</v>
      </c>
      <c r="H855" s="1">
        <f t="shared" si="21"/>
        <v>2</v>
      </c>
      <c r="I855" s="1">
        <f t="shared" si="22"/>
        <v>2025</v>
      </c>
      <c r="J855" s="4"/>
      <c r="K855" s="1" t="s">
        <v>87</v>
      </c>
    </row>
    <row r="856" spans="1:11">
      <c r="A856" s="1" t="s">
        <v>373</v>
      </c>
      <c r="B856" s="7">
        <v>45707</v>
      </c>
      <c r="C856" s="1" t="s">
        <v>12</v>
      </c>
      <c r="D856" s="1">
        <v>1072</v>
      </c>
      <c r="E856" s="4">
        <v>45378.15</v>
      </c>
      <c r="F856" s="4">
        <f t="shared" si="19"/>
        <v>8621.8485000000001</v>
      </c>
      <c r="G856" s="4">
        <f t="shared" si="20"/>
        <v>53999.998500000002</v>
      </c>
      <c r="H856" s="1">
        <f t="shared" si="21"/>
        <v>2</v>
      </c>
      <c r="I856" s="1">
        <f t="shared" si="22"/>
        <v>2025</v>
      </c>
      <c r="J856" s="4"/>
      <c r="K856" s="1" t="s">
        <v>87</v>
      </c>
    </row>
    <row r="857" spans="1:11">
      <c r="A857" s="1" t="s">
        <v>368</v>
      </c>
      <c r="B857" s="7">
        <v>45707</v>
      </c>
      <c r="C857" s="1" t="s">
        <v>12</v>
      </c>
      <c r="D857" s="1">
        <v>63433</v>
      </c>
      <c r="E857" s="4">
        <v>63579.83</v>
      </c>
      <c r="F857" s="4">
        <f t="shared" si="19"/>
        <v>12080.1677</v>
      </c>
      <c r="G857" s="4">
        <f t="shared" si="20"/>
        <v>75659.997700000007</v>
      </c>
      <c r="H857" s="1">
        <f t="shared" si="21"/>
        <v>2</v>
      </c>
      <c r="I857" s="1">
        <f t="shared" si="22"/>
        <v>2025</v>
      </c>
      <c r="J857" s="4"/>
      <c r="K857" s="1" t="s">
        <v>87</v>
      </c>
    </row>
    <row r="858" spans="1:11">
      <c r="A858" s="1" t="s">
        <v>368</v>
      </c>
      <c r="B858" s="7">
        <v>45707</v>
      </c>
      <c r="C858" s="1" t="s">
        <v>12</v>
      </c>
      <c r="D858" s="1">
        <v>63455</v>
      </c>
      <c r="E858" s="4">
        <v>93974.79</v>
      </c>
      <c r="F858" s="4">
        <f t="shared" si="19"/>
        <v>17855.2101</v>
      </c>
      <c r="G858" s="4">
        <f t="shared" si="20"/>
        <v>111830.00009999999</v>
      </c>
      <c r="H858" s="1">
        <f t="shared" si="21"/>
        <v>2</v>
      </c>
      <c r="I858" s="1">
        <f t="shared" si="22"/>
        <v>2025</v>
      </c>
      <c r="J858" s="4"/>
      <c r="K858" s="1" t="s">
        <v>87</v>
      </c>
    </row>
    <row r="859" spans="1:11">
      <c r="A859" s="1" t="s">
        <v>236</v>
      </c>
      <c r="B859" s="7">
        <v>45708</v>
      </c>
      <c r="C859" s="1" t="s">
        <v>12</v>
      </c>
      <c r="D859" s="1">
        <v>46156</v>
      </c>
      <c r="E859" s="4">
        <v>1848.74</v>
      </c>
      <c r="F859" s="4">
        <f t="shared" si="19"/>
        <v>351.26060000000001</v>
      </c>
      <c r="G859" s="4">
        <f t="shared" si="20"/>
        <v>2200.0005999999998</v>
      </c>
      <c r="H859" s="1">
        <f t="shared" si="21"/>
        <v>2</v>
      </c>
      <c r="I859" s="1">
        <f t="shared" si="22"/>
        <v>2025</v>
      </c>
      <c r="J859" s="4"/>
      <c r="K859" s="1" t="s">
        <v>87</v>
      </c>
    </row>
    <row r="860" spans="1:11">
      <c r="A860" s="1" t="s">
        <v>379</v>
      </c>
      <c r="B860" s="7">
        <v>45708</v>
      </c>
      <c r="C860" s="1" t="s">
        <v>12</v>
      </c>
      <c r="D860" s="1">
        <v>102632</v>
      </c>
      <c r="E860" s="4">
        <v>14285.71</v>
      </c>
      <c r="F860" s="4">
        <f t="shared" si="19"/>
        <v>2714.2848999999997</v>
      </c>
      <c r="G860" s="4">
        <f t="shared" si="20"/>
        <v>16999.994899999998</v>
      </c>
      <c r="H860" s="1">
        <f t="shared" si="21"/>
        <v>2</v>
      </c>
      <c r="I860" s="1">
        <f t="shared" si="22"/>
        <v>2025</v>
      </c>
      <c r="J860" s="4"/>
      <c r="K860" s="1" t="s">
        <v>87</v>
      </c>
    </row>
    <row r="861" spans="1:11">
      <c r="A861" s="1" t="s">
        <v>291</v>
      </c>
      <c r="B861" s="7">
        <v>45710</v>
      </c>
      <c r="C861" s="1" t="s">
        <v>12</v>
      </c>
      <c r="D861" s="1">
        <v>11385</v>
      </c>
      <c r="E861" s="4">
        <v>36554.620000000003</v>
      </c>
      <c r="F861" s="4">
        <f t="shared" si="19"/>
        <v>6945.3778000000002</v>
      </c>
      <c r="G861" s="4">
        <f t="shared" si="20"/>
        <v>43499.997800000005</v>
      </c>
      <c r="H861" s="1">
        <f t="shared" si="21"/>
        <v>2</v>
      </c>
      <c r="I861" s="1">
        <f t="shared" si="22"/>
        <v>2025</v>
      </c>
      <c r="J861" s="4"/>
      <c r="K861" s="1" t="s">
        <v>87</v>
      </c>
    </row>
    <row r="862" spans="1:11">
      <c r="A862" s="1" t="s">
        <v>408</v>
      </c>
      <c r="B862" s="7">
        <v>45713</v>
      </c>
      <c r="C862" s="1" t="s">
        <v>12</v>
      </c>
      <c r="D862" s="1">
        <v>55261</v>
      </c>
      <c r="E862" s="4">
        <v>5042</v>
      </c>
      <c r="F862" s="4">
        <f t="shared" si="19"/>
        <v>957.98</v>
      </c>
      <c r="G862" s="4">
        <f t="shared" si="20"/>
        <v>5999.98</v>
      </c>
      <c r="H862" s="1">
        <f t="shared" si="21"/>
        <v>2</v>
      </c>
      <c r="I862" s="1">
        <f t="shared" si="22"/>
        <v>2025</v>
      </c>
      <c r="J862" s="4"/>
      <c r="K862" s="1" t="s">
        <v>87</v>
      </c>
    </row>
    <row r="863" spans="1:11">
      <c r="A863" s="1" t="s">
        <v>236</v>
      </c>
      <c r="B863" s="7">
        <v>45713</v>
      </c>
      <c r="C863" s="1" t="s">
        <v>12</v>
      </c>
      <c r="D863" s="1">
        <v>46253</v>
      </c>
      <c r="E863" s="4">
        <v>5798.32</v>
      </c>
      <c r="F863" s="4">
        <f t="shared" si="19"/>
        <v>1101.6807999999999</v>
      </c>
      <c r="G863" s="4">
        <f t="shared" si="20"/>
        <v>6900.0007999999998</v>
      </c>
      <c r="H863" s="1">
        <f t="shared" si="21"/>
        <v>2</v>
      </c>
      <c r="I863" s="1">
        <f t="shared" si="22"/>
        <v>2025</v>
      </c>
      <c r="J863" s="4"/>
      <c r="K863" s="1" t="s">
        <v>87</v>
      </c>
    </row>
    <row r="864" spans="1:11">
      <c r="A864" s="1" t="s">
        <v>291</v>
      </c>
      <c r="B864" s="7">
        <v>45714</v>
      </c>
      <c r="C864" s="1" t="s">
        <v>12</v>
      </c>
      <c r="D864" s="1">
        <v>11422</v>
      </c>
      <c r="E864" s="4">
        <v>5462.18</v>
      </c>
      <c r="F864" s="4">
        <f t="shared" si="19"/>
        <v>1037.8142</v>
      </c>
      <c r="G864" s="4">
        <f t="shared" si="20"/>
        <v>6499.9942000000001</v>
      </c>
      <c r="H864" s="1">
        <f t="shared" si="21"/>
        <v>2</v>
      </c>
      <c r="I864" s="1">
        <f t="shared" si="22"/>
        <v>2025</v>
      </c>
      <c r="J864" s="4"/>
      <c r="K864" s="1" t="s">
        <v>87</v>
      </c>
    </row>
    <row r="865" spans="1:13">
      <c r="A865" s="1" t="s">
        <v>409</v>
      </c>
      <c r="B865" s="7">
        <v>45715</v>
      </c>
      <c r="C865" s="1" t="s">
        <v>12</v>
      </c>
      <c r="D865" s="1">
        <v>5146</v>
      </c>
      <c r="E865" s="4">
        <v>16658.82</v>
      </c>
      <c r="F865" s="4">
        <f t="shared" si="19"/>
        <v>3165.1758</v>
      </c>
      <c r="G865" s="4">
        <f t="shared" si="20"/>
        <v>19823.995800000001</v>
      </c>
      <c r="H865" s="1">
        <f t="shared" si="21"/>
        <v>2</v>
      </c>
      <c r="I865" s="1">
        <f t="shared" si="22"/>
        <v>2025</v>
      </c>
      <c r="J865" s="4"/>
      <c r="K865" s="1" t="s">
        <v>87</v>
      </c>
    </row>
    <row r="866" spans="1:13">
      <c r="A866" s="1" t="s">
        <v>373</v>
      </c>
      <c r="B866" s="7">
        <v>45715</v>
      </c>
      <c r="C866" s="1" t="s">
        <v>12</v>
      </c>
      <c r="D866" s="1">
        <v>1091</v>
      </c>
      <c r="E866" s="4">
        <v>36807</v>
      </c>
      <c r="F866" s="4">
        <f t="shared" si="19"/>
        <v>6993.33</v>
      </c>
      <c r="G866" s="4">
        <f t="shared" si="20"/>
        <v>43800.33</v>
      </c>
      <c r="H866" s="1">
        <f t="shared" si="21"/>
        <v>2</v>
      </c>
      <c r="I866" s="1">
        <f t="shared" si="22"/>
        <v>2025</v>
      </c>
      <c r="J866" s="4"/>
      <c r="K866" s="1" t="s">
        <v>87</v>
      </c>
    </row>
    <row r="867" spans="1:13">
      <c r="A867" s="1" t="s">
        <v>373</v>
      </c>
      <c r="B867" s="7">
        <v>45715</v>
      </c>
      <c r="C867" s="1" t="s">
        <v>12</v>
      </c>
      <c r="D867" s="1">
        <v>1093</v>
      </c>
      <c r="E867" s="4">
        <v>8319.33</v>
      </c>
      <c r="F867" s="4">
        <f t="shared" si="19"/>
        <v>1580.6727000000001</v>
      </c>
      <c r="G867" s="4">
        <f t="shared" si="20"/>
        <v>9900.0027000000009</v>
      </c>
      <c r="H867" s="1">
        <f t="shared" si="21"/>
        <v>2</v>
      </c>
      <c r="I867" s="1">
        <f t="shared" si="22"/>
        <v>2025</v>
      </c>
      <c r="J867" s="4"/>
      <c r="K867" s="1" t="s">
        <v>87</v>
      </c>
    </row>
    <row r="868" spans="1:13">
      <c r="A868" s="1" t="s">
        <v>368</v>
      </c>
      <c r="B868" s="7">
        <v>45715</v>
      </c>
      <c r="C868" s="1" t="s">
        <v>12</v>
      </c>
      <c r="D868" s="1">
        <v>63993</v>
      </c>
      <c r="E868" s="4">
        <v>124596.64</v>
      </c>
      <c r="F868" s="4">
        <f t="shared" si="19"/>
        <v>23673.3616</v>
      </c>
      <c r="G868" s="4">
        <f t="shared" si="20"/>
        <v>148270.00159999999</v>
      </c>
      <c r="H868" s="1">
        <f t="shared" si="21"/>
        <v>2</v>
      </c>
      <c r="I868" s="1">
        <f t="shared" si="22"/>
        <v>2025</v>
      </c>
      <c r="J868" s="4"/>
      <c r="K868" s="1" t="s">
        <v>87</v>
      </c>
    </row>
    <row r="869" spans="1:13">
      <c r="A869" s="1" t="s">
        <v>373</v>
      </c>
      <c r="B869" s="7">
        <v>45715</v>
      </c>
      <c r="C869" s="1" t="s">
        <v>12</v>
      </c>
      <c r="D869" s="1">
        <v>1094</v>
      </c>
      <c r="E869" s="4">
        <v>31008.400000000001</v>
      </c>
      <c r="F869" s="4">
        <f t="shared" si="19"/>
        <v>5891.5960000000005</v>
      </c>
      <c r="G869" s="4">
        <f t="shared" si="20"/>
        <v>36899.995999999999</v>
      </c>
      <c r="H869" s="1">
        <f t="shared" si="21"/>
        <v>2</v>
      </c>
      <c r="I869" s="1">
        <f t="shared" si="22"/>
        <v>2025</v>
      </c>
      <c r="J869" s="4"/>
      <c r="K869" s="1" t="s">
        <v>87</v>
      </c>
    </row>
    <row r="870" spans="1:13">
      <c r="A870" s="1" t="s">
        <v>410</v>
      </c>
      <c r="B870" s="7">
        <v>45718</v>
      </c>
      <c r="C870" s="1" t="s">
        <v>12</v>
      </c>
      <c r="D870" s="1">
        <v>1472</v>
      </c>
      <c r="E870" s="4">
        <v>11112.61</v>
      </c>
      <c r="F870" s="4">
        <f t="shared" si="19"/>
        <v>2111.3959</v>
      </c>
      <c r="G870" s="4">
        <f t="shared" si="20"/>
        <v>13224.0059</v>
      </c>
      <c r="H870" s="1">
        <f t="shared" si="21"/>
        <v>3</v>
      </c>
      <c r="I870" s="1">
        <f t="shared" si="22"/>
        <v>2025</v>
      </c>
      <c r="J870" s="4"/>
      <c r="K870" s="1" t="s">
        <v>87</v>
      </c>
    </row>
    <row r="871" spans="1:13">
      <c r="A871" s="1" t="s">
        <v>291</v>
      </c>
      <c r="B871" s="7">
        <v>45744</v>
      </c>
      <c r="C871" s="1" t="s">
        <v>12</v>
      </c>
      <c r="D871" s="1">
        <v>11443</v>
      </c>
      <c r="E871" s="4">
        <v>30168.07</v>
      </c>
      <c r="F871" s="4">
        <f t="shared" si="19"/>
        <v>5731.9332999999997</v>
      </c>
      <c r="G871" s="4">
        <f t="shared" si="20"/>
        <v>35900.003299999997</v>
      </c>
      <c r="H871" s="1">
        <f t="shared" si="21"/>
        <v>3</v>
      </c>
      <c r="I871" s="1">
        <f t="shared" si="22"/>
        <v>2025</v>
      </c>
      <c r="J871" s="4"/>
      <c r="K871" s="1" t="s">
        <v>87</v>
      </c>
    </row>
    <row r="872" spans="1:13">
      <c r="A872" s="1" t="s">
        <v>166</v>
      </c>
      <c r="B872" s="7">
        <v>45718</v>
      </c>
      <c r="C872" s="1" t="s">
        <v>12</v>
      </c>
      <c r="D872" s="1">
        <v>90802</v>
      </c>
      <c r="E872" s="4">
        <v>12990.76</v>
      </c>
      <c r="F872" s="4">
        <f t="shared" si="19"/>
        <v>2468.2444</v>
      </c>
      <c r="G872" s="4">
        <f t="shared" si="20"/>
        <v>15459.0044</v>
      </c>
      <c r="H872" s="1">
        <f t="shared" si="21"/>
        <v>3</v>
      </c>
      <c r="I872" s="1">
        <f t="shared" si="22"/>
        <v>2025</v>
      </c>
      <c r="J872" s="4"/>
      <c r="K872" s="1" t="s">
        <v>87</v>
      </c>
    </row>
    <row r="873" spans="1:13">
      <c r="A873" s="1" t="s">
        <v>103</v>
      </c>
      <c r="B873" s="7">
        <v>45719</v>
      </c>
      <c r="C873" s="1" t="s">
        <v>12</v>
      </c>
      <c r="D873" s="1">
        <v>371799</v>
      </c>
      <c r="E873" s="4">
        <v>20279.830000000002</v>
      </c>
      <c r="F873" s="4">
        <f t="shared" si="19"/>
        <v>3853.1677000000004</v>
      </c>
      <c r="G873" s="4">
        <f t="shared" si="20"/>
        <v>24132.997700000004</v>
      </c>
      <c r="H873" s="1">
        <f t="shared" si="21"/>
        <v>3</v>
      </c>
      <c r="I873" s="1">
        <f t="shared" si="22"/>
        <v>2025</v>
      </c>
      <c r="J873" s="4"/>
      <c r="K873" s="1" t="s">
        <v>87</v>
      </c>
    </row>
    <row r="874" spans="1:13">
      <c r="A874" s="1" t="s">
        <v>103</v>
      </c>
      <c r="B874" s="7">
        <v>45719</v>
      </c>
      <c r="C874" s="1" t="s">
        <v>12</v>
      </c>
      <c r="D874" s="1">
        <v>371798</v>
      </c>
      <c r="E874" s="4">
        <v>186241.18</v>
      </c>
      <c r="F874" s="4">
        <f t="shared" si="19"/>
        <v>35385.824199999995</v>
      </c>
      <c r="G874" s="4">
        <f t="shared" si="20"/>
        <v>221627.0042</v>
      </c>
      <c r="H874" s="1">
        <f t="shared" si="21"/>
        <v>3</v>
      </c>
      <c r="I874" s="1">
        <f t="shared" si="22"/>
        <v>2025</v>
      </c>
      <c r="J874" s="4"/>
      <c r="K874" s="1" t="s">
        <v>87</v>
      </c>
    </row>
    <row r="875" spans="1:13">
      <c r="A875" s="1" t="s">
        <v>291</v>
      </c>
      <c r="B875" s="7">
        <v>45719</v>
      </c>
      <c r="C875" s="1" t="s">
        <v>12</v>
      </c>
      <c r="D875" s="1">
        <v>11492</v>
      </c>
      <c r="E875" s="4">
        <v>68403.360000000001</v>
      </c>
      <c r="F875" s="4">
        <f t="shared" si="19"/>
        <v>12996.6384</v>
      </c>
      <c r="G875" s="4">
        <f t="shared" si="20"/>
        <v>81399.998399999997</v>
      </c>
      <c r="H875" s="1">
        <f t="shared" si="21"/>
        <v>3</v>
      </c>
      <c r="I875" s="1">
        <f t="shared" si="22"/>
        <v>2025</v>
      </c>
      <c r="J875" s="4"/>
      <c r="K875" s="1" t="s">
        <v>87</v>
      </c>
    </row>
    <row r="876" spans="1:13">
      <c r="A876" s="1" t="s">
        <v>379</v>
      </c>
      <c r="B876" s="7">
        <v>45719</v>
      </c>
      <c r="C876" s="1" t="s">
        <v>12</v>
      </c>
      <c r="D876" s="1">
        <v>103024</v>
      </c>
      <c r="E876" s="4">
        <v>31933.61</v>
      </c>
      <c r="F876" s="4">
        <f t="shared" si="19"/>
        <v>6067.3859000000002</v>
      </c>
      <c r="G876" s="4">
        <f t="shared" si="20"/>
        <v>38000.995900000002</v>
      </c>
      <c r="H876" s="1">
        <f t="shared" si="21"/>
        <v>3</v>
      </c>
      <c r="I876" s="1">
        <f t="shared" si="22"/>
        <v>2025</v>
      </c>
      <c r="J876" s="4"/>
      <c r="K876" s="1" t="s">
        <v>87</v>
      </c>
      <c r="L876" s="1" t="s">
        <v>411</v>
      </c>
      <c r="M876" s="1" t="s">
        <v>372</v>
      </c>
    </row>
    <row r="877" spans="1:13">
      <c r="A877" s="1" t="s">
        <v>373</v>
      </c>
      <c r="B877" s="7">
        <v>45719</v>
      </c>
      <c r="C877" s="1" t="s">
        <v>12</v>
      </c>
      <c r="D877" s="1">
        <v>1098</v>
      </c>
      <c r="E877" s="4">
        <v>27227.73</v>
      </c>
      <c r="F877" s="4">
        <f t="shared" si="19"/>
        <v>5173.2686999999996</v>
      </c>
      <c r="G877" s="4">
        <f t="shared" si="20"/>
        <v>32400.9987</v>
      </c>
      <c r="H877" s="1">
        <f t="shared" si="21"/>
        <v>3</v>
      </c>
      <c r="I877" s="1">
        <f t="shared" si="22"/>
        <v>2025</v>
      </c>
      <c r="J877" s="4"/>
      <c r="K877" s="1" t="s">
        <v>87</v>
      </c>
    </row>
    <row r="878" spans="1:13">
      <c r="A878" s="1" t="s">
        <v>291</v>
      </c>
      <c r="B878" s="7">
        <v>45719</v>
      </c>
      <c r="C878" s="1" t="s">
        <v>12</v>
      </c>
      <c r="D878" s="1">
        <v>11503</v>
      </c>
      <c r="E878" s="4">
        <v>11764.71</v>
      </c>
      <c r="F878" s="4">
        <f t="shared" si="19"/>
        <v>2235.2948999999999</v>
      </c>
      <c r="G878" s="4">
        <f t="shared" si="20"/>
        <v>14000.0049</v>
      </c>
      <c r="H878" s="1">
        <f t="shared" si="21"/>
        <v>3</v>
      </c>
      <c r="I878" s="1">
        <f t="shared" si="22"/>
        <v>2025</v>
      </c>
      <c r="J878" s="4"/>
      <c r="K878" s="1" t="s">
        <v>87</v>
      </c>
    </row>
    <row r="879" spans="1:13">
      <c r="A879" s="1" t="s">
        <v>291</v>
      </c>
      <c r="B879" s="7">
        <v>45720</v>
      </c>
      <c r="C879" s="1" t="s">
        <v>12</v>
      </c>
      <c r="D879" s="1">
        <v>11509</v>
      </c>
      <c r="E879" s="4">
        <v>3529.41</v>
      </c>
      <c r="F879" s="4">
        <f t="shared" si="19"/>
        <v>670.58789999999999</v>
      </c>
      <c r="G879" s="4">
        <f t="shared" si="20"/>
        <v>4199.9979000000003</v>
      </c>
      <c r="H879" s="1">
        <f t="shared" si="21"/>
        <v>3</v>
      </c>
      <c r="I879" s="1">
        <f t="shared" si="22"/>
        <v>2025</v>
      </c>
      <c r="J879" s="4"/>
      <c r="K879" s="1" t="s">
        <v>87</v>
      </c>
    </row>
    <row r="880" spans="1:13">
      <c r="A880" s="1" t="s">
        <v>373</v>
      </c>
      <c r="B880" s="7">
        <v>45721</v>
      </c>
      <c r="C880" s="1" t="s">
        <v>12</v>
      </c>
      <c r="D880" s="1">
        <v>1101</v>
      </c>
      <c r="E880" s="4">
        <v>3782.35</v>
      </c>
      <c r="F880" s="4">
        <f t="shared" si="19"/>
        <v>718.64649999999995</v>
      </c>
      <c r="G880" s="4">
        <f t="shared" si="20"/>
        <v>4500.9965000000002</v>
      </c>
      <c r="H880" s="1">
        <f t="shared" si="21"/>
        <v>3</v>
      </c>
      <c r="I880" s="1">
        <f t="shared" si="22"/>
        <v>2025</v>
      </c>
      <c r="J880" s="4"/>
      <c r="K880" s="1" t="s">
        <v>87</v>
      </c>
    </row>
    <row r="881" spans="1:11">
      <c r="A881" s="1" t="s">
        <v>28</v>
      </c>
      <c r="B881" s="7">
        <v>45721</v>
      </c>
      <c r="C881" s="1" t="s">
        <v>12</v>
      </c>
      <c r="D881" s="1">
        <v>1047803</v>
      </c>
      <c r="E881" s="4">
        <v>14000</v>
      </c>
      <c r="F881" s="4">
        <f t="shared" si="19"/>
        <v>2660</v>
      </c>
      <c r="G881" s="4">
        <f t="shared" si="20"/>
        <v>16660</v>
      </c>
      <c r="H881" s="1">
        <f t="shared" si="21"/>
        <v>3</v>
      </c>
      <c r="I881" s="1">
        <f t="shared" si="22"/>
        <v>2025</v>
      </c>
      <c r="J881" s="4"/>
      <c r="K881" s="1" t="s">
        <v>87</v>
      </c>
    </row>
    <row r="882" spans="1:11">
      <c r="A882" s="1" t="s">
        <v>203</v>
      </c>
      <c r="B882" s="7">
        <v>45721</v>
      </c>
      <c r="C882" s="1" t="s">
        <v>12</v>
      </c>
      <c r="D882" s="1">
        <v>43000151</v>
      </c>
      <c r="E882" s="4">
        <v>25717.65</v>
      </c>
      <c r="F882" s="4">
        <f t="shared" si="19"/>
        <v>4886.3535000000002</v>
      </c>
      <c r="G882" s="4">
        <f t="shared" si="20"/>
        <v>30604.003500000003</v>
      </c>
      <c r="H882" s="1">
        <f t="shared" si="21"/>
        <v>3</v>
      </c>
      <c r="I882" s="1">
        <f t="shared" si="22"/>
        <v>2025</v>
      </c>
      <c r="J882" s="4"/>
      <c r="K882" s="1" t="s">
        <v>87</v>
      </c>
    </row>
    <row r="883" spans="1:11">
      <c r="A883" s="1" t="s">
        <v>202</v>
      </c>
      <c r="B883" s="7">
        <v>45722</v>
      </c>
      <c r="C883" s="1" t="s">
        <v>12</v>
      </c>
      <c r="D883" s="1">
        <v>2305040</v>
      </c>
      <c r="E883" s="4">
        <v>1426.05</v>
      </c>
      <c r="F883" s="4">
        <f t="shared" si="19"/>
        <v>270.9495</v>
      </c>
      <c r="G883" s="4">
        <f t="shared" si="20"/>
        <v>1696.9994999999999</v>
      </c>
      <c r="H883" s="1">
        <f t="shared" si="21"/>
        <v>3</v>
      </c>
      <c r="I883" s="1">
        <f t="shared" si="22"/>
        <v>2025</v>
      </c>
      <c r="J883" s="4"/>
      <c r="K883" s="1" t="s">
        <v>87</v>
      </c>
    </row>
    <row r="884" spans="1:11">
      <c r="A884" s="1" t="s">
        <v>291</v>
      </c>
      <c r="B884" s="7">
        <v>45723</v>
      </c>
      <c r="C884" s="1" t="s">
        <v>12</v>
      </c>
      <c r="D884" s="1">
        <v>11555</v>
      </c>
      <c r="E884" s="4">
        <v>6554.62</v>
      </c>
      <c r="F884" s="4">
        <f t="shared" si="19"/>
        <v>1245.3778</v>
      </c>
      <c r="G884" s="4">
        <f t="shared" si="20"/>
        <v>7799.9978000000001</v>
      </c>
      <c r="H884" s="1">
        <f t="shared" si="21"/>
        <v>3</v>
      </c>
      <c r="I884" s="1">
        <f t="shared" si="22"/>
        <v>2025</v>
      </c>
      <c r="J884" s="4"/>
      <c r="K884" s="1" t="s">
        <v>87</v>
      </c>
    </row>
    <row r="885" spans="1:11">
      <c r="A885" s="1" t="s">
        <v>379</v>
      </c>
      <c r="B885" s="7">
        <v>45723</v>
      </c>
      <c r="C885" s="1" t="s">
        <v>12</v>
      </c>
      <c r="D885" s="1">
        <v>103208</v>
      </c>
      <c r="E885" s="4">
        <v>13696.64</v>
      </c>
      <c r="F885" s="4">
        <f t="shared" si="19"/>
        <v>2602.3615999999997</v>
      </c>
      <c r="G885" s="4">
        <f t="shared" si="20"/>
        <v>16299.0016</v>
      </c>
      <c r="H885" s="1">
        <f t="shared" si="21"/>
        <v>3</v>
      </c>
      <c r="I885" s="1">
        <f t="shared" si="22"/>
        <v>2025</v>
      </c>
      <c r="J885" s="4"/>
      <c r="K885" s="1" t="s">
        <v>87</v>
      </c>
    </row>
    <row r="886" spans="1:11">
      <c r="A886" s="1" t="s">
        <v>291</v>
      </c>
      <c r="B886" s="7">
        <v>45723</v>
      </c>
      <c r="C886" s="1" t="s">
        <v>12</v>
      </c>
      <c r="D886" s="1">
        <v>11564</v>
      </c>
      <c r="E886" s="4">
        <v>4201.68</v>
      </c>
      <c r="F886" s="4">
        <f t="shared" si="19"/>
        <v>798.31920000000002</v>
      </c>
      <c r="G886" s="4">
        <f t="shared" si="20"/>
        <v>4999.9992000000002</v>
      </c>
      <c r="H886" s="1">
        <f t="shared" si="21"/>
        <v>3</v>
      </c>
      <c r="I886" s="1">
        <f t="shared" si="22"/>
        <v>2025</v>
      </c>
      <c r="J886" s="4"/>
      <c r="K886" s="1" t="s">
        <v>87</v>
      </c>
    </row>
    <row r="887" spans="1:11">
      <c r="A887" s="1" t="s">
        <v>368</v>
      </c>
      <c r="B887" s="7">
        <v>45723</v>
      </c>
      <c r="C887" s="1" t="s">
        <v>12</v>
      </c>
      <c r="D887" s="1">
        <v>64704</v>
      </c>
      <c r="E887" s="4">
        <v>85915.97</v>
      </c>
      <c r="F887" s="4">
        <f t="shared" si="19"/>
        <v>16324.034300000001</v>
      </c>
      <c r="G887" s="4">
        <f t="shared" si="20"/>
        <v>102240.0043</v>
      </c>
      <c r="H887" s="1">
        <f t="shared" si="21"/>
        <v>3</v>
      </c>
      <c r="I887" s="1">
        <f t="shared" si="22"/>
        <v>2025</v>
      </c>
      <c r="J887" s="4"/>
      <c r="K887" s="1" t="s">
        <v>87</v>
      </c>
    </row>
    <row r="888" spans="1:11">
      <c r="A888" s="1" t="s">
        <v>373</v>
      </c>
      <c r="B888" s="7">
        <v>45726</v>
      </c>
      <c r="C888" s="1" t="s">
        <v>12</v>
      </c>
      <c r="D888" s="1">
        <v>1119</v>
      </c>
      <c r="E888" s="4">
        <v>8319.33</v>
      </c>
      <c r="F888" s="4">
        <f t="shared" si="19"/>
        <v>1580.6727000000001</v>
      </c>
      <c r="G888" s="4">
        <f t="shared" si="20"/>
        <v>9900.0027000000009</v>
      </c>
      <c r="H888" s="1">
        <f t="shared" si="21"/>
        <v>3</v>
      </c>
      <c r="I888" s="1">
        <f t="shared" si="22"/>
        <v>2025</v>
      </c>
      <c r="J888" s="4"/>
      <c r="K888" s="1" t="s">
        <v>87</v>
      </c>
    </row>
    <row r="889" spans="1:11">
      <c r="A889" s="1" t="s">
        <v>14</v>
      </c>
      <c r="B889" s="7">
        <v>45727</v>
      </c>
      <c r="C889" s="1" t="s">
        <v>12</v>
      </c>
      <c r="D889" s="1">
        <v>54476</v>
      </c>
      <c r="E889" s="4">
        <v>275500</v>
      </c>
      <c r="F889" s="4">
        <f t="shared" si="19"/>
        <v>52345</v>
      </c>
      <c r="G889" s="4">
        <f t="shared" si="20"/>
        <v>327845</v>
      </c>
      <c r="H889" s="1">
        <f t="shared" si="21"/>
        <v>3</v>
      </c>
      <c r="I889" s="1">
        <f t="shared" si="22"/>
        <v>2025</v>
      </c>
      <c r="J889" s="4"/>
      <c r="K889" s="1" t="s">
        <v>87</v>
      </c>
    </row>
    <row r="890" spans="1:11">
      <c r="A890" s="1" t="s">
        <v>368</v>
      </c>
      <c r="B890" s="7">
        <v>45727</v>
      </c>
      <c r="C890" s="1" t="s">
        <v>12</v>
      </c>
      <c r="D890" s="1">
        <v>64922</v>
      </c>
      <c r="E890" s="4">
        <v>2428.5700000000002</v>
      </c>
      <c r="F890" s="4">
        <f t="shared" si="19"/>
        <v>461.42830000000004</v>
      </c>
      <c r="G890" s="4">
        <f t="shared" si="20"/>
        <v>2889.9983000000002</v>
      </c>
      <c r="H890" s="1">
        <f t="shared" si="21"/>
        <v>3</v>
      </c>
      <c r="I890" s="1">
        <f t="shared" si="22"/>
        <v>2025</v>
      </c>
      <c r="J890" s="4"/>
      <c r="K890" s="1" t="s">
        <v>87</v>
      </c>
    </row>
    <row r="891" spans="1:11">
      <c r="A891" s="1" t="s">
        <v>412</v>
      </c>
      <c r="B891" s="7">
        <v>45727</v>
      </c>
      <c r="C891" s="1" t="s">
        <v>12</v>
      </c>
      <c r="D891" s="1">
        <v>68542</v>
      </c>
      <c r="E891" s="4">
        <v>10505.04</v>
      </c>
      <c r="F891" s="4">
        <f t="shared" si="19"/>
        <v>1995.9576000000002</v>
      </c>
      <c r="G891" s="4">
        <f t="shared" si="20"/>
        <v>12500.997600000001</v>
      </c>
      <c r="H891" s="1">
        <f t="shared" si="21"/>
        <v>3</v>
      </c>
      <c r="I891" s="1">
        <f t="shared" si="22"/>
        <v>2025</v>
      </c>
      <c r="J891" s="4"/>
      <c r="K891" s="1" t="s">
        <v>87</v>
      </c>
    </row>
    <row r="892" spans="1:11">
      <c r="A892" s="1" t="s">
        <v>413</v>
      </c>
      <c r="B892" s="7">
        <v>45733</v>
      </c>
      <c r="C892" s="1" t="s">
        <v>12</v>
      </c>
      <c r="D892" s="1">
        <v>24970</v>
      </c>
      <c r="E892" s="4">
        <v>40336.129999999997</v>
      </c>
      <c r="F892" s="4">
        <f t="shared" si="19"/>
        <v>7663.8646999999992</v>
      </c>
      <c r="G892" s="4">
        <f t="shared" si="20"/>
        <v>47999.994699999996</v>
      </c>
      <c r="H892" s="1">
        <f t="shared" si="21"/>
        <v>3</v>
      </c>
      <c r="I892" s="1">
        <f t="shared" si="22"/>
        <v>2025</v>
      </c>
      <c r="J892" s="4"/>
      <c r="K892" s="1" t="s">
        <v>87</v>
      </c>
    </row>
    <row r="893" spans="1:11">
      <c r="A893" s="1" t="s">
        <v>291</v>
      </c>
      <c r="B893" s="7">
        <v>45735</v>
      </c>
      <c r="C893" s="1" t="s">
        <v>12</v>
      </c>
      <c r="D893" s="1">
        <v>11723</v>
      </c>
      <c r="E893" s="4">
        <v>32689.08</v>
      </c>
      <c r="F893" s="4">
        <f t="shared" si="19"/>
        <v>6210.9252000000006</v>
      </c>
      <c r="G893" s="4">
        <f t="shared" si="20"/>
        <v>38900.0052</v>
      </c>
      <c r="H893" s="1">
        <f t="shared" si="21"/>
        <v>3</v>
      </c>
      <c r="I893" s="1">
        <f t="shared" si="22"/>
        <v>2025</v>
      </c>
      <c r="J893" s="4"/>
      <c r="K893" s="1" t="s">
        <v>87</v>
      </c>
    </row>
    <row r="894" spans="1:11">
      <c r="A894" s="1" t="s">
        <v>291</v>
      </c>
      <c r="B894" s="7">
        <v>45737</v>
      </c>
      <c r="C894" s="1" t="s">
        <v>12</v>
      </c>
      <c r="D894" s="1">
        <v>11739</v>
      </c>
      <c r="E894" s="4">
        <v>33277.31</v>
      </c>
      <c r="F894" s="4">
        <f t="shared" si="19"/>
        <v>6322.6888999999992</v>
      </c>
      <c r="G894" s="4">
        <f t="shared" si="20"/>
        <v>39599.998899999999</v>
      </c>
      <c r="H894" s="1">
        <f t="shared" si="21"/>
        <v>3</v>
      </c>
      <c r="I894" s="1">
        <f t="shared" si="22"/>
        <v>2025</v>
      </c>
      <c r="J894" s="4"/>
      <c r="K894" s="1" t="s">
        <v>87</v>
      </c>
    </row>
    <row r="895" spans="1:11">
      <c r="A895" s="1" t="s">
        <v>291</v>
      </c>
      <c r="B895" s="7">
        <v>45737</v>
      </c>
      <c r="C895" s="1" t="s">
        <v>12</v>
      </c>
      <c r="D895" s="1">
        <v>11741</v>
      </c>
      <c r="E895" s="4">
        <v>4621.8500000000004</v>
      </c>
      <c r="F895" s="4">
        <f t="shared" si="19"/>
        <v>878.15150000000006</v>
      </c>
      <c r="G895" s="4">
        <f t="shared" si="20"/>
        <v>5500.0015000000003</v>
      </c>
      <c r="H895" s="1">
        <f t="shared" si="21"/>
        <v>3</v>
      </c>
      <c r="I895" s="1">
        <f t="shared" si="22"/>
        <v>2025</v>
      </c>
      <c r="J895" s="4"/>
      <c r="K895" s="1" t="s">
        <v>87</v>
      </c>
    </row>
    <row r="896" spans="1:11">
      <c r="A896" s="1" t="s">
        <v>103</v>
      </c>
      <c r="B896" s="7">
        <v>45738</v>
      </c>
      <c r="C896" s="1" t="s">
        <v>12</v>
      </c>
      <c r="D896" s="1">
        <v>374778</v>
      </c>
      <c r="E896" s="4">
        <v>123724.37</v>
      </c>
      <c r="F896" s="4">
        <f t="shared" si="19"/>
        <v>23507.630300000001</v>
      </c>
      <c r="G896" s="4">
        <f t="shared" si="20"/>
        <v>147232.00029999999</v>
      </c>
      <c r="H896" s="1">
        <f t="shared" si="21"/>
        <v>3</v>
      </c>
      <c r="I896" s="1">
        <f t="shared" si="22"/>
        <v>2025</v>
      </c>
      <c r="J896" s="4"/>
      <c r="K896" s="1" t="s">
        <v>87</v>
      </c>
    </row>
    <row r="897" spans="1:11">
      <c r="A897" s="1" t="s">
        <v>401</v>
      </c>
      <c r="B897" s="7">
        <v>45741</v>
      </c>
      <c r="C897" s="1" t="s">
        <v>12</v>
      </c>
      <c r="D897" s="1">
        <v>18652</v>
      </c>
      <c r="E897" s="4">
        <v>384866.39</v>
      </c>
      <c r="F897" s="4">
        <f t="shared" si="19"/>
        <v>73124.614100000006</v>
      </c>
      <c r="G897" s="4">
        <f t="shared" si="20"/>
        <v>457991.00410000002</v>
      </c>
      <c r="H897" s="1">
        <f t="shared" si="21"/>
        <v>3</v>
      </c>
      <c r="I897" s="1">
        <f t="shared" si="22"/>
        <v>2025</v>
      </c>
      <c r="J897" s="4"/>
      <c r="K897" s="1" t="s">
        <v>87</v>
      </c>
    </row>
    <row r="898" spans="1:11">
      <c r="A898" s="1" t="s">
        <v>28</v>
      </c>
      <c r="B898" s="7">
        <v>45741</v>
      </c>
      <c r="C898" s="1" t="s">
        <v>12</v>
      </c>
      <c r="D898" s="1">
        <v>1055791</v>
      </c>
      <c r="E898" s="4">
        <v>9579.83</v>
      </c>
      <c r="F898" s="4">
        <f t="shared" si="19"/>
        <v>1820.1677</v>
      </c>
      <c r="G898" s="4">
        <f t="shared" si="20"/>
        <v>11399.9977</v>
      </c>
      <c r="H898" s="1">
        <f t="shared" si="21"/>
        <v>3</v>
      </c>
      <c r="I898" s="1">
        <f t="shared" si="22"/>
        <v>2025</v>
      </c>
      <c r="J898" s="4"/>
      <c r="K898" s="1" t="s">
        <v>87</v>
      </c>
    </row>
    <row r="899" spans="1:11">
      <c r="A899" s="1" t="s">
        <v>373</v>
      </c>
      <c r="B899" s="7">
        <v>45741</v>
      </c>
      <c r="C899" s="1" t="s">
        <v>12</v>
      </c>
      <c r="D899" s="1">
        <v>1163</v>
      </c>
      <c r="E899" s="4">
        <v>2941.18</v>
      </c>
      <c r="F899" s="4">
        <f t="shared" si="19"/>
        <v>558.82420000000002</v>
      </c>
      <c r="G899" s="4">
        <f t="shared" si="20"/>
        <v>3500.0041999999999</v>
      </c>
      <c r="H899" s="1">
        <f t="shared" si="21"/>
        <v>3</v>
      </c>
      <c r="I899" s="1">
        <f t="shared" si="22"/>
        <v>2025</v>
      </c>
      <c r="J899" s="4"/>
      <c r="K899" s="1" t="s">
        <v>87</v>
      </c>
    </row>
    <row r="900" spans="1:11">
      <c r="A900" s="1" t="s">
        <v>389</v>
      </c>
      <c r="B900" s="7">
        <v>45742</v>
      </c>
      <c r="C900" s="1" t="s">
        <v>12</v>
      </c>
      <c r="D900" s="1">
        <v>567978</v>
      </c>
      <c r="E900" s="4">
        <v>367178.15</v>
      </c>
      <c r="F900" s="4">
        <f t="shared" si="19"/>
        <v>69763.848500000007</v>
      </c>
      <c r="G900" s="4">
        <f t="shared" si="20"/>
        <v>436941.99850000005</v>
      </c>
      <c r="H900" s="1">
        <f t="shared" si="21"/>
        <v>3</v>
      </c>
      <c r="I900" s="1">
        <f t="shared" si="22"/>
        <v>2025</v>
      </c>
      <c r="J900" s="4"/>
      <c r="K900" s="1" t="s">
        <v>87</v>
      </c>
    </row>
    <row r="901" spans="1:11">
      <c r="A901" s="1" t="s">
        <v>291</v>
      </c>
      <c r="B901" s="7">
        <v>45742</v>
      </c>
      <c r="C901" s="1" t="s">
        <v>12</v>
      </c>
      <c r="D901" s="1">
        <v>11795</v>
      </c>
      <c r="E901" s="4">
        <v>49579.83</v>
      </c>
      <c r="F901" s="4">
        <f t="shared" si="19"/>
        <v>9420.1677</v>
      </c>
      <c r="G901" s="4">
        <f t="shared" si="20"/>
        <v>58999.9977</v>
      </c>
      <c r="H901" s="1">
        <f t="shared" si="21"/>
        <v>3</v>
      </c>
      <c r="I901" s="1">
        <f t="shared" si="22"/>
        <v>2025</v>
      </c>
      <c r="J901" s="4"/>
      <c r="K901" s="1" t="s">
        <v>87</v>
      </c>
    </row>
    <row r="902" spans="1:11">
      <c r="A902" s="1" t="s">
        <v>373</v>
      </c>
      <c r="B902" s="7">
        <v>45743</v>
      </c>
      <c r="C902" s="1" t="s">
        <v>12</v>
      </c>
      <c r="D902" s="1">
        <v>1167</v>
      </c>
      <c r="E902" s="4">
        <v>8319.33</v>
      </c>
      <c r="F902" s="4">
        <f t="shared" si="19"/>
        <v>1580.6727000000001</v>
      </c>
      <c r="G902" s="4">
        <f t="shared" si="20"/>
        <v>9900.0027000000009</v>
      </c>
      <c r="H902" s="1">
        <f t="shared" si="21"/>
        <v>3</v>
      </c>
      <c r="I902" s="1">
        <f t="shared" si="22"/>
        <v>2025</v>
      </c>
      <c r="J902" s="4"/>
      <c r="K902" s="1" t="s">
        <v>87</v>
      </c>
    </row>
    <row r="903" spans="1:11">
      <c r="A903" s="1" t="s">
        <v>236</v>
      </c>
      <c r="B903" s="7">
        <v>45743</v>
      </c>
      <c r="C903" s="1" t="s">
        <v>12</v>
      </c>
      <c r="D903" s="1">
        <v>47009</v>
      </c>
      <c r="E903" s="4">
        <v>4117.6499999999996</v>
      </c>
      <c r="F903" s="4">
        <f t="shared" si="19"/>
        <v>782.35349999999994</v>
      </c>
      <c r="G903" s="4">
        <f t="shared" si="20"/>
        <v>4900.0034999999998</v>
      </c>
      <c r="H903" s="1">
        <f t="shared" si="21"/>
        <v>3</v>
      </c>
      <c r="I903" s="1">
        <f t="shared" si="22"/>
        <v>2025</v>
      </c>
      <c r="J903" s="4"/>
      <c r="K903" s="1" t="s">
        <v>87</v>
      </c>
    </row>
    <row r="904" spans="1:11">
      <c r="A904" s="1" t="s">
        <v>414</v>
      </c>
      <c r="B904" s="7">
        <v>45743</v>
      </c>
      <c r="C904" s="1" t="s">
        <v>12</v>
      </c>
      <c r="D904" s="1">
        <v>4842777</v>
      </c>
      <c r="E904" s="4">
        <v>39206.720000000001</v>
      </c>
      <c r="F904" s="4">
        <f t="shared" si="19"/>
        <v>7449.2768000000005</v>
      </c>
      <c r="G904" s="4">
        <f t="shared" si="20"/>
        <v>46655.996800000001</v>
      </c>
      <c r="H904" s="1">
        <f t="shared" si="21"/>
        <v>3</v>
      </c>
      <c r="I904" s="1">
        <f t="shared" si="22"/>
        <v>2025</v>
      </c>
      <c r="J904" s="4"/>
      <c r="K904" s="1" t="s">
        <v>87</v>
      </c>
    </row>
    <row r="905" spans="1:11">
      <c r="A905" s="1" t="s">
        <v>166</v>
      </c>
      <c r="B905" s="7">
        <v>45744</v>
      </c>
      <c r="C905" s="1" t="s">
        <v>12</v>
      </c>
      <c r="D905" s="1">
        <v>92792</v>
      </c>
      <c r="E905" s="4">
        <v>13068.9</v>
      </c>
      <c r="F905" s="4">
        <f t="shared" si="19"/>
        <v>2483.0909999999999</v>
      </c>
      <c r="G905" s="4">
        <f t="shared" si="20"/>
        <v>15551.991</v>
      </c>
      <c r="H905" s="1">
        <f t="shared" si="21"/>
        <v>3</v>
      </c>
      <c r="I905" s="1">
        <f t="shared" si="22"/>
        <v>2025</v>
      </c>
      <c r="J905" s="4"/>
      <c r="K905" s="1" t="s">
        <v>87</v>
      </c>
    </row>
    <row r="906" spans="1:11">
      <c r="A906" s="1" t="s">
        <v>291</v>
      </c>
      <c r="B906" s="7">
        <v>45744</v>
      </c>
      <c r="C906" s="1" t="s">
        <v>12</v>
      </c>
      <c r="D906" s="1">
        <v>11818</v>
      </c>
      <c r="E906" s="4">
        <v>4621.8500000000004</v>
      </c>
      <c r="F906" s="4">
        <f t="shared" si="19"/>
        <v>878.15150000000006</v>
      </c>
      <c r="G906" s="4">
        <f t="shared" si="20"/>
        <v>5500.0015000000003</v>
      </c>
      <c r="H906" s="1">
        <f t="shared" si="21"/>
        <v>3</v>
      </c>
      <c r="I906" s="1">
        <f t="shared" si="22"/>
        <v>2025</v>
      </c>
      <c r="J906" s="4"/>
      <c r="K906" s="1" t="s">
        <v>87</v>
      </c>
    </row>
    <row r="907" spans="1:11">
      <c r="A907" s="1" t="s">
        <v>415</v>
      </c>
      <c r="B907" s="7">
        <v>45744</v>
      </c>
      <c r="C907" s="1" t="s">
        <v>12</v>
      </c>
      <c r="D907" s="1">
        <v>111245</v>
      </c>
      <c r="E907" s="4">
        <v>16806.72</v>
      </c>
      <c r="F907" s="4">
        <f t="shared" si="19"/>
        <v>3193.2768000000001</v>
      </c>
      <c r="G907" s="4">
        <f t="shared" si="20"/>
        <v>19999.996800000001</v>
      </c>
      <c r="H907" s="1">
        <f t="shared" si="21"/>
        <v>3</v>
      </c>
      <c r="I907" s="1">
        <f t="shared" si="22"/>
        <v>2025</v>
      </c>
      <c r="J907" s="4"/>
      <c r="K907" s="1" t="s">
        <v>87</v>
      </c>
    </row>
    <row r="908" spans="1:11">
      <c r="A908" s="1" t="s">
        <v>291</v>
      </c>
      <c r="B908" s="7">
        <v>45747</v>
      </c>
      <c r="C908" s="1" t="s">
        <v>12</v>
      </c>
      <c r="D908" s="1">
        <v>11838</v>
      </c>
      <c r="E908" s="4">
        <v>7142.86</v>
      </c>
      <c r="F908" s="4">
        <f t="shared" si="19"/>
        <v>1357.1433999999999</v>
      </c>
      <c r="G908" s="4">
        <f t="shared" si="20"/>
        <v>8500.0033999999996</v>
      </c>
      <c r="H908" s="1">
        <f t="shared" si="21"/>
        <v>3</v>
      </c>
      <c r="I908" s="1">
        <f t="shared" si="22"/>
        <v>2025</v>
      </c>
      <c r="J908" s="4"/>
      <c r="K908" s="1" t="s">
        <v>87</v>
      </c>
    </row>
    <row r="909" spans="1:11">
      <c r="A909" s="1" t="s">
        <v>373</v>
      </c>
      <c r="B909" s="7">
        <v>45747</v>
      </c>
      <c r="C909" s="1" t="s">
        <v>12</v>
      </c>
      <c r="D909" s="1">
        <v>1177</v>
      </c>
      <c r="E909" s="4">
        <v>19915.13</v>
      </c>
      <c r="F909" s="4">
        <f t="shared" si="19"/>
        <v>3783.8747000000003</v>
      </c>
      <c r="G909" s="4">
        <f t="shared" si="20"/>
        <v>23699.004700000001</v>
      </c>
      <c r="H909" s="1">
        <f t="shared" si="21"/>
        <v>3</v>
      </c>
      <c r="I909" s="1">
        <f t="shared" si="22"/>
        <v>2025</v>
      </c>
      <c r="J909" s="4"/>
      <c r="K909" s="1" t="s">
        <v>87</v>
      </c>
    </row>
    <row r="910" spans="1:11">
      <c r="A910" s="1" t="s">
        <v>373</v>
      </c>
      <c r="B910" s="7">
        <v>45748</v>
      </c>
      <c r="C910" s="1" t="s">
        <v>12</v>
      </c>
      <c r="D910" s="1">
        <v>1180</v>
      </c>
      <c r="E910" s="4">
        <v>6638.66</v>
      </c>
      <c r="F910" s="4">
        <f t="shared" si="19"/>
        <v>1261.3453999999999</v>
      </c>
      <c r="G910" s="4">
        <f t="shared" si="20"/>
        <v>7900.0054</v>
      </c>
      <c r="H910" s="1">
        <f t="shared" si="21"/>
        <v>4</v>
      </c>
      <c r="I910" s="1">
        <f t="shared" si="22"/>
        <v>2025</v>
      </c>
      <c r="J910" s="4"/>
      <c r="K910" s="1" t="s">
        <v>87</v>
      </c>
    </row>
    <row r="911" spans="1:11">
      <c r="A911" s="1" t="s">
        <v>416</v>
      </c>
      <c r="B911" s="7">
        <v>45748</v>
      </c>
      <c r="C911" s="1" t="s">
        <v>12</v>
      </c>
      <c r="D911" s="1">
        <v>7689555</v>
      </c>
      <c r="E911" s="4">
        <v>4900</v>
      </c>
      <c r="F911" s="4">
        <f t="shared" si="19"/>
        <v>931</v>
      </c>
      <c r="G911" s="4">
        <f t="shared" si="20"/>
        <v>5831</v>
      </c>
      <c r="H911" s="1">
        <f t="shared" si="21"/>
        <v>4</v>
      </c>
      <c r="I911" s="1">
        <f t="shared" si="22"/>
        <v>2025</v>
      </c>
      <c r="J911" s="4"/>
      <c r="K911" s="1" t="s">
        <v>87</v>
      </c>
    </row>
    <row r="912" spans="1:11">
      <c r="A912" s="1" t="s">
        <v>417</v>
      </c>
      <c r="B912" s="7">
        <v>45748</v>
      </c>
      <c r="C912" s="1" t="s">
        <v>12</v>
      </c>
      <c r="D912" s="1">
        <v>7689556</v>
      </c>
      <c r="E912" s="4">
        <v>16285.71</v>
      </c>
      <c r="F912" s="4">
        <f t="shared" si="19"/>
        <v>3094.2848999999997</v>
      </c>
      <c r="G912" s="4">
        <f t="shared" si="20"/>
        <v>19379.994899999998</v>
      </c>
      <c r="H912" s="1">
        <f t="shared" si="21"/>
        <v>4</v>
      </c>
      <c r="I912" s="1">
        <f t="shared" si="22"/>
        <v>2025</v>
      </c>
      <c r="J912" s="4"/>
      <c r="K912" s="1" t="s">
        <v>87</v>
      </c>
    </row>
    <row r="913" spans="1:11">
      <c r="A913" s="1" t="s">
        <v>418</v>
      </c>
      <c r="B913" s="7">
        <v>45749</v>
      </c>
      <c r="C913" s="1" t="s">
        <v>12</v>
      </c>
      <c r="D913" s="1">
        <v>516</v>
      </c>
      <c r="E913" s="4">
        <v>15537.82</v>
      </c>
      <c r="F913" s="4">
        <f t="shared" si="19"/>
        <v>2952.1858000000002</v>
      </c>
      <c r="G913" s="4">
        <f t="shared" si="20"/>
        <v>18490.005799999999</v>
      </c>
      <c r="H913" s="1">
        <f t="shared" si="21"/>
        <v>4</v>
      </c>
      <c r="I913" s="1">
        <f t="shared" si="22"/>
        <v>2025</v>
      </c>
      <c r="J913" s="4"/>
      <c r="K913" s="1" t="s">
        <v>87</v>
      </c>
    </row>
    <row r="914" spans="1:11">
      <c r="A914" s="1" t="s">
        <v>419</v>
      </c>
      <c r="B914" s="7">
        <v>45749</v>
      </c>
      <c r="C914" s="1" t="s">
        <v>12</v>
      </c>
      <c r="D914" s="1">
        <v>123333</v>
      </c>
      <c r="E914" s="4">
        <v>22663.87</v>
      </c>
      <c r="F914" s="4">
        <f t="shared" si="19"/>
        <v>4306.1352999999999</v>
      </c>
      <c r="G914" s="4">
        <f t="shared" si="20"/>
        <v>26970.005299999997</v>
      </c>
      <c r="H914" s="1">
        <f t="shared" si="21"/>
        <v>4</v>
      </c>
      <c r="I914" s="1">
        <f t="shared" si="22"/>
        <v>2025</v>
      </c>
      <c r="J914" s="4"/>
      <c r="K914" s="1" t="s">
        <v>87</v>
      </c>
    </row>
    <row r="915" spans="1:11">
      <c r="A915" s="1" t="s">
        <v>291</v>
      </c>
      <c r="B915" s="7">
        <v>45750</v>
      </c>
      <c r="C915" s="1" t="s">
        <v>12</v>
      </c>
      <c r="D915" s="1">
        <v>11886</v>
      </c>
      <c r="E915" s="4">
        <v>11764.71</v>
      </c>
      <c r="F915" s="4">
        <f t="shared" si="19"/>
        <v>2235.2948999999999</v>
      </c>
      <c r="G915" s="4">
        <f t="shared" si="20"/>
        <v>14000.0049</v>
      </c>
      <c r="H915" s="1">
        <f t="shared" si="21"/>
        <v>4</v>
      </c>
      <c r="I915" s="1">
        <f t="shared" si="22"/>
        <v>2025</v>
      </c>
      <c r="J915" s="4"/>
      <c r="K915" s="1" t="s">
        <v>87</v>
      </c>
    </row>
    <row r="916" spans="1:11">
      <c r="A916" s="1" t="s">
        <v>291</v>
      </c>
      <c r="B916" s="7">
        <v>45750</v>
      </c>
      <c r="C916" s="1" t="s">
        <v>12</v>
      </c>
      <c r="D916" s="1">
        <v>11894</v>
      </c>
      <c r="E916" s="4">
        <v>6134.45</v>
      </c>
      <c r="F916" s="4">
        <f t="shared" si="19"/>
        <v>1165.5454999999999</v>
      </c>
      <c r="G916" s="4">
        <f t="shared" si="20"/>
        <v>7299.9955</v>
      </c>
      <c r="H916" s="1">
        <f t="shared" si="21"/>
        <v>4</v>
      </c>
      <c r="I916" s="1">
        <f t="shared" si="22"/>
        <v>2025</v>
      </c>
      <c r="J916" s="4"/>
      <c r="K916" s="1" t="s">
        <v>87</v>
      </c>
    </row>
    <row r="917" spans="1:11">
      <c r="A917" s="1" t="s">
        <v>379</v>
      </c>
      <c r="B917" s="7">
        <v>45751</v>
      </c>
      <c r="C917" s="1" t="s">
        <v>12</v>
      </c>
      <c r="D917" s="1">
        <v>104315</v>
      </c>
      <c r="E917" s="4">
        <v>13866.39</v>
      </c>
      <c r="F917" s="4">
        <f t="shared" si="19"/>
        <v>2634.6140999999998</v>
      </c>
      <c r="G917" s="4">
        <f t="shared" si="20"/>
        <v>16501.004099999998</v>
      </c>
      <c r="H917" s="1">
        <f t="shared" si="21"/>
        <v>4</v>
      </c>
      <c r="I917" s="1">
        <f t="shared" si="22"/>
        <v>2025</v>
      </c>
      <c r="J917" s="4"/>
      <c r="K917" s="1" t="s">
        <v>87</v>
      </c>
    </row>
    <row r="918" spans="1:11">
      <c r="A918" s="1" t="s">
        <v>373</v>
      </c>
      <c r="B918" s="7">
        <v>45754</v>
      </c>
      <c r="C918" s="1" t="s">
        <v>12</v>
      </c>
      <c r="D918" s="1">
        <v>1190</v>
      </c>
      <c r="E918" s="4">
        <v>46051.26</v>
      </c>
      <c r="F918" s="4">
        <f t="shared" si="19"/>
        <v>8749.7394000000004</v>
      </c>
      <c r="G918" s="4">
        <f t="shared" si="20"/>
        <v>54800.999400000001</v>
      </c>
      <c r="H918" s="1">
        <f t="shared" si="21"/>
        <v>4</v>
      </c>
      <c r="I918" s="1">
        <f t="shared" si="22"/>
        <v>2025</v>
      </c>
      <c r="J918" s="4"/>
      <c r="K918" s="1" t="s">
        <v>87</v>
      </c>
    </row>
    <row r="919" spans="1:11">
      <c r="A919" s="1" t="s">
        <v>375</v>
      </c>
      <c r="B919" s="7">
        <v>45754</v>
      </c>
      <c r="C919" s="1" t="s">
        <v>12</v>
      </c>
      <c r="D919" s="1">
        <v>8484</v>
      </c>
      <c r="E919" s="4">
        <v>28537.82</v>
      </c>
      <c r="F919" s="4">
        <f t="shared" si="19"/>
        <v>5422.1858000000002</v>
      </c>
      <c r="G919" s="4">
        <f t="shared" si="20"/>
        <v>33960.005799999999</v>
      </c>
      <c r="H919" s="1">
        <f t="shared" si="21"/>
        <v>4</v>
      </c>
      <c r="I919" s="1">
        <f t="shared" si="22"/>
        <v>2025</v>
      </c>
      <c r="J919" s="4"/>
      <c r="K919" s="1" t="s">
        <v>87</v>
      </c>
    </row>
    <row r="920" spans="1:11">
      <c r="A920" s="1" t="s">
        <v>360</v>
      </c>
      <c r="B920" s="7">
        <v>45754</v>
      </c>
      <c r="C920" s="1" t="s">
        <v>12</v>
      </c>
      <c r="D920" s="1">
        <v>94708</v>
      </c>
      <c r="E920" s="4">
        <v>7873.95</v>
      </c>
      <c r="F920" s="4">
        <f t="shared" si="19"/>
        <v>1496.0505000000001</v>
      </c>
      <c r="G920" s="4">
        <f t="shared" si="20"/>
        <v>9370.0005000000001</v>
      </c>
      <c r="H920" s="1">
        <f t="shared" si="21"/>
        <v>4</v>
      </c>
      <c r="I920" s="1">
        <f t="shared" si="22"/>
        <v>2025</v>
      </c>
      <c r="J920" s="4"/>
      <c r="K920" s="1" t="s">
        <v>87</v>
      </c>
    </row>
    <row r="921" spans="1:11">
      <c r="A921" s="1" t="s">
        <v>203</v>
      </c>
      <c r="B921" s="7">
        <v>45754</v>
      </c>
      <c r="C921" s="1" t="s">
        <v>12</v>
      </c>
      <c r="D921" s="1">
        <v>43274655</v>
      </c>
      <c r="E921" s="4">
        <v>25894.12</v>
      </c>
      <c r="F921" s="4">
        <f t="shared" si="19"/>
        <v>4919.8828000000003</v>
      </c>
      <c r="G921" s="4">
        <f t="shared" si="20"/>
        <v>30814.002799999998</v>
      </c>
      <c r="H921" s="1">
        <f t="shared" si="21"/>
        <v>4</v>
      </c>
      <c r="I921" s="1">
        <f t="shared" si="22"/>
        <v>2025</v>
      </c>
      <c r="J921" s="4"/>
      <c r="K921" s="1" t="s">
        <v>87</v>
      </c>
    </row>
    <row r="922" spans="1:11">
      <c r="A922" s="1" t="s">
        <v>202</v>
      </c>
      <c r="B922" s="7">
        <v>45754</v>
      </c>
      <c r="C922" s="1" t="s">
        <v>12</v>
      </c>
      <c r="D922" s="1">
        <v>2358617</v>
      </c>
      <c r="E922" s="4">
        <v>5621.01</v>
      </c>
      <c r="F922" s="4">
        <f t="shared" si="19"/>
        <v>1067.9919</v>
      </c>
      <c r="G922" s="4">
        <f t="shared" si="20"/>
        <v>6689.0019000000002</v>
      </c>
      <c r="H922" s="1">
        <f t="shared" si="21"/>
        <v>4</v>
      </c>
      <c r="I922" s="1">
        <f t="shared" si="22"/>
        <v>2025</v>
      </c>
      <c r="J922" s="4"/>
      <c r="K922" s="1" t="s">
        <v>87</v>
      </c>
    </row>
    <row r="923" spans="1:11">
      <c r="A923" s="1" t="s">
        <v>103</v>
      </c>
      <c r="B923" s="7">
        <v>45755</v>
      </c>
      <c r="C923" s="1" t="s">
        <v>12</v>
      </c>
      <c r="D923" s="1">
        <v>266157</v>
      </c>
      <c r="E923" s="4">
        <v>177435.29</v>
      </c>
      <c r="F923" s="4">
        <f t="shared" si="19"/>
        <v>33712.705099999999</v>
      </c>
      <c r="G923" s="4">
        <f t="shared" si="20"/>
        <v>211147.9951</v>
      </c>
      <c r="H923" s="1">
        <f t="shared" si="21"/>
        <v>4</v>
      </c>
      <c r="I923" s="1">
        <f t="shared" si="22"/>
        <v>2025</v>
      </c>
      <c r="J923" s="4"/>
      <c r="K923" s="1" t="s">
        <v>87</v>
      </c>
    </row>
    <row r="924" spans="1:11">
      <c r="A924" s="1" t="s">
        <v>28</v>
      </c>
      <c r="B924" s="7">
        <v>45757</v>
      </c>
      <c r="C924" s="1" t="s">
        <v>12</v>
      </c>
      <c r="D924" s="1">
        <v>1069740</v>
      </c>
      <c r="E924" s="4">
        <v>2495.8000000000002</v>
      </c>
      <c r="F924" s="4">
        <f t="shared" si="19"/>
        <v>474.20200000000006</v>
      </c>
      <c r="G924" s="4">
        <f t="shared" si="20"/>
        <v>2970.0020000000004</v>
      </c>
      <c r="H924" s="1">
        <f t="shared" si="21"/>
        <v>4</v>
      </c>
      <c r="I924" s="1">
        <f t="shared" si="22"/>
        <v>2025</v>
      </c>
      <c r="J924" s="4"/>
      <c r="K924" s="1" t="s">
        <v>87</v>
      </c>
    </row>
    <row r="925" spans="1:11">
      <c r="A925" s="1" t="s">
        <v>28</v>
      </c>
      <c r="B925" s="7">
        <v>45757</v>
      </c>
      <c r="C925" s="1" t="s">
        <v>12</v>
      </c>
      <c r="D925" s="1">
        <v>1069741</v>
      </c>
      <c r="E925" s="4">
        <v>11058.82</v>
      </c>
      <c r="F925" s="4">
        <f t="shared" si="19"/>
        <v>2101.1758</v>
      </c>
      <c r="G925" s="4">
        <f t="shared" si="20"/>
        <v>13159.995800000001</v>
      </c>
      <c r="H925" s="1">
        <f t="shared" si="21"/>
        <v>4</v>
      </c>
      <c r="I925" s="1">
        <f t="shared" si="22"/>
        <v>2025</v>
      </c>
      <c r="J925" s="4"/>
      <c r="K925" s="1" t="s">
        <v>87</v>
      </c>
    </row>
    <row r="926" spans="1:11">
      <c r="A926" s="1" t="s">
        <v>420</v>
      </c>
      <c r="B926" s="7">
        <v>45759</v>
      </c>
      <c r="C926" s="1" t="s">
        <v>12</v>
      </c>
      <c r="D926" s="1">
        <v>3</v>
      </c>
      <c r="E926" s="4">
        <v>67226.89</v>
      </c>
      <c r="F926" s="4">
        <f t="shared" si="19"/>
        <v>12773.1091</v>
      </c>
      <c r="G926" s="4">
        <f t="shared" si="20"/>
        <v>79999.999100000001</v>
      </c>
      <c r="H926" s="1">
        <f t="shared" si="21"/>
        <v>4</v>
      </c>
      <c r="I926" s="1">
        <f t="shared" si="22"/>
        <v>2025</v>
      </c>
      <c r="J926" s="4"/>
      <c r="K926" s="1" t="s">
        <v>87</v>
      </c>
    </row>
    <row r="927" spans="1:11">
      <c r="A927" s="1" t="s">
        <v>402</v>
      </c>
      <c r="B927" s="7">
        <v>45761</v>
      </c>
      <c r="C927" s="1" t="s">
        <v>12</v>
      </c>
      <c r="D927" s="1">
        <v>268216</v>
      </c>
      <c r="E927" s="4">
        <v>34927.730000000003</v>
      </c>
      <c r="F927" s="4">
        <f t="shared" si="19"/>
        <v>6636.2687000000005</v>
      </c>
      <c r="G927" s="4">
        <f t="shared" si="20"/>
        <v>41563.998700000004</v>
      </c>
      <c r="H927" s="1">
        <f t="shared" si="21"/>
        <v>4</v>
      </c>
      <c r="I927" s="1">
        <f t="shared" si="22"/>
        <v>2025</v>
      </c>
      <c r="J927" s="4"/>
      <c r="K927" s="1" t="s">
        <v>87</v>
      </c>
    </row>
    <row r="928" spans="1:11">
      <c r="A928" s="1" t="s">
        <v>342</v>
      </c>
      <c r="B928" s="7">
        <v>45761</v>
      </c>
      <c r="C928" s="1" t="s">
        <v>12</v>
      </c>
      <c r="D928" s="1">
        <v>5540456</v>
      </c>
      <c r="E928" s="4">
        <v>22260.5</v>
      </c>
      <c r="F928" s="4">
        <f t="shared" si="19"/>
        <v>4229.4949999999999</v>
      </c>
      <c r="G928" s="4">
        <f t="shared" si="20"/>
        <v>26489.994999999999</v>
      </c>
      <c r="H928" s="1">
        <f t="shared" si="21"/>
        <v>4</v>
      </c>
      <c r="I928" s="1">
        <f t="shared" si="22"/>
        <v>2025</v>
      </c>
      <c r="J928" s="4"/>
      <c r="K928" s="1" t="s">
        <v>87</v>
      </c>
    </row>
    <row r="929" spans="1:11">
      <c r="A929" s="1" t="s">
        <v>342</v>
      </c>
      <c r="B929" s="7">
        <v>45762</v>
      </c>
      <c r="C929" s="1" t="s">
        <v>12</v>
      </c>
      <c r="D929" s="1">
        <v>5540496</v>
      </c>
      <c r="E929" s="4">
        <v>6966.39</v>
      </c>
      <c r="F929" s="4">
        <f t="shared" si="19"/>
        <v>1323.6141</v>
      </c>
      <c r="G929" s="4">
        <f t="shared" si="20"/>
        <v>8290.0041000000001</v>
      </c>
      <c r="H929" s="1">
        <f t="shared" si="21"/>
        <v>4</v>
      </c>
      <c r="I929" s="1">
        <f t="shared" si="22"/>
        <v>2025</v>
      </c>
      <c r="J929" s="4"/>
      <c r="K929" s="1" t="s">
        <v>87</v>
      </c>
    </row>
    <row r="930" spans="1:11">
      <c r="A930" s="1" t="s">
        <v>379</v>
      </c>
      <c r="B930" s="7">
        <v>45762</v>
      </c>
      <c r="C930" s="1" t="s">
        <v>12</v>
      </c>
      <c r="D930" s="1">
        <v>104646</v>
      </c>
      <c r="E930" s="4">
        <v>14453.78</v>
      </c>
      <c r="F930" s="4">
        <f t="shared" si="19"/>
        <v>2746.2182000000003</v>
      </c>
      <c r="G930" s="4">
        <f t="shared" si="20"/>
        <v>17199.998200000002</v>
      </c>
      <c r="H930" s="1">
        <f t="shared" si="21"/>
        <v>4</v>
      </c>
      <c r="I930" s="1">
        <f t="shared" si="22"/>
        <v>2025</v>
      </c>
      <c r="J930" s="4"/>
      <c r="K930" s="1" t="s">
        <v>87</v>
      </c>
    </row>
    <row r="931" spans="1:11">
      <c r="A931" s="1" t="s">
        <v>103</v>
      </c>
      <c r="B931" s="7">
        <v>45762</v>
      </c>
      <c r="C931" s="1" t="s">
        <v>12</v>
      </c>
      <c r="D931" s="1">
        <v>378134</v>
      </c>
      <c r="E931" s="4">
        <v>139100</v>
      </c>
      <c r="F931" s="4">
        <f t="shared" si="19"/>
        <v>26429</v>
      </c>
      <c r="G931" s="4">
        <f t="shared" si="20"/>
        <v>165529</v>
      </c>
      <c r="H931" s="1">
        <f t="shared" si="21"/>
        <v>4</v>
      </c>
      <c r="I931" s="1">
        <f t="shared" si="22"/>
        <v>2025</v>
      </c>
      <c r="J931" s="4"/>
      <c r="K931" s="1" t="s">
        <v>87</v>
      </c>
    </row>
    <row r="932" spans="1:11">
      <c r="A932" s="1" t="s">
        <v>342</v>
      </c>
      <c r="B932" s="7">
        <v>45763</v>
      </c>
      <c r="C932" s="1" t="s">
        <v>12</v>
      </c>
      <c r="D932" s="1">
        <v>5540599</v>
      </c>
      <c r="E932" s="4">
        <v>21495.8</v>
      </c>
      <c r="F932" s="4">
        <f t="shared" si="19"/>
        <v>4084.2019999999998</v>
      </c>
      <c r="G932" s="4">
        <f t="shared" si="20"/>
        <v>25580.002</v>
      </c>
      <c r="H932" s="1">
        <f t="shared" si="21"/>
        <v>4</v>
      </c>
      <c r="I932" s="1">
        <f t="shared" si="22"/>
        <v>2025</v>
      </c>
      <c r="J932" s="4"/>
      <c r="K932" s="1" t="s">
        <v>87</v>
      </c>
    </row>
    <row r="933" spans="1:11">
      <c r="A933" s="1" t="s">
        <v>28</v>
      </c>
      <c r="B933" s="7">
        <v>45764</v>
      </c>
      <c r="C933" s="1" t="s">
        <v>12</v>
      </c>
      <c r="D933" s="1">
        <v>1069841</v>
      </c>
      <c r="E933" s="4">
        <v>10319.33</v>
      </c>
      <c r="F933" s="4">
        <f t="shared" si="19"/>
        <v>1960.6727000000001</v>
      </c>
      <c r="G933" s="4">
        <f t="shared" si="20"/>
        <v>12280.002700000001</v>
      </c>
      <c r="H933" s="1">
        <f t="shared" si="21"/>
        <v>4</v>
      </c>
      <c r="I933" s="1">
        <f t="shared" si="22"/>
        <v>2025</v>
      </c>
      <c r="J933" s="4"/>
      <c r="K933" s="1" t="s">
        <v>87</v>
      </c>
    </row>
    <row r="934" spans="1:11">
      <c r="A934" s="1" t="s">
        <v>421</v>
      </c>
      <c r="B934" s="7">
        <v>45768</v>
      </c>
      <c r="C934" s="1" t="s">
        <v>12</v>
      </c>
      <c r="D934" s="1">
        <v>570249</v>
      </c>
      <c r="E934" s="4">
        <v>10292.44</v>
      </c>
      <c r="F934" s="4">
        <f t="shared" si="19"/>
        <v>1955.5636000000002</v>
      </c>
      <c r="G934" s="4">
        <f t="shared" si="20"/>
        <v>12248.0036</v>
      </c>
      <c r="H934" s="1">
        <f t="shared" si="21"/>
        <v>4</v>
      </c>
      <c r="I934" s="1">
        <f t="shared" si="22"/>
        <v>2025</v>
      </c>
      <c r="J934" s="4"/>
      <c r="K934" s="1" t="s">
        <v>87</v>
      </c>
    </row>
    <row r="935" spans="1:11">
      <c r="A935" s="1" t="s">
        <v>422</v>
      </c>
      <c r="B935" s="7">
        <v>45768</v>
      </c>
      <c r="C935" s="1" t="s">
        <v>12</v>
      </c>
      <c r="D935" s="1">
        <v>5337</v>
      </c>
      <c r="E935" s="4">
        <v>52122.69</v>
      </c>
      <c r="F935" s="4">
        <f t="shared" si="19"/>
        <v>9903.3111000000008</v>
      </c>
      <c r="G935" s="4">
        <f t="shared" si="20"/>
        <v>62026.001100000001</v>
      </c>
      <c r="H935" s="1">
        <f t="shared" si="21"/>
        <v>4</v>
      </c>
      <c r="I935" s="1">
        <f t="shared" si="22"/>
        <v>2025</v>
      </c>
      <c r="J935" s="4"/>
      <c r="K935" s="1" t="s">
        <v>87</v>
      </c>
    </row>
    <row r="936" spans="1:11">
      <c r="A936" s="1" t="s">
        <v>373</v>
      </c>
      <c r="B936" s="7">
        <v>45769</v>
      </c>
      <c r="C936" s="1" t="s">
        <v>12</v>
      </c>
      <c r="D936" s="1">
        <v>1221</v>
      </c>
      <c r="E936" s="4">
        <v>64537.81</v>
      </c>
      <c r="F936" s="4">
        <f t="shared" si="19"/>
        <v>12262.1839</v>
      </c>
      <c r="G936" s="4">
        <f t="shared" si="20"/>
        <v>76799.993900000001</v>
      </c>
      <c r="H936" s="1">
        <f t="shared" si="21"/>
        <v>4</v>
      </c>
      <c r="I936" s="1">
        <f t="shared" si="22"/>
        <v>2025</v>
      </c>
      <c r="J936" s="4"/>
      <c r="K936" s="1" t="s">
        <v>87</v>
      </c>
    </row>
    <row r="937" spans="1:11">
      <c r="A937" s="1" t="s">
        <v>368</v>
      </c>
      <c r="B937" s="7">
        <v>45769</v>
      </c>
      <c r="C937" s="1" t="s">
        <v>12</v>
      </c>
      <c r="D937" s="1">
        <v>67894</v>
      </c>
      <c r="E937" s="4">
        <v>33042.019999999997</v>
      </c>
      <c r="F937" s="4">
        <f t="shared" si="19"/>
        <v>6277.9837999999991</v>
      </c>
      <c r="G937" s="4">
        <f t="shared" si="20"/>
        <v>39320.003799999999</v>
      </c>
      <c r="H937" s="1">
        <f t="shared" si="21"/>
        <v>4</v>
      </c>
      <c r="I937" s="1">
        <f t="shared" si="22"/>
        <v>2025</v>
      </c>
      <c r="J937" s="4"/>
      <c r="K937" s="1" t="s">
        <v>87</v>
      </c>
    </row>
    <row r="938" spans="1:11">
      <c r="A938" s="1" t="s">
        <v>423</v>
      </c>
      <c r="B938" s="7">
        <v>45769</v>
      </c>
      <c r="C938" s="1" t="s">
        <v>12</v>
      </c>
      <c r="D938" s="1">
        <v>11739</v>
      </c>
      <c r="E938" s="4">
        <v>21008.400000000001</v>
      </c>
      <c r="F938" s="4">
        <f t="shared" si="19"/>
        <v>3991.5960000000005</v>
      </c>
      <c r="G938" s="4">
        <f t="shared" si="20"/>
        <v>24999.996000000003</v>
      </c>
      <c r="H938" s="1">
        <f t="shared" si="21"/>
        <v>4</v>
      </c>
      <c r="I938" s="1">
        <f t="shared" si="22"/>
        <v>2025</v>
      </c>
      <c r="J938" s="4"/>
      <c r="K938" s="1" t="s">
        <v>87</v>
      </c>
    </row>
    <row r="939" spans="1:11">
      <c r="A939" s="1" t="s">
        <v>424</v>
      </c>
      <c r="B939" s="7">
        <v>45770</v>
      </c>
      <c r="C939" s="1" t="s">
        <v>12</v>
      </c>
      <c r="D939" s="1">
        <v>44745</v>
      </c>
      <c r="E939" s="4">
        <v>49495.8</v>
      </c>
      <c r="F939" s="4">
        <f t="shared" si="19"/>
        <v>9404.2020000000011</v>
      </c>
      <c r="G939" s="4">
        <f t="shared" si="20"/>
        <v>58900.002000000008</v>
      </c>
      <c r="H939" s="1">
        <f t="shared" si="21"/>
        <v>4</v>
      </c>
      <c r="I939" s="1">
        <f t="shared" si="22"/>
        <v>2025</v>
      </c>
      <c r="J939" s="4"/>
      <c r="K939" s="1" t="s">
        <v>87</v>
      </c>
    </row>
    <row r="940" spans="1:11">
      <c r="A940" s="1" t="s">
        <v>421</v>
      </c>
      <c r="B940" s="7">
        <v>45771</v>
      </c>
      <c r="C940" s="1" t="s">
        <v>12</v>
      </c>
      <c r="D940" s="1">
        <v>571102</v>
      </c>
      <c r="E940" s="4">
        <v>20324.37</v>
      </c>
      <c r="F940" s="4">
        <f t="shared" si="19"/>
        <v>3861.6302999999998</v>
      </c>
      <c r="G940" s="4">
        <f t="shared" si="20"/>
        <v>24186.0003</v>
      </c>
      <c r="H940" s="1">
        <f t="shared" si="21"/>
        <v>4</v>
      </c>
      <c r="I940" s="1">
        <f t="shared" si="22"/>
        <v>2025</v>
      </c>
      <c r="J940" s="4"/>
      <c r="K940" s="1" t="s">
        <v>87</v>
      </c>
    </row>
    <row r="941" spans="1:11">
      <c r="A941" s="1" t="s">
        <v>342</v>
      </c>
      <c r="B941" s="7">
        <v>45772</v>
      </c>
      <c r="C941" s="1" t="s">
        <v>12</v>
      </c>
      <c r="D941" s="1">
        <v>5541466</v>
      </c>
      <c r="E941" s="4">
        <v>13352.94</v>
      </c>
      <c r="F941" s="4">
        <f t="shared" si="19"/>
        <v>2537.0586000000003</v>
      </c>
      <c r="G941" s="4">
        <f t="shared" si="20"/>
        <v>15889.998600000001</v>
      </c>
      <c r="H941" s="1">
        <f t="shared" si="21"/>
        <v>4</v>
      </c>
      <c r="I941" s="1">
        <f t="shared" si="22"/>
        <v>2025</v>
      </c>
      <c r="J941" s="4"/>
      <c r="K941" s="1" t="s">
        <v>87</v>
      </c>
    </row>
    <row r="942" spans="1:11">
      <c r="A942" s="1" t="s">
        <v>360</v>
      </c>
      <c r="B942" s="7">
        <v>45772</v>
      </c>
      <c r="C942" s="1" t="s">
        <v>12</v>
      </c>
      <c r="D942" s="1">
        <v>95725</v>
      </c>
      <c r="E942" s="4">
        <v>256668.07</v>
      </c>
      <c r="F942" s="4">
        <f t="shared" si="19"/>
        <v>48766.933300000004</v>
      </c>
      <c r="G942" s="4">
        <f t="shared" si="20"/>
        <v>305435.00329999998</v>
      </c>
      <c r="H942" s="1">
        <f t="shared" si="21"/>
        <v>4</v>
      </c>
      <c r="I942" s="1">
        <f t="shared" si="22"/>
        <v>2025</v>
      </c>
      <c r="J942" s="4"/>
      <c r="K942" s="1" t="s">
        <v>87</v>
      </c>
    </row>
    <row r="943" spans="1:11">
      <c r="A943" s="1" t="s">
        <v>342</v>
      </c>
      <c r="B943" s="7">
        <v>45772</v>
      </c>
      <c r="C943" s="1" t="s">
        <v>12</v>
      </c>
      <c r="D943" s="1">
        <v>5541592</v>
      </c>
      <c r="E943" s="4">
        <v>7966.39</v>
      </c>
      <c r="F943" s="4">
        <f t="shared" si="19"/>
        <v>1513.6141</v>
      </c>
      <c r="G943" s="4">
        <f t="shared" si="20"/>
        <v>9480.0041000000001</v>
      </c>
      <c r="H943" s="1">
        <f t="shared" si="21"/>
        <v>4</v>
      </c>
      <c r="I943" s="1">
        <f t="shared" si="22"/>
        <v>2025</v>
      </c>
      <c r="J943" s="4"/>
      <c r="K943" s="1" t="s">
        <v>87</v>
      </c>
    </row>
    <row r="944" spans="1:11">
      <c r="A944" s="1" t="s">
        <v>166</v>
      </c>
      <c r="B944" s="7">
        <v>45775</v>
      </c>
      <c r="C944" s="1" t="s">
        <v>12</v>
      </c>
      <c r="D944" s="1">
        <v>94804</v>
      </c>
      <c r="E944" s="4">
        <v>13130.25</v>
      </c>
      <c r="F944" s="4">
        <f t="shared" si="19"/>
        <v>2494.7474999999999</v>
      </c>
      <c r="G944" s="4">
        <f t="shared" si="20"/>
        <v>15624.997499999999</v>
      </c>
      <c r="H944" s="1">
        <f t="shared" si="21"/>
        <v>4</v>
      </c>
      <c r="I944" s="1">
        <f t="shared" si="22"/>
        <v>2025</v>
      </c>
      <c r="J944" s="4"/>
      <c r="K944" s="1" t="s">
        <v>87</v>
      </c>
    </row>
    <row r="945" spans="1:11">
      <c r="A945" s="1" t="s">
        <v>425</v>
      </c>
      <c r="B945" s="7">
        <v>45776</v>
      </c>
      <c r="C945" s="1" t="s">
        <v>12</v>
      </c>
      <c r="D945" s="1">
        <v>2124307</v>
      </c>
      <c r="E945" s="4">
        <v>53179.83</v>
      </c>
      <c r="F945" s="4">
        <f t="shared" si="19"/>
        <v>10104.1677</v>
      </c>
      <c r="G945" s="4">
        <f t="shared" si="20"/>
        <v>63283.9977</v>
      </c>
      <c r="H945" s="1">
        <f t="shared" si="21"/>
        <v>4</v>
      </c>
      <c r="I945" s="1">
        <f t="shared" si="22"/>
        <v>2025</v>
      </c>
      <c r="J945" s="4"/>
      <c r="K945" s="1" t="s">
        <v>87</v>
      </c>
    </row>
    <row r="946" spans="1:11">
      <c r="A946" s="1" t="s">
        <v>426</v>
      </c>
      <c r="B946" s="7">
        <v>45776</v>
      </c>
      <c r="C946" s="1" t="s">
        <v>12</v>
      </c>
      <c r="D946" s="1">
        <v>657</v>
      </c>
      <c r="E946" s="4">
        <v>50411.76</v>
      </c>
      <c r="F946" s="4">
        <f t="shared" si="19"/>
        <v>9578.2344000000012</v>
      </c>
      <c r="G946" s="4">
        <f t="shared" si="20"/>
        <v>59989.994400000003</v>
      </c>
      <c r="H946" s="1">
        <f t="shared" si="21"/>
        <v>4</v>
      </c>
      <c r="I946" s="1">
        <f t="shared" si="22"/>
        <v>2025</v>
      </c>
      <c r="J946" s="4"/>
      <c r="K946" s="1" t="s">
        <v>87</v>
      </c>
    </row>
    <row r="947" spans="1:11">
      <c r="A947" s="1" t="s">
        <v>291</v>
      </c>
      <c r="B947" s="7">
        <v>45776</v>
      </c>
      <c r="C947" s="1" t="s">
        <v>12</v>
      </c>
      <c r="D947" s="1">
        <v>12168</v>
      </c>
      <c r="E947" s="4">
        <v>14285.71</v>
      </c>
      <c r="F947" s="4">
        <f t="shared" si="19"/>
        <v>2714.2848999999997</v>
      </c>
      <c r="G947" s="4">
        <f t="shared" si="20"/>
        <v>16999.994899999998</v>
      </c>
      <c r="H947" s="1">
        <f t="shared" si="21"/>
        <v>4</v>
      </c>
      <c r="I947" s="1">
        <f t="shared" si="22"/>
        <v>2025</v>
      </c>
      <c r="J947" s="4"/>
      <c r="K947" s="1" t="s">
        <v>87</v>
      </c>
    </row>
    <row r="948" spans="1:11">
      <c r="A948" s="1" t="s">
        <v>349</v>
      </c>
      <c r="B948" s="7">
        <v>45777</v>
      </c>
      <c r="C948" s="1" t="s">
        <v>12</v>
      </c>
      <c r="D948" s="1">
        <v>8150243</v>
      </c>
      <c r="E948" s="4">
        <v>16793.28</v>
      </c>
      <c r="F948" s="4">
        <f t="shared" si="19"/>
        <v>3190.7231999999999</v>
      </c>
      <c r="G948" s="4">
        <f t="shared" si="20"/>
        <v>19984.003199999999</v>
      </c>
      <c r="H948" s="1">
        <f t="shared" si="21"/>
        <v>4</v>
      </c>
      <c r="I948" s="1">
        <f t="shared" si="22"/>
        <v>2025</v>
      </c>
      <c r="J948" s="4"/>
      <c r="K948" s="1" t="s">
        <v>87</v>
      </c>
    </row>
    <row r="949" spans="1:11">
      <c r="A949" s="1" t="s">
        <v>349</v>
      </c>
      <c r="B949" s="7">
        <v>45777</v>
      </c>
      <c r="C949" s="1" t="s">
        <v>12</v>
      </c>
      <c r="D949" s="1">
        <v>8150245</v>
      </c>
      <c r="E949" s="4">
        <v>10038.66</v>
      </c>
      <c r="F949" s="4">
        <f t="shared" si="19"/>
        <v>1907.3453999999999</v>
      </c>
      <c r="G949" s="4">
        <f t="shared" si="20"/>
        <v>11946.0054</v>
      </c>
      <c r="H949" s="1">
        <f t="shared" si="21"/>
        <v>4</v>
      </c>
      <c r="I949" s="1">
        <f t="shared" si="22"/>
        <v>2025</v>
      </c>
      <c r="J949" s="4"/>
      <c r="K949" s="1" t="s">
        <v>87</v>
      </c>
    </row>
    <row r="950" spans="1:11">
      <c r="A950" s="1" t="s">
        <v>349</v>
      </c>
      <c r="B950" s="7">
        <v>45777</v>
      </c>
      <c r="C950" s="1" t="s">
        <v>12</v>
      </c>
      <c r="D950" s="1">
        <v>8150244</v>
      </c>
      <c r="E950" s="4">
        <v>5201.68</v>
      </c>
      <c r="F950" s="4">
        <f t="shared" si="19"/>
        <v>988.31920000000002</v>
      </c>
      <c r="G950" s="4">
        <f t="shared" si="20"/>
        <v>6189.9992000000002</v>
      </c>
      <c r="H950" s="1">
        <f t="shared" si="21"/>
        <v>4</v>
      </c>
      <c r="I950" s="1">
        <f t="shared" si="22"/>
        <v>2025</v>
      </c>
      <c r="J950" s="4"/>
      <c r="K950" s="1" t="s">
        <v>87</v>
      </c>
    </row>
    <row r="951" spans="1:11">
      <c r="A951" s="1" t="s">
        <v>349</v>
      </c>
      <c r="B951" s="7">
        <v>45778</v>
      </c>
      <c r="C951" s="1" t="s">
        <v>12</v>
      </c>
      <c r="D951" s="1">
        <v>8482500</v>
      </c>
      <c r="E951" s="4">
        <v>10977.31</v>
      </c>
      <c r="F951" s="4">
        <f t="shared" si="19"/>
        <v>2085.6889000000001</v>
      </c>
      <c r="G951" s="4">
        <f t="shared" si="20"/>
        <v>13062.998899999999</v>
      </c>
      <c r="H951" s="1">
        <f t="shared" si="21"/>
        <v>5</v>
      </c>
      <c r="I951" s="1">
        <f t="shared" si="22"/>
        <v>2025</v>
      </c>
      <c r="J951" s="4"/>
      <c r="K951" s="1" t="s">
        <v>87</v>
      </c>
    </row>
    <row r="952" spans="1:11">
      <c r="A952" s="1" t="s">
        <v>373</v>
      </c>
      <c r="B952" s="7">
        <v>45782</v>
      </c>
      <c r="C952" s="1" t="s">
        <v>12</v>
      </c>
      <c r="D952" s="1">
        <v>1249</v>
      </c>
      <c r="E952" s="4">
        <v>5798.32</v>
      </c>
      <c r="F952" s="4">
        <f t="shared" si="19"/>
        <v>1101.6807999999999</v>
      </c>
      <c r="G952" s="4">
        <f t="shared" si="20"/>
        <v>6900.0007999999998</v>
      </c>
      <c r="H952" s="1">
        <f t="shared" si="21"/>
        <v>5</v>
      </c>
      <c r="I952" s="1">
        <f t="shared" si="22"/>
        <v>2025</v>
      </c>
      <c r="J952" s="4"/>
      <c r="K952" s="1" t="s">
        <v>87</v>
      </c>
    </row>
    <row r="953" spans="1:11">
      <c r="A953" s="1" t="s">
        <v>291</v>
      </c>
      <c r="B953" s="7">
        <v>45783</v>
      </c>
      <c r="C953" s="1" t="s">
        <v>12</v>
      </c>
      <c r="D953" s="1">
        <v>12217</v>
      </c>
      <c r="E953" s="4">
        <v>9243.7000000000007</v>
      </c>
      <c r="F953" s="4">
        <f t="shared" si="19"/>
        <v>1756.3030000000001</v>
      </c>
      <c r="G953" s="4">
        <f t="shared" si="20"/>
        <v>11000.003000000001</v>
      </c>
      <c r="H953" s="1">
        <f t="shared" si="21"/>
        <v>5</v>
      </c>
      <c r="I953" s="1">
        <f t="shared" si="22"/>
        <v>2025</v>
      </c>
      <c r="J953" s="4"/>
      <c r="K953" s="1" t="s">
        <v>87</v>
      </c>
    </row>
    <row r="954" spans="1:11">
      <c r="A954" s="1" t="s">
        <v>291</v>
      </c>
      <c r="B954" s="7">
        <v>45783</v>
      </c>
      <c r="C954" s="1" t="s">
        <v>12</v>
      </c>
      <c r="D954" s="1">
        <v>12222</v>
      </c>
      <c r="E954" s="4">
        <v>19747.900000000001</v>
      </c>
      <c r="F954" s="4">
        <f t="shared" si="19"/>
        <v>3752.1010000000001</v>
      </c>
      <c r="G954" s="4">
        <f t="shared" si="20"/>
        <v>23500.001</v>
      </c>
      <c r="H954" s="1">
        <f t="shared" si="21"/>
        <v>5</v>
      </c>
      <c r="I954" s="1">
        <f t="shared" si="22"/>
        <v>2025</v>
      </c>
      <c r="J954" s="4"/>
      <c r="K954" s="1" t="s">
        <v>87</v>
      </c>
    </row>
    <row r="955" spans="1:11">
      <c r="A955" s="1" t="s">
        <v>203</v>
      </c>
      <c r="B955" s="7">
        <v>45783</v>
      </c>
      <c r="C955" s="1" t="s">
        <v>12</v>
      </c>
      <c r="D955" s="1">
        <v>43556338</v>
      </c>
      <c r="E955" s="4">
        <v>26058.82</v>
      </c>
      <c r="F955" s="4">
        <f t="shared" si="19"/>
        <v>4951.1758</v>
      </c>
      <c r="G955" s="4">
        <f t="shared" si="20"/>
        <v>31009.995800000001</v>
      </c>
      <c r="H955" s="1">
        <f t="shared" si="21"/>
        <v>5</v>
      </c>
      <c r="I955" s="1">
        <f t="shared" si="22"/>
        <v>2025</v>
      </c>
      <c r="J955" s="4"/>
      <c r="K955" s="1" t="s">
        <v>87</v>
      </c>
    </row>
    <row r="956" spans="1:11">
      <c r="A956" s="1" t="s">
        <v>422</v>
      </c>
      <c r="B956" s="7">
        <v>45784</v>
      </c>
      <c r="C956" s="1" t="s">
        <v>12</v>
      </c>
      <c r="D956" s="1">
        <v>5440</v>
      </c>
      <c r="E956" s="4">
        <v>20766.39</v>
      </c>
      <c r="F956" s="4">
        <f t="shared" si="19"/>
        <v>3945.6140999999998</v>
      </c>
      <c r="G956" s="4">
        <f t="shared" si="20"/>
        <v>24712.004099999998</v>
      </c>
      <c r="H956" s="1">
        <f t="shared" si="21"/>
        <v>5</v>
      </c>
      <c r="I956" s="1">
        <f t="shared" si="22"/>
        <v>2025</v>
      </c>
      <c r="J956" s="4"/>
      <c r="K956" s="1" t="s">
        <v>87</v>
      </c>
    </row>
    <row r="957" spans="1:11">
      <c r="A957" s="1" t="s">
        <v>202</v>
      </c>
      <c r="B957" s="7">
        <v>45785</v>
      </c>
      <c r="C957" s="1" t="s">
        <v>12</v>
      </c>
      <c r="D957" s="1">
        <v>2414998</v>
      </c>
      <c r="E957" s="4">
        <v>6347.9</v>
      </c>
      <c r="F957" s="4">
        <f t="shared" si="19"/>
        <v>1206.1009999999999</v>
      </c>
      <c r="G957" s="4">
        <f t="shared" si="20"/>
        <v>7554.0009999999993</v>
      </c>
      <c r="H957" s="1">
        <f t="shared" si="21"/>
        <v>5</v>
      </c>
      <c r="I957" s="1">
        <f t="shared" si="22"/>
        <v>2025</v>
      </c>
      <c r="J957" s="4"/>
      <c r="K957" s="1" t="s">
        <v>87</v>
      </c>
    </row>
    <row r="958" spans="1:11">
      <c r="A958" s="1" t="s">
        <v>291</v>
      </c>
      <c r="B958" s="7">
        <v>45785</v>
      </c>
      <c r="C958" s="1" t="s">
        <v>12</v>
      </c>
      <c r="D958" s="1">
        <v>12245</v>
      </c>
      <c r="E958" s="4">
        <v>4705.88</v>
      </c>
      <c r="F958" s="4">
        <f t="shared" si="19"/>
        <v>894.11720000000003</v>
      </c>
      <c r="G958" s="4">
        <f t="shared" si="20"/>
        <v>5599.9971999999998</v>
      </c>
      <c r="H958" s="1">
        <f t="shared" si="21"/>
        <v>5</v>
      </c>
      <c r="I958" s="1">
        <f t="shared" si="22"/>
        <v>2025</v>
      </c>
      <c r="J958" s="4"/>
      <c r="K958" s="1" t="s">
        <v>87</v>
      </c>
    </row>
    <row r="959" spans="1:11">
      <c r="A959" s="1" t="s">
        <v>291</v>
      </c>
      <c r="B959" s="7">
        <v>45785</v>
      </c>
      <c r="C959" s="1" t="s">
        <v>12</v>
      </c>
      <c r="D959" s="1">
        <v>12249</v>
      </c>
      <c r="E959" s="4">
        <v>5294.12</v>
      </c>
      <c r="F959" s="4">
        <f t="shared" si="19"/>
        <v>1005.8828</v>
      </c>
      <c r="G959" s="4">
        <f t="shared" si="20"/>
        <v>6300.0028000000002</v>
      </c>
      <c r="H959" s="1">
        <f t="shared" si="21"/>
        <v>5</v>
      </c>
      <c r="I959" s="1">
        <f t="shared" si="22"/>
        <v>2025</v>
      </c>
      <c r="J959" s="4"/>
      <c r="K959" s="1" t="s">
        <v>87</v>
      </c>
    </row>
    <row r="960" spans="1:11">
      <c r="A960" s="1" t="s">
        <v>236</v>
      </c>
      <c r="B960" s="7">
        <v>45785</v>
      </c>
      <c r="C960" s="1" t="s">
        <v>12</v>
      </c>
      <c r="D960" s="1">
        <v>47951</v>
      </c>
      <c r="E960" s="4">
        <v>1345.38</v>
      </c>
      <c r="F960" s="4">
        <f t="shared" si="19"/>
        <v>255.62220000000002</v>
      </c>
      <c r="G960" s="4">
        <f t="shared" si="20"/>
        <v>1601.0022000000001</v>
      </c>
      <c r="H960" s="1">
        <f t="shared" si="21"/>
        <v>5</v>
      </c>
      <c r="I960" s="1">
        <f t="shared" si="22"/>
        <v>2025</v>
      </c>
      <c r="J960" s="4"/>
      <c r="K960" s="1" t="s">
        <v>87</v>
      </c>
    </row>
    <row r="961" spans="1:11">
      <c r="A961" s="1" t="s">
        <v>291</v>
      </c>
      <c r="B961" s="7">
        <v>45787</v>
      </c>
      <c r="C961" s="1" t="s">
        <v>12</v>
      </c>
      <c r="D961" s="1">
        <v>12283</v>
      </c>
      <c r="E961" s="4">
        <v>12605.04</v>
      </c>
      <c r="F961" s="4">
        <f t="shared" si="19"/>
        <v>2394.9576000000002</v>
      </c>
      <c r="G961" s="4">
        <f t="shared" si="20"/>
        <v>14999.997600000001</v>
      </c>
      <c r="H961" s="1">
        <f t="shared" si="21"/>
        <v>5</v>
      </c>
      <c r="I961" s="1">
        <f t="shared" si="22"/>
        <v>2025</v>
      </c>
      <c r="J961" s="4"/>
      <c r="K961" s="1" t="s">
        <v>87</v>
      </c>
    </row>
    <row r="962" spans="1:11">
      <c r="A962" s="1" t="s">
        <v>412</v>
      </c>
      <c r="B962" s="7">
        <v>45787</v>
      </c>
      <c r="C962" s="1" t="s">
        <v>12</v>
      </c>
      <c r="D962" s="1">
        <v>69886</v>
      </c>
      <c r="E962" s="4">
        <v>5042.0200000000004</v>
      </c>
      <c r="F962" s="4">
        <f t="shared" si="19"/>
        <v>957.98380000000009</v>
      </c>
      <c r="G962" s="4">
        <f t="shared" si="20"/>
        <v>6000.0038000000004</v>
      </c>
      <c r="H962" s="1">
        <f t="shared" si="21"/>
        <v>5</v>
      </c>
      <c r="I962" s="1">
        <f t="shared" si="22"/>
        <v>2025</v>
      </c>
      <c r="J962" s="4"/>
      <c r="K962" s="1" t="s">
        <v>87</v>
      </c>
    </row>
    <row r="963" spans="1:11">
      <c r="A963" s="1" t="s">
        <v>291</v>
      </c>
      <c r="B963" s="7">
        <v>45789</v>
      </c>
      <c r="C963" s="1" t="s">
        <v>12</v>
      </c>
      <c r="D963" s="1">
        <v>12297</v>
      </c>
      <c r="E963" s="4">
        <v>42016.81</v>
      </c>
      <c r="F963" s="4">
        <f t="shared" si="19"/>
        <v>7983.1938999999993</v>
      </c>
      <c r="G963" s="4">
        <f t="shared" si="20"/>
        <v>50000.003899999996</v>
      </c>
      <c r="H963" s="1">
        <f t="shared" si="21"/>
        <v>5</v>
      </c>
      <c r="I963" s="1">
        <f t="shared" si="22"/>
        <v>2025</v>
      </c>
      <c r="J963" s="4"/>
      <c r="K963" s="1" t="s">
        <v>87</v>
      </c>
    </row>
    <row r="964" spans="1:11">
      <c r="A964" s="1" t="s">
        <v>291</v>
      </c>
      <c r="B964" s="7">
        <v>45791</v>
      </c>
      <c r="C964" s="1" t="s">
        <v>12</v>
      </c>
      <c r="D964" s="1">
        <v>12324</v>
      </c>
      <c r="E964" s="4">
        <v>9159.66</v>
      </c>
      <c r="F964" s="4">
        <f t="shared" si="19"/>
        <v>1740.3353999999999</v>
      </c>
      <c r="G964" s="4">
        <f t="shared" si="20"/>
        <v>10899.9954</v>
      </c>
      <c r="H964" s="1">
        <f t="shared" si="21"/>
        <v>5</v>
      </c>
      <c r="I964" s="1">
        <f t="shared" si="22"/>
        <v>2025</v>
      </c>
      <c r="J964" s="4"/>
      <c r="K964" s="1" t="s">
        <v>87</v>
      </c>
    </row>
    <row r="965" spans="1:11">
      <c r="A965" s="1" t="s">
        <v>379</v>
      </c>
      <c r="B965" s="7">
        <v>45792</v>
      </c>
      <c r="C965" s="1" t="s">
        <v>12</v>
      </c>
      <c r="D965" s="1">
        <v>105667</v>
      </c>
      <c r="E965" s="4">
        <v>24374.79</v>
      </c>
      <c r="F965" s="4">
        <f t="shared" si="19"/>
        <v>4631.2101000000002</v>
      </c>
      <c r="G965" s="4">
        <f t="shared" si="20"/>
        <v>29006.000100000001</v>
      </c>
      <c r="H965" s="1">
        <f t="shared" si="21"/>
        <v>5</v>
      </c>
      <c r="I965" s="1">
        <f t="shared" si="22"/>
        <v>2025</v>
      </c>
      <c r="J965" s="4"/>
      <c r="K965" s="1" t="s">
        <v>87</v>
      </c>
    </row>
    <row r="966" spans="1:11">
      <c r="A966" s="1" t="s">
        <v>427</v>
      </c>
      <c r="B966" s="7">
        <v>45794</v>
      </c>
      <c r="C966" s="1" t="s">
        <v>12</v>
      </c>
      <c r="D966" s="1">
        <v>39292</v>
      </c>
      <c r="E966" s="4">
        <v>15109.24</v>
      </c>
      <c r="F966" s="4">
        <f t="shared" si="19"/>
        <v>2870.7556</v>
      </c>
      <c r="G966" s="4">
        <f t="shared" si="20"/>
        <v>17979.995599999998</v>
      </c>
      <c r="H966" s="1">
        <f t="shared" si="21"/>
        <v>5</v>
      </c>
      <c r="I966" s="1">
        <f t="shared" si="22"/>
        <v>2025</v>
      </c>
      <c r="J966" s="4"/>
      <c r="K966" s="1" t="s">
        <v>87</v>
      </c>
    </row>
    <row r="967" spans="1:11">
      <c r="A967" s="1" t="s">
        <v>373</v>
      </c>
      <c r="B967" s="7">
        <v>45796</v>
      </c>
      <c r="C967" s="1" t="s">
        <v>12</v>
      </c>
      <c r="D967" s="1">
        <v>1273</v>
      </c>
      <c r="E967" s="4">
        <v>3782.35</v>
      </c>
      <c r="F967" s="4">
        <f t="shared" si="19"/>
        <v>718.64649999999995</v>
      </c>
      <c r="G967" s="4">
        <f t="shared" si="20"/>
        <v>4500.9965000000002</v>
      </c>
      <c r="H967" s="1">
        <f t="shared" si="21"/>
        <v>5</v>
      </c>
      <c r="I967" s="1">
        <f t="shared" si="22"/>
        <v>2025</v>
      </c>
      <c r="J967" s="4"/>
      <c r="K967" s="1" t="s">
        <v>87</v>
      </c>
    </row>
    <row r="968" spans="1:11">
      <c r="A968" s="1" t="s">
        <v>428</v>
      </c>
      <c r="B968" s="7">
        <v>45796</v>
      </c>
      <c r="C968" s="1" t="s">
        <v>12</v>
      </c>
      <c r="D968" s="1">
        <v>772540</v>
      </c>
      <c r="E968" s="4">
        <v>189506.72</v>
      </c>
      <c r="F968" s="4">
        <f t="shared" si="19"/>
        <v>36006.2768</v>
      </c>
      <c r="G968" s="4">
        <f t="shared" si="20"/>
        <v>225512.99679999999</v>
      </c>
      <c r="H968" s="1">
        <f t="shared" si="21"/>
        <v>5</v>
      </c>
      <c r="I968" s="1">
        <f t="shared" si="22"/>
        <v>2025</v>
      </c>
      <c r="J968" s="4"/>
      <c r="K968" s="1" t="s">
        <v>87</v>
      </c>
    </row>
    <row r="969" spans="1:11">
      <c r="A969" s="1" t="s">
        <v>291</v>
      </c>
      <c r="B969" s="7">
        <v>45797</v>
      </c>
      <c r="C969" s="1" t="s">
        <v>12</v>
      </c>
      <c r="D969" s="1">
        <v>12388</v>
      </c>
      <c r="E969" s="4">
        <v>5210.08</v>
      </c>
      <c r="F969" s="4">
        <f t="shared" si="19"/>
        <v>989.91520000000003</v>
      </c>
      <c r="G969" s="4">
        <f t="shared" si="20"/>
        <v>6199.9952000000003</v>
      </c>
      <c r="H969" s="1">
        <f t="shared" si="21"/>
        <v>5</v>
      </c>
      <c r="I969" s="1">
        <f t="shared" si="22"/>
        <v>2025</v>
      </c>
      <c r="J969" s="4"/>
      <c r="K969" s="1" t="s">
        <v>87</v>
      </c>
    </row>
    <row r="970" spans="1:11">
      <c r="A970" s="1" t="s">
        <v>28</v>
      </c>
      <c r="B970" s="7">
        <v>45799</v>
      </c>
      <c r="C970" s="1" t="s">
        <v>12</v>
      </c>
      <c r="D970" s="1">
        <v>1090979</v>
      </c>
      <c r="E970" s="4">
        <v>4487.3900000000003</v>
      </c>
      <c r="F970" s="4">
        <f t="shared" si="19"/>
        <v>852.60410000000002</v>
      </c>
      <c r="G970" s="4">
        <f t="shared" si="20"/>
        <v>5339.9940999999999</v>
      </c>
      <c r="H970" s="1">
        <f t="shared" si="21"/>
        <v>5</v>
      </c>
      <c r="I970" s="1">
        <f t="shared" si="22"/>
        <v>2025</v>
      </c>
      <c r="J970" s="4"/>
      <c r="K970" s="1" t="s">
        <v>87</v>
      </c>
    </row>
    <row r="971" spans="1:11">
      <c r="A971" s="1" t="s">
        <v>291</v>
      </c>
      <c r="B971" s="7">
        <v>45799</v>
      </c>
      <c r="C971" s="1" t="s">
        <v>12</v>
      </c>
      <c r="D971" s="1">
        <v>12401</v>
      </c>
      <c r="E971" s="4">
        <v>14705.88</v>
      </c>
      <c r="F971" s="4">
        <f t="shared" si="19"/>
        <v>2794.1171999999997</v>
      </c>
      <c r="G971" s="4">
        <f t="shared" si="20"/>
        <v>17499.997199999998</v>
      </c>
      <c r="H971" s="1">
        <f t="shared" si="21"/>
        <v>5</v>
      </c>
      <c r="I971" s="1">
        <f t="shared" si="22"/>
        <v>2025</v>
      </c>
      <c r="J971" s="4"/>
      <c r="K971" s="1" t="s">
        <v>87</v>
      </c>
    </row>
    <row r="972" spans="1:11">
      <c r="A972" s="1" t="s">
        <v>373</v>
      </c>
      <c r="B972" s="7">
        <v>45803</v>
      </c>
      <c r="C972" s="1" t="s">
        <v>12</v>
      </c>
      <c r="D972" s="1">
        <v>1292</v>
      </c>
      <c r="E972" s="4">
        <v>10504.2</v>
      </c>
      <c r="F972" s="4">
        <f t="shared" si="19"/>
        <v>1995.7980000000002</v>
      </c>
      <c r="G972" s="4">
        <f t="shared" si="20"/>
        <v>12499.998000000001</v>
      </c>
      <c r="H972" s="1">
        <f t="shared" si="21"/>
        <v>5</v>
      </c>
      <c r="I972" s="1">
        <f t="shared" si="22"/>
        <v>2025</v>
      </c>
      <c r="J972" s="4"/>
      <c r="K972" s="1" t="s">
        <v>87</v>
      </c>
    </row>
    <row r="973" spans="1:11">
      <c r="A973" s="1" t="s">
        <v>103</v>
      </c>
      <c r="B973" s="7">
        <v>45803</v>
      </c>
      <c r="C973" s="1" t="s">
        <v>12</v>
      </c>
      <c r="D973" s="1">
        <v>382936</v>
      </c>
      <c r="E973" s="4">
        <v>40824.370000000003</v>
      </c>
      <c r="F973" s="4">
        <f t="shared" si="19"/>
        <v>7756.6303000000007</v>
      </c>
      <c r="G973" s="4">
        <f t="shared" si="20"/>
        <v>48581.0003</v>
      </c>
      <c r="H973" s="1">
        <f t="shared" si="21"/>
        <v>5</v>
      </c>
      <c r="I973" s="1">
        <f t="shared" si="22"/>
        <v>2025</v>
      </c>
      <c r="J973" s="4"/>
      <c r="K973" s="1" t="s">
        <v>87</v>
      </c>
    </row>
    <row r="974" spans="1:11">
      <c r="A974" s="1" t="s">
        <v>103</v>
      </c>
      <c r="B974" s="7">
        <v>45803</v>
      </c>
      <c r="C974" s="1" t="s">
        <v>12</v>
      </c>
      <c r="D974" s="1">
        <v>382935</v>
      </c>
      <c r="E974" s="4">
        <v>180426.05</v>
      </c>
      <c r="F974" s="4">
        <f t="shared" si="19"/>
        <v>34280.949499999995</v>
      </c>
      <c r="G974" s="4">
        <f t="shared" si="20"/>
        <v>214706.99949999998</v>
      </c>
      <c r="H974" s="1">
        <f t="shared" si="21"/>
        <v>5</v>
      </c>
      <c r="I974" s="1">
        <f t="shared" si="22"/>
        <v>2025</v>
      </c>
      <c r="J974" s="4"/>
      <c r="K974" s="1" t="s">
        <v>87</v>
      </c>
    </row>
    <row r="975" spans="1:11">
      <c r="A975" s="1" t="s">
        <v>14</v>
      </c>
      <c r="B975" s="7">
        <v>45804</v>
      </c>
      <c r="C975" s="1" t="s">
        <v>12</v>
      </c>
      <c r="D975" s="1">
        <v>56078</v>
      </c>
      <c r="E975" s="4">
        <v>329600</v>
      </c>
      <c r="F975" s="4">
        <f t="shared" si="19"/>
        <v>62624</v>
      </c>
      <c r="G975" s="4">
        <f t="shared" si="20"/>
        <v>392224</v>
      </c>
      <c r="H975" s="1">
        <f t="shared" si="21"/>
        <v>5</v>
      </c>
      <c r="I975" s="1">
        <f t="shared" si="22"/>
        <v>2025</v>
      </c>
      <c r="J975" s="4"/>
      <c r="K975" s="1" t="s">
        <v>87</v>
      </c>
    </row>
    <row r="976" spans="1:11">
      <c r="A976" s="1" t="s">
        <v>373</v>
      </c>
      <c r="B976" s="7">
        <v>45804</v>
      </c>
      <c r="C976" s="1" t="s">
        <v>12</v>
      </c>
      <c r="D976" s="1">
        <v>1295</v>
      </c>
      <c r="E976" s="4">
        <v>8319.33</v>
      </c>
      <c r="F976" s="4">
        <f t="shared" si="19"/>
        <v>1580.6727000000001</v>
      </c>
      <c r="G976" s="4">
        <f t="shared" si="20"/>
        <v>9900.0027000000009</v>
      </c>
      <c r="H976" s="1">
        <f t="shared" si="21"/>
        <v>5</v>
      </c>
      <c r="I976" s="1">
        <f t="shared" si="22"/>
        <v>2025</v>
      </c>
      <c r="J976" s="4"/>
      <c r="K976" s="1" t="s">
        <v>87</v>
      </c>
    </row>
    <row r="977" spans="1:11">
      <c r="A977" s="1" t="s">
        <v>360</v>
      </c>
      <c r="B977" s="7">
        <v>45804</v>
      </c>
      <c r="C977" s="1" t="s">
        <v>12</v>
      </c>
      <c r="D977" s="1">
        <v>97429</v>
      </c>
      <c r="E977" s="4">
        <v>145595.79999999999</v>
      </c>
      <c r="F977" s="4">
        <f t="shared" si="19"/>
        <v>27663.201999999997</v>
      </c>
      <c r="G977" s="4">
        <f t="shared" si="20"/>
        <v>173259.00199999998</v>
      </c>
      <c r="H977" s="1">
        <f t="shared" si="21"/>
        <v>5</v>
      </c>
      <c r="I977" s="1">
        <f t="shared" si="22"/>
        <v>2025</v>
      </c>
      <c r="J977" s="4"/>
      <c r="K977" s="1" t="s">
        <v>87</v>
      </c>
    </row>
    <row r="978" spans="1:11">
      <c r="A978" s="1" t="s">
        <v>166</v>
      </c>
      <c r="B978" s="7">
        <v>45805</v>
      </c>
      <c r="C978" s="1" t="s">
        <v>12</v>
      </c>
      <c r="D978" s="1">
        <v>96771</v>
      </c>
      <c r="E978" s="4">
        <v>13169.75</v>
      </c>
      <c r="F978" s="4">
        <f t="shared" si="19"/>
        <v>2502.2525000000001</v>
      </c>
      <c r="G978" s="4">
        <f t="shared" si="20"/>
        <v>15672.002500000001</v>
      </c>
      <c r="H978" s="1">
        <f t="shared" si="21"/>
        <v>5</v>
      </c>
      <c r="I978" s="1">
        <f t="shared" si="22"/>
        <v>2025</v>
      </c>
      <c r="J978" s="4"/>
      <c r="K978" s="1" t="s">
        <v>87</v>
      </c>
    </row>
    <row r="979" spans="1:11">
      <c r="A979" s="1" t="s">
        <v>28</v>
      </c>
      <c r="B979" s="7">
        <v>45805</v>
      </c>
      <c r="C979" s="1" t="s">
        <v>12</v>
      </c>
      <c r="D979" s="1">
        <v>1091043</v>
      </c>
      <c r="E979" s="4">
        <v>14352.94</v>
      </c>
      <c r="F979" s="4">
        <f t="shared" si="19"/>
        <v>2727.0586000000003</v>
      </c>
      <c r="G979" s="4">
        <f t="shared" si="20"/>
        <v>17079.998599999999</v>
      </c>
      <c r="H979" s="1">
        <f t="shared" si="21"/>
        <v>5</v>
      </c>
      <c r="I979" s="1">
        <f t="shared" si="22"/>
        <v>2025</v>
      </c>
      <c r="J979" s="4"/>
      <c r="K979" s="1" t="s">
        <v>87</v>
      </c>
    </row>
    <row r="980" spans="1:11">
      <c r="A980" s="1" t="s">
        <v>291</v>
      </c>
      <c r="B980" s="7">
        <v>45805</v>
      </c>
      <c r="C980" s="1" t="s">
        <v>12</v>
      </c>
      <c r="D980" s="1">
        <v>12467</v>
      </c>
      <c r="E980" s="4">
        <v>11092.44</v>
      </c>
      <c r="F980" s="4">
        <f t="shared" si="19"/>
        <v>2107.5636</v>
      </c>
      <c r="G980" s="4">
        <f t="shared" si="20"/>
        <v>13200.0036</v>
      </c>
      <c r="H980" s="1">
        <f t="shared" si="21"/>
        <v>5</v>
      </c>
      <c r="I980" s="1">
        <f t="shared" si="22"/>
        <v>2025</v>
      </c>
      <c r="J980" s="4"/>
      <c r="K980" s="1" t="s">
        <v>87</v>
      </c>
    </row>
    <row r="981" spans="1:11">
      <c r="A981" s="1" t="s">
        <v>389</v>
      </c>
      <c r="B981" s="7">
        <v>45805</v>
      </c>
      <c r="C981" s="1" t="s">
        <v>12</v>
      </c>
      <c r="D981" s="1">
        <v>577701</v>
      </c>
      <c r="E981" s="4">
        <v>366282.35</v>
      </c>
      <c r="F981" s="4">
        <f t="shared" si="19"/>
        <v>69593.646500000003</v>
      </c>
      <c r="G981" s="4">
        <f t="shared" si="20"/>
        <v>435875.99650000001</v>
      </c>
      <c r="H981" s="1">
        <f t="shared" si="21"/>
        <v>5</v>
      </c>
      <c r="I981" s="1">
        <f t="shared" si="22"/>
        <v>2025</v>
      </c>
      <c r="J981" s="4"/>
      <c r="K981" s="1" t="s">
        <v>87</v>
      </c>
    </row>
    <row r="982" spans="1:11">
      <c r="A982" s="1" t="s">
        <v>28</v>
      </c>
      <c r="B982" s="7">
        <v>45806</v>
      </c>
      <c r="C982" s="1" t="s">
        <v>12</v>
      </c>
      <c r="D982" s="1">
        <v>1091075</v>
      </c>
      <c r="E982" s="4">
        <v>4487.3900000000003</v>
      </c>
      <c r="F982" s="4">
        <f t="shared" si="19"/>
        <v>852.60410000000002</v>
      </c>
      <c r="G982" s="4">
        <f t="shared" si="20"/>
        <v>5339.9940999999999</v>
      </c>
      <c r="H982" s="1">
        <f t="shared" si="21"/>
        <v>5</v>
      </c>
      <c r="I982" s="1">
        <f t="shared" si="22"/>
        <v>2025</v>
      </c>
      <c r="J982" s="4"/>
      <c r="K982" s="1" t="s">
        <v>87</v>
      </c>
    </row>
    <row r="983" spans="1:11">
      <c r="A983" s="1" t="s">
        <v>373</v>
      </c>
      <c r="B983" s="7">
        <v>45806</v>
      </c>
      <c r="C983" s="1" t="s">
        <v>12</v>
      </c>
      <c r="D983" s="1">
        <v>1304</v>
      </c>
      <c r="E983" s="4">
        <v>2941.18</v>
      </c>
      <c r="F983" s="4">
        <f t="shared" si="19"/>
        <v>558.82420000000002</v>
      </c>
      <c r="G983" s="4">
        <f t="shared" si="20"/>
        <v>3500.0041999999999</v>
      </c>
      <c r="H983" s="1">
        <f t="shared" si="21"/>
        <v>5</v>
      </c>
      <c r="I983" s="1">
        <f t="shared" si="22"/>
        <v>2025</v>
      </c>
      <c r="J983" s="4"/>
      <c r="K983" s="1" t="s">
        <v>87</v>
      </c>
    </row>
    <row r="984" spans="1:11">
      <c r="A984" s="1" t="s">
        <v>429</v>
      </c>
      <c r="B984" s="7">
        <v>45807</v>
      </c>
      <c r="C984" s="1" t="s">
        <v>12</v>
      </c>
      <c r="D984" s="1">
        <v>2399683</v>
      </c>
      <c r="E984" s="4">
        <v>337716.8</v>
      </c>
      <c r="F984" s="4">
        <f t="shared" si="19"/>
        <v>64166.191999999995</v>
      </c>
      <c r="G984" s="4">
        <f t="shared" si="20"/>
        <v>401882.99199999997</v>
      </c>
      <c r="H984" s="1">
        <f t="shared" si="21"/>
        <v>5</v>
      </c>
      <c r="I984" s="1">
        <f t="shared" si="22"/>
        <v>2025</v>
      </c>
      <c r="J984" s="4"/>
      <c r="K984" s="1" t="s">
        <v>87</v>
      </c>
    </row>
    <row r="985" spans="1:11">
      <c r="A985" s="1" t="s">
        <v>373</v>
      </c>
      <c r="B985" s="7">
        <v>45807</v>
      </c>
      <c r="C985" s="1" t="s">
        <v>12</v>
      </c>
      <c r="D985" s="1">
        <v>1307</v>
      </c>
      <c r="E985" s="4">
        <v>60252</v>
      </c>
      <c r="F985" s="4">
        <f t="shared" si="19"/>
        <v>11447.880000000001</v>
      </c>
      <c r="G985" s="4">
        <f t="shared" si="20"/>
        <v>71699.88</v>
      </c>
      <c r="H985" s="1">
        <f t="shared" si="21"/>
        <v>5</v>
      </c>
      <c r="I985" s="1">
        <f t="shared" si="22"/>
        <v>2025</v>
      </c>
      <c r="J985" s="4"/>
      <c r="K985" s="1" t="s">
        <v>87</v>
      </c>
    </row>
    <row r="986" spans="1:11">
      <c r="A986" s="1" t="s">
        <v>349</v>
      </c>
      <c r="B986" s="7">
        <v>45809</v>
      </c>
      <c r="C986" s="1" t="s">
        <v>12</v>
      </c>
      <c r="D986" s="1">
        <v>8508088</v>
      </c>
      <c r="E986" s="4">
        <v>24957.98</v>
      </c>
      <c r="F986" s="4">
        <f t="shared" si="19"/>
        <v>4742.0162</v>
      </c>
      <c r="G986" s="4">
        <f t="shared" si="20"/>
        <v>29699.996200000001</v>
      </c>
      <c r="H986" s="1">
        <f t="shared" si="21"/>
        <v>6</v>
      </c>
      <c r="I986" s="1">
        <f t="shared" si="22"/>
        <v>2025</v>
      </c>
      <c r="J986" s="4"/>
      <c r="K986" s="1" t="s">
        <v>87</v>
      </c>
    </row>
    <row r="987" spans="1:11">
      <c r="A987" s="1" t="s">
        <v>429</v>
      </c>
      <c r="B987" s="7">
        <v>45810</v>
      </c>
      <c r="C987" s="1" t="s">
        <v>12</v>
      </c>
      <c r="D987" s="1">
        <v>2401631</v>
      </c>
      <c r="E987" s="4">
        <v>17159.66</v>
      </c>
      <c r="F987" s="4">
        <f t="shared" si="19"/>
        <v>3260.3353999999999</v>
      </c>
      <c r="G987" s="4">
        <f t="shared" si="20"/>
        <v>20419.9954</v>
      </c>
      <c r="H987" s="1">
        <f t="shared" si="21"/>
        <v>6</v>
      </c>
      <c r="I987" s="1">
        <f t="shared" si="22"/>
        <v>2025</v>
      </c>
      <c r="J987" s="4"/>
      <c r="K987" s="1" t="s">
        <v>87</v>
      </c>
    </row>
    <row r="988" spans="1:11">
      <c r="A988" s="1" t="s">
        <v>430</v>
      </c>
      <c r="B988" s="7">
        <v>45810</v>
      </c>
      <c r="C988" s="1" t="s">
        <v>12</v>
      </c>
      <c r="D988" s="1">
        <v>202</v>
      </c>
      <c r="E988" s="4">
        <v>41848.74</v>
      </c>
      <c r="F988" s="4">
        <f t="shared" si="19"/>
        <v>7951.2605999999996</v>
      </c>
      <c r="G988" s="4">
        <f t="shared" si="20"/>
        <v>49800.000599999999</v>
      </c>
      <c r="H988" s="1">
        <f t="shared" si="21"/>
        <v>6</v>
      </c>
      <c r="I988" s="1">
        <f t="shared" si="22"/>
        <v>2025</v>
      </c>
      <c r="J988" s="4"/>
      <c r="K988" s="1" t="s">
        <v>87</v>
      </c>
    </row>
    <row r="989" spans="1:11">
      <c r="A989" s="1" t="s">
        <v>368</v>
      </c>
      <c r="B989" s="7">
        <v>45810</v>
      </c>
      <c r="C989" s="1" t="s">
        <v>12</v>
      </c>
      <c r="D989" s="1">
        <v>73972</v>
      </c>
      <c r="E989" s="4">
        <v>113361.34</v>
      </c>
      <c r="F989" s="4">
        <f t="shared" si="19"/>
        <v>21538.654599999998</v>
      </c>
      <c r="G989" s="4">
        <f t="shared" si="20"/>
        <v>134899.99460000001</v>
      </c>
      <c r="H989" s="1">
        <f t="shared" si="21"/>
        <v>6</v>
      </c>
      <c r="I989" s="1">
        <f t="shared" si="22"/>
        <v>2025</v>
      </c>
      <c r="J989" s="4"/>
      <c r="K989" s="1" t="s">
        <v>87</v>
      </c>
    </row>
    <row r="990" spans="1:11">
      <c r="A990" s="1" t="s">
        <v>202</v>
      </c>
      <c r="B990" s="7">
        <v>45812</v>
      </c>
      <c r="C990" s="1" t="s">
        <v>12</v>
      </c>
      <c r="D990" s="1">
        <v>2474085</v>
      </c>
      <c r="E990" s="4">
        <v>1173.1099999999999</v>
      </c>
      <c r="F990" s="4">
        <f t="shared" si="19"/>
        <v>222.89089999999999</v>
      </c>
      <c r="G990" s="4">
        <f t="shared" si="20"/>
        <v>1396.0009</v>
      </c>
      <c r="H990" s="1">
        <f t="shared" si="21"/>
        <v>6</v>
      </c>
      <c r="I990" s="1">
        <f t="shared" si="22"/>
        <v>2025</v>
      </c>
      <c r="J990" s="4"/>
      <c r="K990" s="1" t="s">
        <v>87</v>
      </c>
    </row>
    <row r="991" spans="1:11">
      <c r="A991" s="1" t="s">
        <v>203</v>
      </c>
      <c r="B991" s="7">
        <v>45813</v>
      </c>
      <c r="C991" s="1" t="s">
        <v>12</v>
      </c>
      <c r="D991" s="1">
        <v>43839081</v>
      </c>
      <c r="E991" s="4">
        <v>26180.67</v>
      </c>
      <c r="F991" s="4">
        <f t="shared" si="19"/>
        <v>4974.3272999999999</v>
      </c>
      <c r="G991" s="4">
        <f t="shared" si="20"/>
        <v>31154.997299999999</v>
      </c>
      <c r="H991" s="1">
        <f t="shared" si="21"/>
        <v>6</v>
      </c>
      <c r="I991" s="1">
        <f t="shared" si="22"/>
        <v>2025</v>
      </c>
      <c r="J991" s="4"/>
      <c r="K991" s="1" t="s">
        <v>87</v>
      </c>
    </row>
    <row r="992" spans="1:11">
      <c r="A992" s="1" t="s">
        <v>373</v>
      </c>
      <c r="B992" s="7">
        <v>45813</v>
      </c>
      <c r="C992" s="1" t="s">
        <v>12</v>
      </c>
      <c r="D992" s="1">
        <v>1319</v>
      </c>
      <c r="E992" s="4">
        <v>9075.6299999999992</v>
      </c>
      <c r="F992" s="4">
        <f t="shared" si="19"/>
        <v>1724.3697</v>
      </c>
      <c r="G992" s="4">
        <f t="shared" si="20"/>
        <v>10799.999699999998</v>
      </c>
      <c r="H992" s="1">
        <f t="shared" si="21"/>
        <v>6</v>
      </c>
      <c r="I992" s="1">
        <f t="shared" si="22"/>
        <v>2025</v>
      </c>
      <c r="J992" s="4"/>
      <c r="K992" s="1" t="s">
        <v>87</v>
      </c>
    </row>
    <row r="993" spans="1:26">
      <c r="A993" s="1" t="s">
        <v>373</v>
      </c>
      <c r="B993" s="7">
        <v>45813</v>
      </c>
      <c r="C993" s="1" t="s">
        <v>12</v>
      </c>
      <c r="D993" s="1">
        <v>1324</v>
      </c>
      <c r="E993" s="4">
        <v>4957.9799999999996</v>
      </c>
      <c r="F993" s="4">
        <f t="shared" si="19"/>
        <v>942.01619999999991</v>
      </c>
      <c r="G993" s="4">
        <f t="shared" si="20"/>
        <v>5899.9961999999996</v>
      </c>
      <c r="H993" s="1">
        <f t="shared" si="21"/>
        <v>6</v>
      </c>
      <c r="I993" s="1">
        <f t="shared" si="22"/>
        <v>2025</v>
      </c>
      <c r="J993" s="4"/>
      <c r="K993" s="1" t="s">
        <v>87</v>
      </c>
    </row>
    <row r="994" spans="1:26">
      <c r="A994" s="1" t="s">
        <v>291</v>
      </c>
      <c r="B994" s="7">
        <v>45817</v>
      </c>
      <c r="C994" s="1" t="s">
        <v>12</v>
      </c>
      <c r="D994" s="1">
        <v>12636</v>
      </c>
      <c r="E994" s="4">
        <v>1092.44</v>
      </c>
      <c r="F994" s="4">
        <f t="shared" si="19"/>
        <v>207.56360000000001</v>
      </c>
      <c r="G994" s="4">
        <f t="shared" si="20"/>
        <v>1300.0036</v>
      </c>
      <c r="H994" s="1">
        <f t="shared" si="21"/>
        <v>6</v>
      </c>
      <c r="I994" s="1">
        <f t="shared" si="22"/>
        <v>2025</v>
      </c>
      <c r="J994" s="4"/>
      <c r="K994" s="1" t="s">
        <v>87</v>
      </c>
    </row>
    <row r="995" spans="1:26">
      <c r="A995" s="1" t="s">
        <v>360</v>
      </c>
      <c r="B995" s="7">
        <v>45817</v>
      </c>
      <c r="C995" s="1" t="s">
        <v>12</v>
      </c>
      <c r="D995" s="1">
        <v>98037</v>
      </c>
      <c r="E995" s="4">
        <v>50640.34</v>
      </c>
      <c r="F995" s="4">
        <f t="shared" si="19"/>
        <v>9621.6646000000001</v>
      </c>
      <c r="G995" s="4">
        <f t="shared" si="20"/>
        <v>60262.0046</v>
      </c>
      <c r="H995" s="1">
        <f t="shared" si="21"/>
        <v>6</v>
      </c>
      <c r="I995" s="1">
        <f t="shared" si="22"/>
        <v>2025</v>
      </c>
      <c r="J995" s="4"/>
      <c r="K995" s="1" t="s">
        <v>87</v>
      </c>
    </row>
    <row r="996" spans="1:26">
      <c r="A996" s="1" t="s">
        <v>401</v>
      </c>
      <c r="B996" s="7">
        <v>45818</v>
      </c>
      <c r="C996" s="1" t="s">
        <v>12</v>
      </c>
      <c r="D996" s="1">
        <v>20303</v>
      </c>
      <c r="E996" s="4">
        <v>292711.76</v>
      </c>
      <c r="F996" s="4">
        <f t="shared" si="19"/>
        <v>55615.234400000001</v>
      </c>
      <c r="G996" s="4">
        <f t="shared" si="20"/>
        <v>348326.99440000003</v>
      </c>
      <c r="H996" s="1">
        <f t="shared" si="21"/>
        <v>6</v>
      </c>
      <c r="I996" s="1">
        <f t="shared" si="22"/>
        <v>2025</v>
      </c>
      <c r="J996" s="4"/>
      <c r="K996" s="1" t="s">
        <v>87</v>
      </c>
    </row>
    <row r="997" spans="1:26">
      <c r="A997" s="1" t="s">
        <v>28</v>
      </c>
      <c r="B997" s="7">
        <v>45819</v>
      </c>
      <c r="C997" s="1" t="s">
        <v>12</v>
      </c>
      <c r="D997" s="1">
        <v>1103203</v>
      </c>
      <c r="E997" s="4">
        <v>3823.53</v>
      </c>
      <c r="F997" s="4">
        <f t="shared" si="19"/>
        <v>726.47070000000008</v>
      </c>
      <c r="G997" s="4">
        <f t="shared" si="20"/>
        <v>4550.0007000000005</v>
      </c>
      <c r="H997" s="1">
        <f t="shared" si="21"/>
        <v>6</v>
      </c>
      <c r="I997" s="1">
        <f t="shared" si="22"/>
        <v>2025</v>
      </c>
      <c r="J997" s="4"/>
      <c r="K997" s="1" t="s">
        <v>87</v>
      </c>
    </row>
    <row r="998" spans="1:26">
      <c r="A998" s="1" t="s">
        <v>431</v>
      </c>
      <c r="B998" s="7">
        <v>45822</v>
      </c>
      <c r="C998" s="1" t="s">
        <v>12</v>
      </c>
      <c r="D998" s="1">
        <v>6334</v>
      </c>
      <c r="E998" s="4">
        <v>26890.76</v>
      </c>
      <c r="F998" s="4">
        <f t="shared" si="19"/>
        <v>5109.2443999999996</v>
      </c>
      <c r="G998" s="4">
        <f t="shared" si="20"/>
        <v>32000.004399999998</v>
      </c>
      <c r="H998" s="1">
        <f t="shared" si="21"/>
        <v>6</v>
      </c>
      <c r="I998" s="1">
        <f t="shared" si="22"/>
        <v>2025</v>
      </c>
      <c r="J998" s="4"/>
      <c r="K998" s="1" t="s">
        <v>87</v>
      </c>
    </row>
    <row r="999" spans="1:26">
      <c r="A999" s="1" t="s">
        <v>349</v>
      </c>
      <c r="B999" s="7">
        <v>45823</v>
      </c>
      <c r="C999" s="1" t="s">
        <v>12</v>
      </c>
      <c r="D999" s="1">
        <v>8757794</v>
      </c>
      <c r="E999" s="4">
        <v>4963.87</v>
      </c>
      <c r="F999" s="4">
        <f t="shared" si="19"/>
        <v>943.13530000000003</v>
      </c>
      <c r="G999" s="4">
        <f t="shared" si="20"/>
        <v>5907.0052999999998</v>
      </c>
      <c r="H999" s="1">
        <f t="shared" si="21"/>
        <v>6</v>
      </c>
      <c r="I999" s="1">
        <f t="shared" si="22"/>
        <v>2025</v>
      </c>
      <c r="J999" s="4"/>
      <c r="K999" s="1" t="s">
        <v>87</v>
      </c>
    </row>
    <row r="1000" spans="1:26">
      <c r="A1000" s="1" t="s">
        <v>349</v>
      </c>
      <c r="B1000" s="7">
        <v>45823</v>
      </c>
      <c r="C1000" s="1" t="s">
        <v>12</v>
      </c>
      <c r="D1000" s="1">
        <v>8757793</v>
      </c>
      <c r="E1000" s="4">
        <v>9476.4699999999993</v>
      </c>
      <c r="F1000" s="4">
        <f t="shared" si="19"/>
        <v>1800.5292999999999</v>
      </c>
      <c r="G1000" s="4">
        <f t="shared" si="20"/>
        <v>11276.999299999999</v>
      </c>
      <c r="H1000" s="1">
        <f t="shared" si="21"/>
        <v>6</v>
      </c>
      <c r="I1000" s="1">
        <f t="shared" si="22"/>
        <v>2025</v>
      </c>
      <c r="J1000" s="4"/>
      <c r="K1000" s="1" t="s">
        <v>87</v>
      </c>
    </row>
    <row r="1001" spans="1:26">
      <c r="A1001" s="11" t="s">
        <v>389</v>
      </c>
      <c r="B1001" s="12">
        <v>45825</v>
      </c>
      <c r="C1001" s="11" t="s">
        <v>12</v>
      </c>
      <c r="D1001" s="11">
        <v>580974</v>
      </c>
      <c r="E1001" s="13">
        <f t="shared" ref="E1001:E1152" si="23">G1001/1.19</f>
        <v>245012.60504201683</v>
      </c>
      <c r="F1001" s="13">
        <f t="shared" si="19"/>
        <v>46552.394957983197</v>
      </c>
      <c r="G1001" s="13">
        <v>291565</v>
      </c>
      <c r="H1001" s="11">
        <f t="shared" si="21"/>
        <v>6</v>
      </c>
      <c r="I1001" s="11">
        <f t="shared" si="22"/>
        <v>2025</v>
      </c>
      <c r="J1001" s="13"/>
      <c r="K1001" s="11" t="s">
        <v>87</v>
      </c>
      <c r="L1001" s="11" t="s">
        <v>432</v>
      </c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>
      <c r="A1002" s="1" t="s">
        <v>360</v>
      </c>
      <c r="B1002" s="7">
        <v>45826</v>
      </c>
      <c r="C1002" s="1" t="s">
        <v>12</v>
      </c>
      <c r="D1002" s="1">
        <v>98601</v>
      </c>
      <c r="E1002" s="4">
        <f t="shared" si="23"/>
        <v>47889.915966386558</v>
      </c>
      <c r="F1002" s="4">
        <f t="shared" si="19"/>
        <v>9099.0840336134461</v>
      </c>
      <c r="G1002" s="4">
        <v>56989</v>
      </c>
      <c r="H1002" s="1">
        <f t="shared" si="21"/>
        <v>6</v>
      </c>
      <c r="I1002" s="1">
        <f t="shared" si="22"/>
        <v>2025</v>
      </c>
      <c r="J1002" s="4"/>
      <c r="K1002" s="1" t="s">
        <v>87</v>
      </c>
    </row>
    <row r="1003" spans="1:26">
      <c r="A1003" s="1" t="s">
        <v>373</v>
      </c>
      <c r="B1003" s="7">
        <v>45827</v>
      </c>
      <c r="C1003" s="1" t="s">
        <v>12</v>
      </c>
      <c r="D1003" s="1">
        <v>1352</v>
      </c>
      <c r="E1003" s="4">
        <f t="shared" si="23"/>
        <v>56133.613445378156</v>
      </c>
      <c r="F1003" s="4">
        <f t="shared" si="19"/>
        <v>10665.386554621849</v>
      </c>
      <c r="G1003" s="4">
        <v>66799</v>
      </c>
      <c r="H1003" s="1">
        <f t="shared" si="21"/>
        <v>6</v>
      </c>
      <c r="I1003" s="1">
        <f t="shared" si="22"/>
        <v>2025</v>
      </c>
      <c r="J1003" s="4"/>
      <c r="K1003" s="1" t="s">
        <v>87</v>
      </c>
    </row>
    <row r="1004" spans="1:26">
      <c r="A1004" s="1" t="s">
        <v>349</v>
      </c>
      <c r="B1004" s="7">
        <v>45831</v>
      </c>
      <c r="C1004" s="1" t="s">
        <v>12</v>
      </c>
      <c r="D1004" s="1">
        <v>8864070</v>
      </c>
      <c r="E1004" s="4">
        <f t="shared" si="23"/>
        <v>40974.789915966387</v>
      </c>
      <c r="F1004" s="4">
        <f t="shared" si="19"/>
        <v>7785.2100840336134</v>
      </c>
      <c r="G1004" s="4">
        <v>48760</v>
      </c>
      <c r="H1004" s="1">
        <f t="shared" si="21"/>
        <v>6</v>
      </c>
      <c r="I1004" s="1">
        <f t="shared" si="22"/>
        <v>2025</v>
      </c>
      <c r="J1004" s="4"/>
      <c r="K1004" s="1" t="s">
        <v>87</v>
      </c>
    </row>
    <row r="1005" spans="1:26">
      <c r="A1005" s="1" t="s">
        <v>433</v>
      </c>
      <c r="B1005" s="7">
        <v>45831</v>
      </c>
      <c r="C1005" s="1" t="s">
        <v>12</v>
      </c>
      <c r="D1005" s="1">
        <v>466261</v>
      </c>
      <c r="E1005" s="4">
        <f t="shared" si="23"/>
        <v>41512.60504201681</v>
      </c>
      <c r="F1005" s="4">
        <f t="shared" si="19"/>
        <v>7887.3949579831942</v>
      </c>
      <c r="G1005" s="4">
        <v>49400</v>
      </c>
      <c r="H1005" s="1">
        <f t="shared" si="21"/>
        <v>6</v>
      </c>
      <c r="I1005" s="1">
        <f t="shared" si="22"/>
        <v>2025</v>
      </c>
      <c r="J1005" s="4"/>
      <c r="K1005" s="1" t="s">
        <v>87</v>
      </c>
    </row>
    <row r="1006" spans="1:26">
      <c r="A1006" s="1" t="s">
        <v>291</v>
      </c>
      <c r="B1006" s="7">
        <v>45831</v>
      </c>
      <c r="C1006" s="1" t="s">
        <v>12</v>
      </c>
      <c r="D1006" s="1">
        <v>12766</v>
      </c>
      <c r="E1006" s="4">
        <f t="shared" si="23"/>
        <v>3361.3445378151264</v>
      </c>
      <c r="F1006" s="4">
        <f t="shared" si="19"/>
        <v>638.65546218487407</v>
      </c>
      <c r="G1006" s="4">
        <v>4000</v>
      </c>
      <c r="H1006" s="1">
        <f t="shared" si="21"/>
        <v>6</v>
      </c>
      <c r="I1006" s="1">
        <f t="shared" si="22"/>
        <v>2025</v>
      </c>
      <c r="J1006" s="4"/>
      <c r="K1006" s="1" t="s">
        <v>87</v>
      </c>
      <c r="L1006" s="1">
        <v>11277</v>
      </c>
      <c r="M1006" s="1">
        <v>119</v>
      </c>
    </row>
    <row r="1007" spans="1:26">
      <c r="A1007" s="1" t="s">
        <v>360</v>
      </c>
      <c r="B1007" s="7">
        <v>45839</v>
      </c>
      <c r="C1007" s="1" t="s">
        <v>12</v>
      </c>
      <c r="D1007" s="1">
        <v>98752</v>
      </c>
      <c r="E1007" s="4">
        <f t="shared" si="23"/>
        <v>61282.352941176476</v>
      </c>
      <c r="F1007" s="4">
        <f t="shared" si="19"/>
        <v>11643.64705882353</v>
      </c>
      <c r="G1007" s="4">
        <v>72926</v>
      </c>
      <c r="H1007" s="1">
        <f t="shared" si="21"/>
        <v>7</v>
      </c>
      <c r="I1007" s="1">
        <f t="shared" si="22"/>
        <v>2025</v>
      </c>
      <c r="J1007" s="4"/>
      <c r="K1007" s="1" t="s">
        <v>87</v>
      </c>
      <c r="L1007" s="1">
        <f>L1006*M1007/M1006</f>
        <v>9476.4705882352937</v>
      </c>
      <c r="M1007" s="1">
        <v>100</v>
      </c>
    </row>
    <row r="1008" spans="1:26">
      <c r="A1008" s="1" t="s">
        <v>14</v>
      </c>
      <c r="B1008" s="7">
        <v>45839</v>
      </c>
      <c r="C1008" s="1" t="s">
        <v>12</v>
      </c>
      <c r="D1008" s="1">
        <v>56653</v>
      </c>
      <c r="E1008" s="4">
        <f t="shared" si="23"/>
        <v>262500</v>
      </c>
      <c r="F1008" s="4">
        <f t="shared" si="19"/>
        <v>49875</v>
      </c>
      <c r="G1008" s="4">
        <v>312375</v>
      </c>
      <c r="H1008" s="1">
        <f t="shared" si="21"/>
        <v>7</v>
      </c>
      <c r="I1008" s="1">
        <f t="shared" si="22"/>
        <v>2025</v>
      </c>
      <c r="J1008" s="4"/>
      <c r="K1008" s="1" t="s">
        <v>87</v>
      </c>
    </row>
    <row r="1009" spans="1:11">
      <c r="A1009" s="1" t="s">
        <v>28</v>
      </c>
      <c r="B1009" s="7">
        <v>45839</v>
      </c>
      <c r="C1009" s="1" t="s">
        <v>12</v>
      </c>
      <c r="D1009" s="1">
        <v>1103392</v>
      </c>
      <c r="E1009" s="4">
        <f t="shared" si="23"/>
        <v>7647.0588235294117</v>
      </c>
      <c r="F1009" s="4">
        <f t="shared" si="19"/>
        <v>1452.9411764705883</v>
      </c>
      <c r="G1009" s="4">
        <v>9100</v>
      </c>
      <c r="H1009" s="1">
        <f t="shared" si="21"/>
        <v>7</v>
      </c>
      <c r="I1009" s="1">
        <f t="shared" si="22"/>
        <v>2025</v>
      </c>
      <c r="J1009" s="4"/>
      <c r="K1009" s="1" t="s">
        <v>87</v>
      </c>
    </row>
    <row r="1010" spans="1:11">
      <c r="A1010" s="1" t="s">
        <v>434</v>
      </c>
      <c r="B1010" s="7">
        <v>45834</v>
      </c>
      <c r="C1010" s="1" t="s">
        <v>12</v>
      </c>
      <c r="D1010" s="1">
        <v>140865135</v>
      </c>
      <c r="E1010" s="4">
        <f t="shared" si="23"/>
        <v>14268.90756302521</v>
      </c>
      <c r="F1010" s="4">
        <f t="shared" si="19"/>
        <v>2711.09243697479</v>
      </c>
      <c r="G1010" s="4">
        <v>16980</v>
      </c>
      <c r="H1010" s="1">
        <f t="shared" si="21"/>
        <v>6</v>
      </c>
      <c r="I1010" s="1">
        <f t="shared" si="22"/>
        <v>2025</v>
      </c>
      <c r="J1010" s="4"/>
      <c r="K1010" s="1" t="s">
        <v>87</v>
      </c>
    </row>
    <row r="1011" spans="1:11">
      <c r="A1011" s="1" t="s">
        <v>373</v>
      </c>
      <c r="B1011" s="7">
        <v>45836</v>
      </c>
      <c r="C1011" s="1" t="s">
        <v>12</v>
      </c>
      <c r="D1011" s="1">
        <v>1374</v>
      </c>
      <c r="E1011" s="4">
        <f t="shared" si="23"/>
        <v>4117.6470588235297</v>
      </c>
      <c r="F1011" s="4">
        <f t="shared" si="19"/>
        <v>782.35294117647061</v>
      </c>
      <c r="G1011" s="4">
        <v>4900</v>
      </c>
      <c r="H1011" s="1">
        <f t="shared" si="21"/>
        <v>6</v>
      </c>
      <c r="I1011" s="1">
        <f t="shared" si="22"/>
        <v>2025</v>
      </c>
      <c r="J1011" s="4"/>
      <c r="K1011" s="1" t="s">
        <v>87</v>
      </c>
    </row>
    <row r="1012" spans="1:11">
      <c r="A1012" s="1" t="s">
        <v>349</v>
      </c>
      <c r="B1012" s="7">
        <v>45839</v>
      </c>
      <c r="C1012" s="1" t="s">
        <v>12</v>
      </c>
      <c r="D1012" s="1">
        <v>8923253</v>
      </c>
      <c r="E1012" s="4">
        <f t="shared" si="23"/>
        <v>7176.4705882352946</v>
      </c>
      <c r="F1012" s="4">
        <f t="shared" si="19"/>
        <v>1363.5294117647061</v>
      </c>
      <c r="G1012" s="4">
        <v>8540</v>
      </c>
      <c r="H1012" s="1">
        <f t="shared" si="21"/>
        <v>7</v>
      </c>
      <c r="I1012" s="1">
        <f t="shared" si="22"/>
        <v>2025</v>
      </c>
      <c r="J1012" s="4"/>
      <c r="K1012" s="1" t="s">
        <v>87</v>
      </c>
    </row>
    <row r="1013" spans="1:11">
      <c r="A1013" s="1" t="s">
        <v>349</v>
      </c>
      <c r="B1013" s="7">
        <v>45839</v>
      </c>
      <c r="C1013" s="1" t="s">
        <v>12</v>
      </c>
      <c r="D1013" s="1">
        <v>8923252</v>
      </c>
      <c r="E1013" s="4">
        <f t="shared" si="23"/>
        <v>6965.546218487395</v>
      </c>
      <c r="F1013" s="4">
        <f t="shared" si="19"/>
        <v>1323.453781512605</v>
      </c>
      <c r="G1013" s="4">
        <v>8289</v>
      </c>
      <c r="H1013" s="1">
        <f t="shared" si="21"/>
        <v>7</v>
      </c>
      <c r="I1013" s="1">
        <f t="shared" si="22"/>
        <v>2025</v>
      </c>
      <c r="J1013" s="4"/>
      <c r="K1013" s="1" t="s">
        <v>87</v>
      </c>
    </row>
    <row r="1014" spans="1:11">
      <c r="A1014" s="1" t="s">
        <v>349</v>
      </c>
      <c r="B1014" s="7">
        <v>45839</v>
      </c>
      <c r="C1014" s="1" t="s">
        <v>12</v>
      </c>
      <c r="D1014" s="1">
        <v>8923254</v>
      </c>
      <c r="E1014" s="4">
        <f t="shared" si="23"/>
        <v>5369.7478991596645</v>
      </c>
      <c r="F1014" s="4">
        <f t="shared" si="19"/>
        <v>1020.2521008403363</v>
      </c>
      <c r="G1014" s="4">
        <v>6390</v>
      </c>
      <c r="H1014" s="1">
        <f t="shared" si="21"/>
        <v>7</v>
      </c>
      <c r="I1014" s="1">
        <f t="shared" si="22"/>
        <v>2025</v>
      </c>
      <c r="J1014" s="4"/>
      <c r="K1014" s="1" t="s">
        <v>87</v>
      </c>
    </row>
    <row r="1015" spans="1:11">
      <c r="A1015" s="1" t="s">
        <v>166</v>
      </c>
      <c r="B1015" s="7">
        <v>45839</v>
      </c>
      <c r="C1015" s="1" t="s">
        <v>12</v>
      </c>
      <c r="D1015" s="1">
        <v>98776</v>
      </c>
      <c r="E1015" s="4">
        <f t="shared" si="23"/>
        <v>13196.638655462186</v>
      </c>
      <c r="F1015" s="4">
        <f t="shared" si="19"/>
        <v>2507.3613445378155</v>
      </c>
      <c r="G1015" s="4">
        <v>15704</v>
      </c>
      <c r="H1015" s="1">
        <f t="shared" si="21"/>
        <v>7</v>
      </c>
      <c r="I1015" s="1">
        <f t="shared" si="22"/>
        <v>2025</v>
      </c>
      <c r="J1015" s="4"/>
      <c r="K1015" s="1" t="s">
        <v>87</v>
      </c>
    </row>
    <row r="1016" spans="1:11">
      <c r="A1016" s="1" t="s">
        <v>291</v>
      </c>
      <c r="B1016" s="7">
        <v>45839</v>
      </c>
      <c r="C1016" s="1" t="s">
        <v>12</v>
      </c>
      <c r="D1016" s="1">
        <v>12853</v>
      </c>
      <c r="E1016" s="4">
        <f t="shared" si="23"/>
        <v>4201.680672268908</v>
      </c>
      <c r="F1016" s="4">
        <f t="shared" si="19"/>
        <v>798.31932773109247</v>
      </c>
      <c r="G1016" s="4">
        <v>5000</v>
      </c>
      <c r="H1016" s="1">
        <f t="shared" si="21"/>
        <v>7</v>
      </c>
      <c r="I1016" s="1">
        <f t="shared" si="22"/>
        <v>2025</v>
      </c>
      <c r="J1016" s="4"/>
      <c r="K1016" s="1" t="s">
        <v>87</v>
      </c>
    </row>
    <row r="1017" spans="1:11">
      <c r="A1017" s="1" t="s">
        <v>373</v>
      </c>
      <c r="B1017" s="7">
        <v>45841</v>
      </c>
      <c r="C1017" s="1" t="s">
        <v>12</v>
      </c>
      <c r="D1017" s="1">
        <v>1392</v>
      </c>
      <c r="E1017" s="4">
        <f t="shared" si="23"/>
        <v>94873.94957983194</v>
      </c>
      <c r="F1017" s="4">
        <f t="shared" si="19"/>
        <v>18026.050420168071</v>
      </c>
      <c r="G1017" s="4">
        <v>112900</v>
      </c>
      <c r="H1017" s="1">
        <f t="shared" si="21"/>
        <v>7</v>
      </c>
      <c r="I1017" s="1">
        <f t="shared" si="22"/>
        <v>2025</v>
      </c>
      <c r="J1017" s="4"/>
      <c r="K1017" s="1" t="s">
        <v>87</v>
      </c>
    </row>
    <row r="1018" spans="1:11">
      <c r="A1018" s="1" t="s">
        <v>373</v>
      </c>
      <c r="B1018" s="7">
        <v>45847</v>
      </c>
      <c r="C1018" s="1" t="s">
        <v>12</v>
      </c>
      <c r="D1018" s="1"/>
      <c r="E1018" s="4">
        <f t="shared" si="23"/>
        <v>-94873.94957983194</v>
      </c>
      <c r="F1018" s="4">
        <f t="shared" si="19"/>
        <v>-18026.050420168071</v>
      </c>
      <c r="G1018" s="4">
        <v>-112900</v>
      </c>
      <c r="H1018" s="1">
        <f t="shared" si="21"/>
        <v>7</v>
      </c>
      <c r="I1018" s="1">
        <f t="shared" si="22"/>
        <v>2025</v>
      </c>
      <c r="J1018" s="4"/>
      <c r="K1018" s="1" t="s">
        <v>87</v>
      </c>
    </row>
    <row r="1019" spans="1:11">
      <c r="A1019" s="1" t="s">
        <v>203</v>
      </c>
      <c r="B1019" s="7">
        <v>45842</v>
      </c>
      <c r="C1019" s="1" t="s">
        <v>12</v>
      </c>
      <c r="D1019" s="1">
        <v>44121638</v>
      </c>
      <c r="E1019" s="4">
        <f t="shared" si="23"/>
        <v>26254.621848739498</v>
      </c>
      <c r="F1019" s="4">
        <f t="shared" si="19"/>
        <v>4988.3781512605046</v>
      </c>
      <c r="G1019" s="4">
        <v>31243</v>
      </c>
      <c r="H1019" s="1">
        <f t="shared" si="21"/>
        <v>7</v>
      </c>
      <c r="I1019" s="1">
        <f t="shared" si="22"/>
        <v>2025</v>
      </c>
      <c r="J1019" s="4"/>
      <c r="K1019" s="1" t="s">
        <v>87</v>
      </c>
    </row>
    <row r="1020" spans="1:11">
      <c r="A1020" s="1" t="s">
        <v>68</v>
      </c>
      <c r="B1020" s="7">
        <v>45842</v>
      </c>
      <c r="C1020" s="1" t="s">
        <v>12</v>
      </c>
      <c r="D1020" s="1">
        <v>269993</v>
      </c>
      <c r="E1020" s="4">
        <f t="shared" si="23"/>
        <v>181175.63025210085</v>
      </c>
      <c r="F1020" s="4">
        <f t="shared" si="19"/>
        <v>34423.36974789916</v>
      </c>
      <c r="G1020" s="4">
        <v>215599</v>
      </c>
      <c r="H1020" s="1">
        <f t="shared" si="21"/>
        <v>7</v>
      </c>
      <c r="I1020" s="1">
        <f t="shared" si="22"/>
        <v>2025</v>
      </c>
      <c r="J1020" s="4"/>
      <c r="K1020" s="1" t="s">
        <v>87</v>
      </c>
    </row>
    <row r="1021" spans="1:11">
      <c r="A1021" s="1" t="s">
        <v>28</v>
      </c>
      <c r="B1021" s="7">
        <v>45843</v>
      </c>
      <c r="C1021" s="1" t="s">
        <v>12</v>
      </c>
      <c r="D1021" s="1">
        <v>1110898</v>
      </c>
      <c r="E1021" s="4">
        <f t="shared" si="23"/>
        <v>7142.8571428571431</v>
      </c>
      <c r="F1021" s="4">
        <f t="shared" si="19"/>
        <v>1357.1428571428571</v>
      </c>
      <c r="G1021" s="4">
        <v>8500</v>
      </c>
      <c r="H1021" s="1">
        <f t="shared" si="21"/>
        <v>7</v>
      </c>
      <c r="I1021" s="1">
        <f t="shared" si="22"/>
        <v>2025</v>
      </c>
      <c r="J1021" s="4"/>
      <c r="K1021" s="1" t="s">
        <v>87</v>
      </c>
    </row>
    <row r="1022" spans="1:11">
      <c r="A1022" s="1" t="s">
        <v>349</v>
      </c>
      <c r="B1022" s="7">
        <v>45843</v>
      </c>
      <c r="C1022" s="1" t="s">
        <v>12</v>
      </c>
      <c r="D1022" s="1">
        <v>9537662</v>
      </c>
      <c r="E1022" s="4">
        <f t="shared" si="23"/>
        <v>19514.285714285714</v>
      </c>
      <c r="F1022" s="4">
        <f t="shared" si="19"/>
        <v>3707.7142857142858</v>
      </c>
      <c r="G1022" s="4">
        <v>23222</v>
      </c>
      <c r="H1022" s="1">
        <f t="shared" si="21"/>
        <v>7</v>
      </c>
      <c r="I1022" s="1">
        <f t="shared" si="22"/>
        <v>2025</v>
      </c>
      <c r="J1022" s="4"/>
      <c r="K1022" s="1" t="s">
        <v>87</v>
      </c>
    </row>
    <row r="1023" spans="1:11">
      <c r="A1023" s="1" t="s">
        <v>202</v>
      </c>
      <c r="B1023" s="7">
        <v>45845</v>
      </c>
      <c r="C1023" s="1" t="s">
        <v>12</v>
      </c>
      <c r="D1023" s="1">
        <v>2523053</v>
      </c>
      <c r="E1023" s="4">
        <f t="shared" si="23"/>
        <v>5354.6218487394963</v>
      </c>
      <c r="F1023" s="4">
        <f t="shared" si="19"/>
        <v>1017.3781512605043</v>
      </c>
      <c r="G1023" s="4">
        <v>6372</v>
      </c>
      <c r="H1023" s="1">
        <f t="shared" si="21"/>
        <v>7</v>
      </c>
      <c r="I1023" s="1">
        <f t="shared" si="22"/>
        <v>2025</v>
      </c>
      <c r="J1023" s="4"/>
      <c r="K1023" s="1" t="s">
        <v>87</v>
      </c>
    </row>
    <row r="1024" spans="1:11">
      <c r="A1024" s="1" t="s">
        <v>202</v>
      </c>
      <c r="B1024" s="7">
        <v>45845</v>
      </c>
      <c r="C1024" s="1" t="s">
        <v>12</v>
      </c>
      <c r="D1024" s="1">
        <v>2526350</v>
      </c>
      <c r="E1024" s="4">
        <f t="shared" si="23"/>
        <v>6889.0756302521013</v>
      </c>
      <c r="F1024" s="4">
        <f t="shared" si="19"/>
        <v>1308.9243697478992</v>
      </c>
      <c r="G1024" s="4">
        <v>8198</v>
      </c>
      <c r="H1024" s="1">
        <f t="shared" si="21"/>
        <v>7</v>
      </c>
      <c r="I1024" s="1">
        <f t="shared" si="22"/>
        <v>2025</v>
      </c>
      <c r="J1024" s="4"/>
      <c r="K1024" s="1" t="s">
        <v>87</v>
      </c>
    </row>
    <row r="1025" spans="1:11">
      <c r="A1025" s="1" t="s">
        <v>349</v>
      </c>
      <c r="B1025" s="7">
        <v>45845</v>
      </c>
      <c r="C1025" s="1" t="s">
        <v>12</v>
      </c>
      <c r="D1025" s="1">
        <v>9018023</v>
      </c>
      <c r="E1025" s="4">
        <f t="shared" si="23"/>
        <v>22841.176470588238</v>
      </c>
      <c r="F1025" s="4">
        <f t="shared" si="19"/>
        <v>4339.8235294117649</v>
      </c>
      <c r="G1025" s="4">
        <v>27181</v>
      </c>
      <c r="H1025" s="1">
        <f t="shared" si="21"/>
        <v>7</v>
      </c>
      <c r="I1025" s="1">
        <f t="shared" si="22"/>
        <v>2025</v>
      </c>
      <c r="J1025" s="4"/>
      <c r="K1025" s="1" t="s">
        <v>87</v>
      </c>
    </row>
    <row r="1026" spans="1:11">
      <c r="A1026" s="1" t="s">
        <v>349</v>
      </c>
      <c r="B1026" s="7">
        <v>45845</v>
      </c>
      <c r="C1026" s="1" t="s">
        <v>12</v>
      </c>
      <c r="D1026" s="1">
        <v>9018028</v>
      </c>
      <c r="E1026" s="4">
        <f t="shared" si="23"/>
        <v>22841.176470588238</v>
      </c>
      <c r="F1026" s="4">
        <f t="shared" si="19"/>
        <v>4339.8235294117649</v>
      </c>
      <c r="G1026" s="4">
        <v>27181</v>
      </c>
      <c r="H1026" s="1">
        <f t="shared" si="21"/>
        <v>7</v>
      </c>
      <c r="I1026" s="1">
        <f t="shared" si="22"/>
        <v>2025</v>
      </c>
      <c r="J1026" s="4"/>
      <c r="K1026" s="1" t="s">
        <v>87</v>
      </c>
    </row>
    <row r="1027" spans="1:11">
      <c r="A1027" s="1" t="s">
        <v>389</v>
      </c>
      <c r="B1027" s="7">
        <v>45846</v>
      </c>
      <c r="C1027" s="1" t="s">
        <v>12</v>
      </c>
      <c r="D1027" s="1">
        <v>584193</v>
      </c>
      <c r="E1027" s="4">
        <f t="shared" si="23"/>
        <v>439161.34453781514</v>
      </c>
      <c r="F1027" s="4">
        <f t="shared" si="19"/>
        <v>83440.655462184877</v>
      </c>
      <c r="G1027" s="4">
        <v>522602</v>
      </c>
      <c r="H1027" s="1">
        <f t="shared" si="21"/>
        <v>7</v>
      </c>
      <c r="I1027" s="1">
        <f t="shared" si="22"/>
        <v>2025</v>
      </c>
      <c r="J1027" s="4"/>
      <c r="K1027" s="1" t="s">
        <v>87</v>
      </c>
    </row>
    <row r="1028" spans="1:11">
      <c r="A1028" s="1" t="s">
        <v>373</v>
      </c>
      <c r="B1028" s="7">
        <v>45847</v>
      </c>
      <c r="C1028" s="1" t="s">
        <v>12</v>
      </c>
      <c r="D1028" s="1">
        <v>1413</v>
      </c>
      <c r="E1028" s="4">
        <f t="shared" si="23"/>
        <v>105798.31932773109</v>
      </c>
      <c r="F1028" s="4">
        <f t="shared" si="19"/>
        <v>20101.680672268907</v>
      </c>
      <c r="G1028" s="4">
        <v>125900</v>
      </c>
      <c r="H1028" s="1">
        <f t="shared" si="21"/>
        <v>7</v>
      </c>
      <c r="I1028" s="1">
        <f t="shared" si="22"/>
        <v>2025</v>
      </c>
      <c r="J1028" s="4"/>
      <c r="K1028" s="1" t="s">
        <v>87</v>
      </c>
    </row>
    <row r="1029" spans="1:11">
      <c r="A1029" s="1" t="s">
        <v>103</v>
      </c>
      <c r="B1029" s="7">
        <v>45848</v>
      </c>
      <c r="C1029" s="1" t="s">
        <v>12</v>
      </c>
      <c r="D1029" s="1">
        <v>388677</v>
      </c>
      <c r="E1029" s="4">
        <f t="shared" si="23"/>
        <v>38130.252100840335</v>
      </c>
      <c r="F1029" s="4">
        <f t="shared" ref="F1029:F1152" si="24">E1029*0.19</f>
        <v>7244.7478991596636</v>
      </c>
      <c r="G1029" s="4">
        <v>45375</v>
      </c>
      <c r="H1029" s="1">
        <f t="shared" si="21"/>
        <v>7</v>
      </c>
      <c r="I1029" s="1">
        <f t="shared" si="22"/>
        <v>2025</v>
      </c>
      <c r="J1029" s="4"/>
      <c r="K1029" s="1" t="s">
        <v>87</v>
      </c>
    </row>
    <row r="1030" spans="1:11">
      <c r="A1030" s="1" t="s">
        <v>103</v>
      </c>
      <c r="B1030" s="7">
        <v>45848</v>
      </c>
      <c r="C1030" s="1" t="s">
        <v>12</v>
      </c>
      <c r="D1030" s="1">
        <v>388676</v>
      </c>
      <c r="E1030" s="4">
        <f t="shared" si="23"/>
        <v>206148.73949579833</v>
      </c>
      <c r="F1030" s="4">
        <f t="shared" si="24"/>
        <v>39168.260504201688</v>
      </c>
      <c r="G1030" s="4">
        <v>245317</v>
      </c>
      <c r="H1030" s="1">
        <f t="shared" si="21"/>
        <v>7</v>
      </c>
      <c r="I1030" s="1">
        <f t="shared" si="22"/>
        <v>2025</v>
      </c>
      <c r="J1030" s="4"/>
      <c r="K1030" s="1" t="s">
        <v>87</v>
      </c>
    </row>
    <row r="1031" spans="1:11">
      <c r="A1031" s="1" t="s">
        <v>373</v>
      </c>
      <c r="B1031" s="7">
        <v>45859</v>
      </c>
      <c r="C1031" s="1" t="s">
        <v>12</v>
      </c>
      <c r="D1031" s="1"/>
      <c r="E1031" s="4">
        <f t="shared" si="23"/>
        <v>-105798.31932773109</v>
      </c>
      <c r="F1031" s="4">
        <f t="shared" si="24"/>
        <v>-20101.680672268907</v>
      </c>
      <c r="G1031" s="4">
        <v>-125900</v>
      </c>
      <c r="H1031" s="1">
        <f t="shared" si="21"/>
        <v>7</v>
      </c>
      <c r="I1031" s="1">
        <f t="shared" si="22"/>
        <v>2025</v>
      </c>
      <c r="J1031" s="4"/>
      <c r="K1031" s="1" t="s">
        <v>87</v>
      </c>
    </row>
    <row r="1032" spans="1:11">
      <c r="A1032" s="1" t="s">
        <v>28</v>
      </c>
      <c r="B1032" s="7">
        <v>45852</v>
      </c>
      <c r="C1032" s="1" t="s">
        <v>12</v>
      </c>
      <c r="D1032" s="1">
        <v>1121110</v>
      </c>
      <c r="E1032" s="4">
        <f t="shared" si="23"/>
        <v>15100.840336134455</v>
      </c>
      <c r="F1032" s="4">
        <f t="shared" si="24"/>
        <v>2869.1596638655465</v>
      </c>
      <c r="G1032" s="4">
        <v>17970</v>
      </c>
      <c r="H1032" s="1">
        <f t="shared" si="21"/>
        <v>7</v>
      </c>
      <c r="I1032" s="1">
        <f t="shared" si="22"/>
        <v>2025</v>
      </c>
      <c r="J1032" s="4"/>
      <c r="K1032" s="1" t="s">
        <v>87</v>
      </c>
    </row>
    <row r="1033" spans="1:11">
      <c r="A1033" s="1" t="s">
        <v>236</v>
      </c>
      <c r="B1033" s="7">
        <v>45852</v>
      </c>
      <c r="C1033" s="1" t="s">
        <v>12</v>
      </c>
      <c r="D1033" s="1">
        <v>49625</v>
      </c>
      <c r="E1033" s="4">
        <f t="shared" si="23"/>
        <v>7142.8571428571431</v>
      </c>
      <c r="F1033" s="4">
        <f t="shared" si="24"/>
        <v>1357.1428571428571</v>
      </c>
      <c r="G1033" s="4">
        <v>8500</v>
      </c>
      <c r="H1033" s="1">
        <f t="shared" si="21"/>
        <v>7</v>
      </c>
      <c r="I1033" s="1">
        <f t="shared" si="22"/>
        <v>2025</v>
      </c>
      <c r="J1033" s="4"/>
      <c r="K1033" s="1" t="s">
        <v>87</v>
      </c>
    </row>
    <row r="1034" spans="1:11">
      <c r="A1034" s="1" t="s">
        <v>349</v>
      </c>
      <c r="B1034" s="7">
        <v>45858</v>
      </c>
      <c r="C1034" s="1" t="s">
        <v>12</v>
      </c>
      <c r="D1034" s="1">
        <v>9155729</v>
      </c>
      <c r="E1034" s="4">
        <f t="shared" si="23"/>
        <v>14513.445378151262</v>
      </c>
      <c r="F1034" s="4">
        <f t="shared" si="24"/>
        <v>2757.5546218487398</v>
      </c>
      <c r="G1034" s="4">
        <v>17271</v>
      </c>
      <c r="H1034" s="1">
        <f t="shared" si="21"/>
        <v>7</v>
      </c>
      <c r="I1034" s="1">
        <f t="shared" si="22"/>
        <v>2025</v>
      </c>
      <c r="J1034" s="4"/>
      <c r="K1034" s="1" t="s">
        <v>87</v>
      </c>
    </row>
    <row r="1035" spans="1:11">
      <c r="A1035" s="1" t="s">
        <v>349</v>
      </c>
      <c r="B1035" s="7">
        <v>45858</v>
      </c>
      <c r="C1035" s="1" t="s">
        <v>12</v>
      </c>
      <c r="D1035" s="1">
        <v>9155728</v>
      </c>
      <c r="E1035" s="4">
        <f t="shared" si="23"/>
        <v>5780.6722689075632</v>
      </c>
      <c r="F1035" s="4">
        <f t="shared" si="24"/>
        <v>1098.327731092437</v>
      </c>
      <c r="G1035" s="4">
        <v>6879</v>
      </c>
      <c r="H1035" s="1">
        <f t="shared" si="21"/>
        <v>7</v>
      </c>
      <c r="I1035" s="1">
        <f t="shared" si="22"/>
        <v>2025</v>
      </c>
      <c r="J1035" s="4"/>
      <c r="K1035" s="1" t="s">
        <v>87</v>
      </c>
    </row>
    <row r="1036" spans="1:11">
      <c r="A1036" s="1" t="s">
        <v>373</v>
      </c>
      <c r="B1036" s="7">
        <v>45859</v>
      </c>
      <c r="C1036" s="1" t="s">
        <v>12</v>
      </c>
      <c r="D1036" s="1">
        <v>1441</v>
      </c>
      <c r="E1036" s="4">
        <f t="shared" si="23"/>
        <v>100168.90756302522</v>
      </c>
      <c r="F1036" s="4">
        <f t="shared" si="24"/>
        <v>19032.092436974792</v>
      </c>
      <c r="G1036" s="4">
        <v>119201</v>
      </c>
      <c r="H1036" s="1">
        <f t="shared" si="21"/>
        <v>7</v>
      </c>
      <c r="I1036" s="1">
        <f t="shared" si="22"/>
        <v>2025</v>
      </c>
      <c r="J1036" s="4"/>
      <c r="K1036" s="1" t="s">
        <v>87</v>
      </c>
    </row>
    <row r="1037" spans="1:11">
      <c r="A1037" s="1" t="s">
        <v>236</v>
      </c>
      <c r="B1037" s="7">
        <v>45860</v>
      </c>
      <c r="C1037" s="1" t="s">
        <v>12</v>
      </c>
      <c r="D1037" s="1">
        <v>49801</v>
      </c>
      <c r="E1037" s="4">
        <f t="shared" si="23"/>
        <v>23361.344537815126</v>
      </c>
      <c r="F1037" s="4">
        <f t="shared" si="24"/>
        <v>4438.6554621848736</v>
      </c>
      <c r="G1037" s="4">
        <v>27800</v>
      </c>
      <c r="H1037" s="1">
        <f t="shared" si="21"/>
        <v>7</v>
      </c>
      <c r="I1037" s="1">
        <f t="shared" si="22"/>
        <v>2025</v>
      </c>
      <c r="J1037" s="4"/>
      <c r="K1037" s="1" t="s">
        <v>87</v>
      </c>
    </row>
    <row r="1038" spans="1:11">
      <c r="A1038" s="1" t="s">
        <v>373</v>
      </c>
      <c r="B1038" s="7">
        <v>45861</v>
      </c>
      <c r="C1038" s="1" t="s">
        <v>12</v>
      </c>
      <c r="D1038" s="1">
        <v>1450</v>
      </c>
      <c r="E1038" s="4">
        <f t="shared" si="23"/>
        <v>36890.756302521011</v>
      </c>
      <c r="F1038" s="4">
        <f t="shared" si="24"/>
        <v>7009.2436974789925</v>
      </c>
      <c r="G1038" s="4">
        <v>43900</v>
      </c>
      <c r="H1038" s="1">
        <f t="shared" si="21"/>
        <v>7</v>
      </c>
      <c r="I1038" s="1">
        <f t="shared" si="22"/>
        <v>2025</v>
      </c>
      <c r="J1038" s="4"/>
      <c r="K1038" s="1" t="s">
        <v>87</v>
      </c>
    </row>
    <row r="1039" spans="1:11">
      <c r="A1039" s="1" t="s">
        <v>393</v>
      </c>
      <c r="B1039" s="7">
        <v>45863</v>
      </c>
      <c r="C1039" s="1" t="s">
        <v>12</v>
      </c>
      <c r="D1039" s="1">
        <v>2702</v>
      </c>
      <c r="E1039" s="4">
        <f t="shared" si="23"/>
        <v>13108.403361344539</v>
      </c>
      <c r="F1039" s="4">
        <f t="shared" si="24"/>
        <v>2490.5966386554624</v>
      </c>
      <c r="G1039" s="4">
        <v>15599</v>
      </c>
      <c r="H1039" s="1">
        <f t="shared" si="21"/>
        <v>7</v>
      </c>
      <c r="I1039" s="1">
        <f t="shared" si="22"/>
        <v>2025</v>
      </c>
      <c r="J1039" s="4"/>
      <c r="K1039" s="1" t="s">
        <v>87</v>
      </c>
    </row>
    <row r="1040" spans="1:11">
      <c r="A1040" s="1" t="s">
        <v>435</v>
      </c>
      <c r="B1040" s="7">
        <v>45863</v>
      </c>
      <c r="C1040" s="1" t="s">
        <v>12</v>
      </c>
      <c r="D1040" s="1">
        <v>974516</v>
      </c>
      <c r="E1040" s="4">
        <f t="shared" si="23"/>
        <v>52900</v>
      </c>
      <c r="F1040" s="4">
        <f t="shared" si="24"/>
        <v>10051</v>
      </c>
      <c r="G1040" s="4">
        <v>62951</v>
      </c>
      <c r="H1040" s="1">
        <f t="shared" si="21"/>
        <v>7</v>
      </c>
      <c r="I1040" s="1">
        <f t="shared" si="22"/>
        <v>2025</v>
      </c>
      <c r="J1040" s="4"/>
      <c r="K1040" s="1" t="s">
        <v>87</v>
      </c>
    </row>
    <row r="1041" spans="1:11">
      <c r="A1041" s="1" t="s">
        <v>166</v>
      </c>
      <c r="B1041" s="7">
        <v>45866</v>
      </c>
      <c r="C1041" s="1" t="s">
        <v>12</v>
      </c>
      <c r="D1041" s="1">
        <v>100818</v>
      </c>
      <c r="E1041" s="4">
        <f t="shared" si="23"/>
        <v>13174.789915966387</v>
      </c>
      <c r="F1041" s="4">
        <f t="shared" si="24"/>
        <v>2503.2100840336134</v>
      </c>
      <c r="G1041" s="4">
        <v>15678</v>
      </c>
      <c r="H1041" s="1">
        <f t="shared" si="21"/>
        <v>7</v>
      </c>
      <c r="I1041" s="1">
        <f t="shared" si="22"/>
        <v>2025</v>
      </c>
      <c r="J1041" s="4"/>
      <c r="K1041" s="1" t="s">
        <v>87</v>
      </c>
    </row>
    <row r="1042" spans="1:11">
      <c r="A1042" s="1" t="s">
        <v>436</v>
      </c>
      <c r="B1042" s="7">
        <v>45866</v>
      </c>
      <c r="C1042" s="1" t="s">
        <v>12</v>
      </c>
      <c r="D1042" s="1">
        <v>16409</v>
      </c>
      <c r="E1042" s="4">
        <f t="shared" si="23"/>
        <v>19120.168067226892</v>
      </c>
      <c r="F1042" s="4">
        <f t="shared" si="24"/>
        <v>3632.8319327731097</v>
      </c>
      <c r="G1042" s="4">
        <v>22753</v>
      </c>
      <c r="H1042" s="1">
        <f t="shared" si="21"/>
        <v>7</v>
      </c>
      <c r="I1042" s="1">
        <f t="shared" si="22"/>
        <v>2025</v>
      </c>
      <c r="J1042" s="4"/>
      <c r="K1042" s="1" t="s">
        <v>87</v>
      </c>
    </row>
    <row r="1043" spans="1:11">
      <c r="A1043" s="1" t="s">
        <v>291</v>
      </c>
      <c r="B1043" s="7">
        <v>45866</v>
      </c>
      <c r="C1043" s="1" t="s">
        <v>12</v>
      </c>
      <c r="D1043" s="1">
        <v>13082</v>
      </c>
      <c r="E1043" s="4">
        <f t="shared" si="23"/>
        <v>5042.0168067226896</v>
      </c>
      <c r="F1043" s="4">
        <f t="shared" si="24"/>
        <v>957.98319327731099</v>
      </c>
      <c r="G1043" s="4">
        <v>6000</v>
      </c>
      <c r="H1043" s="1">
        <f t="shared" si="21"/>
        <v>7</v>
      </c>
      <c r="I1043" s="1">
        <f t="shared" si="22"/>
        <v>2025</v>
      </c>
      <c r="J1043" s="4"/>
      <c r="K1043" s="1" t="s">
        <v>87</v>
      </c>
    </row>
    <row r="1044" spans="1:11">
      <c r="A1044" s="1" t="s">
        <v>203</v>
      </c>
      <c r="B1044" s="7">
        <v>45868</v>
      </c>
      <c r="C1044" s="1" t="s">
        <v>12</v>
      </c>
      <c r="D1044" s="1">
        <v>44373530</v>
      </c>
      <c r="E1044" s="4">
        <f t="shared" si="23"/>
        <v>26309.243697478993</v>
      </c>
      <c r="F1044" s="4">
        <f t="shared" si="24"/>
        <v>4998.7563025210084</v>
      </c>
      <c r="G1044" s="4">
        <v>31308</v>
      </c>
      <c r="H1044" s="1">
        <f t="shared" si="21"/>
        <v>7</v>
      </c>
      <c r="I1044" s="1">
        <f t="shared" si="22"/>
        <v>2025</v>
      </c>
      <c r="J1044" s="4"/>
      <c r="K1044" s="1" t="s">
        <v>87</v>
      </c>
    </row>
    <row r="1045" spans="1:11">
      <c r="A1045" s="1" t="s">
        <v>435</v>
      </c>
      <c r="B1045" s="7">
        <v>45870</v>
      </c>
      <c r="C1045" s="1" t="s">
        <v>12</v>
      </c>
      <c r="D1045" s="1">
        <v>1009446</v>
      </c>
      <c r="E1045" s="4">
        <f t="shared" si="23"/>
        <v>68.907563025210081</v>
      </c>
      <c r="F1045" s="4">
        <f t="shared" si="24"/>
        <v>13.092436974789916</v>
      </c>
      <c r="G1045" s="4">
        <v>82</v>
      </c>
      <c r="H1045" s="1">
        <f t="shared" si="21"/>
        <v>8</v>
      </c>
      <c r="I1045" s="1">
        <f t="shared" si="22"/>
        <v>2025</v>
      </c>
      <c r="J1045" s="4"/>
      <c r="K1045" s="1" t="s">
        <v>87</v>
      </c>
    </row>
    <row r="1046" spans="1:11">
      <c r="A1046" s="1" t="s">
        <v>435</v>
      </c>
      <c r="B1046" s="7">
        <v>45870</v>
      </c>
      <c r="C1046" s="1" t="s">
        <v>12</v>
      </c>
      <c r="D1046" s="1">
        <v>1009447</v>
      </c>
      <c r="E1046" s="4">
        <f t="shared" si="23"/>
        <v>219.32773109243698</v>
      </c>
      <c r="F1046" s="4">
        <f t="shared" si="24"/>
        <v>41.672268907563023</v>
      </c>
      <c r="G1046" s="4">
        <v>261</v>
      </c>
      <c r="H1046" s="1">
        <f t="shared" si="21"/>
        <v>8</v>
      </c>
      <c r="I1046" s="1">
        <f t="shared" si="22"/>
        <v>2025</v>
      </c>
      <c r="J1046" s="4"/>
      <c r="K1046" s="1" t="s">
        <v>87</v>
      </c>
    </row>
    <row r="1047" spans="1:11">
      <c r="A1047" s="1" t="s">
        <v>437</v>
      </c>
      <c r="B1047" s="7">
        <v>45871</v>
      </c>
      <c r="C1047" s="1" t="s">
        <v>12</v>
      </c>
      <c r="D1047" s="1">
        <v>72209</v>
      </c>
      <c r="E1047" s="4">
        <f t="shared" si="23"/>
        <v>8193.2773109243699</v>
      </c>
      <c r="F1047" s="4">
        <f t="shared" si="24"/>
        <v>1556.7226890756303</v>
      </c>
      <c r="G1047" s="4">
        <v>9750</v>
      </c>
      <c r="H1047" s="1">
        <f t="shared" si="21"/>
        <v>8</v>
      </c>
      <c r="I1047" s="1">
        <f t="shared" si="22"/>
        <v>2025</v>
      </c>
      <c r="J1047" s="4"/>
      <c r="K1047" s="1" t="s">
        <v>87</v>
      </c>
    </row>
    <row r="1048" spans="1:11">
      <c r="A1048" s="1" t="s">
        <v>349</v>
      </c>
      <c r="B1048" s="7">
        <v>45872</v>
      </c>
      <c r="C1048" s="1" t="s">
        <v>12</v>
      </c>
      <c r="D1048" s="1">
        <v>9568780</v>
      </c>
      <c r="E1048" s="4">
        <f t="shared" si="23"/>
        <v>28573.10924369748</v>
      </c>
      <c r="F1048" s="4">
        <f t="shared" si="24"/>
        <v>5428.8907563025214</v>
      </c>
      <c r="G1048" s="4">
        <v>34002</v>
      </c>
      <c r="H1048" s="1">
        <f t="shared" si="21"/>
        <v>8</v>
      </c>
      <c r="I1048" s="1">
        <f t="shared" si="22"/>
        <v>2025</v>
      </c>
      <c r="J1048" s="4"/>
      <c r="K1048" s="1" t="s">
        <v>87</v>
      </c>
    </row>
    <row r="1049" spans="1:11">
      <c r="A1049" s="1" t="s">
        <v>202</v>
      </c>
      <c r="B1049" s="7">
        <v>45875</v>
      </c>
      <c r="C1049" s="1" t="s">
        <v>12</v>
      </c>
      <c r="D1049" s="1">
        <v>2578848</v>
      </c>
      <c r="E1049" s="4">
        <f t="shared" si="23"/>
        <v>7703.3613445378151</v>
      </c>
      <c r="F1049" s="4">
        <f t="shared" si="24"/>
        <v>1463.6386554621849</v>
      </c>
      <c r="G1049" s="4">
        <v>9167</v>
      </c>
      <c r="H1049" s="1">
        <f t="shared" si="21"/>
        <v>8</v>
      </c>
      <c r="I1049" s="1">
        <f t="shared" si="22"/>
        <v>2025</v>
      </c>
      <c r="J1049" s="4"/>
      <c r="K1049" s="1" t="s">
        <v>87</v>
      </c>
    </row>
    <row r="1050" spans="1:11">
      <c r="A1050" s="1" t="s">
        <v>373</v>
      </c>
      <c r="B1050" s="7">
        <v>45878</v>
      </c>
      <c r="C1050" s="1" t="s">
        <v>12</v>
      </c>
      <c r="D1050" s="1">
        <v>1496</v>
      </c>
      <c r="E1050" s="4">
        <f t="shared" si="23"/>
        <v>5798.3193277310929</v>
      </c>
      <c r="F1050" s="4">
        <f t="shared" si="24"/>
        <v>1101.6806722689078</v>
      </c>
      <c r="G1050" s="4">
        <v>6900</v>
      </c>
      <c r="H1050" s="1">
        <f t="shared" si="21"/>
        <v>8</v>
      </c>
      <c r="I1050" s="1">
        <f t="shared" si="22"/>
        <v>2025</v>
      </c>
      <c r="J1050" s="4"/>
      <c r="K1050" s="1" t="s">
        <v>87</v>
      </c>
    </row>
    <row r="1051" spans="1:11">
      <c r="A1051" s="1" t="s">
        <v>373</v>
      </c>
      <c r="B1051" s="7">
        <v>45888</v>
      </c>
      <c r="C1051" s="1" t="s">
        <v>12</v>
      </c>
      <c r="D1051" s="1">
        <v>1529</v>
      </c>
      <c r="E1051" s="4">
        <f t="shared" si="23"/>
        <v>57983.193277310929</v>
      </c>
      <c r="F1051" s="4">
        <f t="shared" si="24"/>
        <v>11016.806722689076</v>
      </c>
      <c r="G1051" s="4">
        <v>69000</v>
      </c>
      <c r="H1051" s="1">
        <f t="shared" si="21"/>
        <v>8</v>
      </c>
      <c r="I1051" s="1">
        <f t="shared" si="22"/>
        <v>2025</v>
      </c>
      <c r="J1051" s="4"/>
      <c r="K1051" s="1" t="s">
        <v>87</v>
      </c>
    </row>
    <row r="1052" spans="1:11">
      <c r="A1052" s="1" t="s">
        <v>350</v>
      </c>
      <c r="B1052" s="7">
        <v>45888</v>
      </c>
      <c r="C1052" s="1" t="s">
        <v>12</v>
      </c>
      <c r="D1052" s="1">
        <v>109372</v>
      </c>
      <c r="E1052" s="4">
        <f t="shared" si="23"/>
        <v>15550.420168067227</v>
      </c>
      <c r="F1052" s="4">
        <f t="shared" si="24"/>
        <v>2954.5798319327732</v>
      </c>
      <c r="G1052" s="4">
        <v>18505</v>
      </c>
      <c r="H1052" s="1">
        <f t="shared" si="21"/>
        <v>8</v>
      </c>
      <c r="I1052" s="1">
        <f t="shared" si="22"/>
        <v>2025</v>
      </c>
      <c r="J1052" s="4"/>
      <c r="K1052" s="1" t="s">
        <v>87</v>
      </c>
    </row>
    <row r="1053" spans="1:11">
      <c r="A1053" s="1" t="s">
        <v>373</v>
      </c>
      <c r="B1053" s="7">
        <v>45888</v>
      </c>
      <c r="C1053" s="1" t="s">
        <v>12</v>
      </c>
      <c r="D1053" s="1">
        <v>1531</v>
      </c>
      <c r="E1053" s="4">
        <f t="shared" si="23"/>
        <v>28403.361344537818</v>
      </c>
      <c r="F1053" s="4">
        <f t="shared" si="24"/>
        <v>5396.6386554621859</v>
      </c>
      <c r="G1053" s="4">
        <v>33800</v>
      </c>
      <c r="H1053" s="1">
        <f t="shared" si="21"/>
        <v>8</v>
      </c>
      <c r="I1053" s="1">
        <f t="shared" si="22"/>
        <v>2025</v>
      </c>
      <c r="J1053" s="4"/>
      <c r="K1053" s="1" t="s">
        <v>87</v>
      </c>
    </row>
    <row r="1054" spans="1:11">
      <c r="A1054" s="1" t="s">
        <v>349</v>
      </c>
      <c r="B1054" s="7">
        <v>45889</v>
      </c>
      <c r="C1054" s="1" t="s">
        <v>12</v>
      </c>
      <c r="D1054" s="1">
        <v>9653478</v>
      </c>
      <c r="E1054" s="4">
        <f t="shared" si="23"/>
        <v>28487.394957983193</v>
      </c>
      <c r="F1054" s="4">
        <f t="shared" si="24"/>
        <v>5412.6050420168067</v>
      </c>
      <c r="G1054" s="4">
        <v>33900</v>
      </c>
      <c r="H1054" s="1">
        <f t="shared" si="21"/>
        <v>8</v>
      </c>
      <c r="I1054" s="1">
        <f t="shared" si="22"/>
        <v>2025</v>
      </c>
      <c r="J1054" s="4"/>
      <c r="K1054" s="1" t="s">
        <v>87</v>
      </c>
    </row>
    <row r="1055" spans="1:11">
      <c r="A1055" s="1" t="s">
        <v>349</v>
      </c>
      <c r="B1055" s="7">
        <v>45892</v>
      </c>
      <c r="C1055" s="1" t="s">
        <v>12</v>
      </c>
      <c r="D1055" s="1">
        <v>9688489</v>
      </c>
      <c r="E1055" s="4">
        <f t="shared" si="23"/>
        <v>17798.319327731093</v>
      </c>
      <c r="F1055" s="4">
        <f t="shared" si="24"/>
        <v>3381.6806722689075</v>
      </c>
      <c r="G1055" s="4">
        <v>21180</v>
      </c>
      <c r="H1055" s="1">
        <f t="shared" si="21"/>
        <v>8</v>
      </c>
      <c r="I1055" s="1">
        <f t="shared" si="22"/>
        <v>2025</v>
      </c>
      <c r="J1055" s="4"/>
      <c r="K1055" s="1" t="s">
        <v>87</v>
      </c>
    </row>
    <row r="1056" spans="1:11">
      <c r="A1056" s="1" t="s">
        <v>203</v>
      </c>
      <c r="B1056" s="7">
        <v>45894</v>
      </c>
      <c r="C1056" s="1" t="s">
        <v>12</v>
      </c>
      <c r="D1056" s="1">
        <v>44691544</v>
      </c>
      <c r="E1056" s="4">
        <f t="shared" si="23"/>
        <v>26250.420168067227</v>
      </c>
      <c r="F1056" s="4">
        <f t="shared" si="24"/>
        <v>4987.5798319327732</v>
      </c>
      <c r="G1056" s="4">
        <v>31238</v>
      </c>
      <c r="H1056" s="1">
        <f t="shared" si="21"/>
        <v>8</v>
      </c>
      <c r="I1056" s="1">
        <f t="shared" si="22"/>
        <v>2025</v>
      </c>
      <c r="J1056" s="4"/>
      <c r="K1056" s="1" t="s">
        <v>87</v>
      </c>
    </row>
    <row r="1057" spans="1:11">
      <c r="A1057" s="1" t="s">
        <v>360</v>
      </c>
      <c r="B1057" s="7">
        <v>45896</v>
      </c>
      <c r="C1057" s="1" t="s">
        <v>12</v>
      </c>
      <c r="D1057" s="1">
        <v>102046</v>
      </c>
      <c r="E1057" s="4">
        <f t="shared" si="23"/>
        <v>49994.117647058825</v>
      </c>
      <c r="F1057" s="4">
        <f t="shared" si="24"/>
        <v>9498.8823529411766</v>
      </c>
      <c r="G1057" s="4">
        <v>59493</v>
      </c>
      <c r="H1057" s="1">
        <f t="shared" si="21"/>
        <v>8</v>
      </c>
      <c r="I1057" s="1">
        <f t="shared" si="22"/>
        <v>2025</v>
      </c>
      <c r="J1057" s="4"/>
      <c r="K1057" s="1" t="s">
        <v>87</v>
      </c>
    </row>
    <row r="1058" spans="1:11">
      <c r="A1058" s="1" t="s">
        <v>166</v>
      </c>
      <c r="B1058" s="7">
        <v>45897</v>
      </c>
      <c r="C1058" s="1" t="s">
        <v>12</v>
      </c>
      <c r="D1058" s="1">
        <v>102881</v>
      </c>
      <c r="E1058" s="4">
        <f t="shared" si="23"/>
        <v>13226.890756302522</v>
      </c>
      <c r="F1058" s="4">
        <f t="shared" si="24"/>
        <v>2513.1092436974791</v>
      </c>
      <c r="G1058" s="1">
        <v>15740</v>
      </c>
      <c r="H1058" s="1">
        <f t="shared" si="21"/>
        <v>8</v>
      </c>
      <c r="I1058" s="1">
        <f t="shared" si="22"/>
        <v>2025</v>
      </c>
      <c r="J1058" s="4"/>
      <c r="K1058" s="1" t="s">
        <v>87</v>
      </c>
    </row>
    <row r="1059" spans="1:11">
      <c r="A1059" s="1" t="s">
        <v>373</v>
      </c>
      <c r="B1059" s="7">
        <v>45897</v>
      </c>
      <c r="C1059" s="1" t="s">
        <v>12</v>
      </c>
      <c r="D1059" s="1">
        <v>1566</v>
      </c>
      <c r="E1059" s="4">
        <f t="shared" si="23"/>
        <v>276300.84033613448</v>
      </c>
      <c r="F1059" s="4">
        <f t="shared" si="24"/>
        <v>52497.159663865554</v>
      </c>
      <c r="G1059" s="4">
        <v>328798</v>
      </c>
      <c r="H1059" s="1">
        <f t="shared" si="21"/>
        <v>8</v>
      </c>
      <c r="I1059" s="1">
        <f t="shared" si="22"/>
        <v>2025</v>
      </c>
      <c r="J1059" s="4"/>
      <c r="K1059" s="1" t="s">
        <v>87</v>
      </c>
    </row>
    <row r="1060" spans="1:11">
      <c r="A1060" s="1" t="s">
        <v>103</v>
      </c>
      <c r="B1060" s="7">
        <v>45897</v>
      </c>
      <c r="C1060" s="1" t="s">
        <v>12</v>
      </c>
      <c r="D1060" s="1">
        <v>395098</v>
      </c>
      <c r="E1060" s="4">
        <f t="shared" si="23"/>
        <v>170608.40336134454</v>
      </c>
      <c r="F1060" s="4">
        <f t="shared" si="24"/>
        <v>32415.596638655461</v>
      </c>
      <c r="G1060" s="4">
        <v>203024</v>
      </c>
      <c r="H1060" s="1">
        <f t="shared" si="21"/>
        <v>8</v>
      </c>
      <c r="I1060" s="1">
        <f t="shared" si="22"/>
        <v>2025</v>
      </c>
      <c r="J1060" s="4"/>
      <c r="K1060" s="1" t="s">
        <v>87</v>
      </c>
    </row>
    <row r="1061" spans="1:11">
      <c r="A1061" s="1" t="s">
        <v>28</v>
      </c>
      <c r="B1061" s="7">
        <v>45898</v>
      </c>
      <c r="C1061" s="1" t="s">
        <v>12</v>
      </c>
      <c r="D1061" s="1">
        <v>1139690</v>
      </c>
      <c r="E1061" s="4">
        <f t="shared" si="23"/>
        <v>11789.915966386556</v>
      </c>
      <c r="F1061" s="4">
        <f t="shared" si="24"/>
        <v>2240.0840336134456</v>
      </c>
      <c r="G1061" s="4">
        <v>14030</v>
      </c>
      <c r="H1061" s="1">
        <f t="shared" si="21"/>
        <v>8</v>
      </c>
      <c r="I1061" s="1">
        <f t="shared" si="22"/>
        <v>2025</v>
      </c>
      <c r="J1061" s="4"/>
      <c r="K1061" s="1" t="s">
        <v>87</v>
      </c>
    </row>
    <row r="1062" spans="1:11">
      <c r="A1062" s="1" t="s">
        <v>373</v>
      </c>
      <c r="B1062" s="7">
        <v>45901</v>
      </c>
      <c r="C1062" s="1" t="s">
        <v>12</v>
      </c>
      <c r="D1062" s="1">
        <v>1573</v>
      </c>
      <c r="E1062" s="4">
        <f t="shared" si="23"/>
        <v>43696.638655462186</v>
      </c>
      <c r="F1062" s="4">
        <f t="shared" si="24"/>
        <v>8302.361344537816</v>
      </c>
      <c r="G1062" s="4">
        <v>51999</v>
      </c>
      <c r="H1062" s="1">
        <f t="shared" si="21"/>
        <v>9</v>
      </c>
      <c r="I1062" s="1">
        <f t="shared" si="22"/>
        <v>2025</v>
      </c>
      <c r="J1062" s="4"/>
      <c r="K1062" s="1" t="s">
        <v>87</v>
      </c>
    </row>
    <row r="1063" spans="1:11">
      <c r="A1063" s="1" t="s">
        <v>373</v>
      </c>
      <c r="B1063" s="7">
        <v>45901</v>
      </c>
      <c r="C1063" s="1" t="s">
        <v>12</v>
      </c>
      <c r="D1063" s="1">
        <v>1574</v>
      </c>
      <c r="E1063" s="4">
        <f t="shared" si="23"/>
        <v>41596.638655462186</v>
      </c>
      <c r="F1063" s="4">
        <f t="shared" si="24"/>
        <v>7903.3613445378151</v>
      </c>
      <c r="G1063" s="4">
        <v>49500</v>
      </c>
      <c r="H1063" s="1">
        <f t="shared" si="21"/>
        <v>9</v>
      </c>
      <c r="I1063" s="1">
        <f t="shared" si="22"/>
        <v>2025</v>
      </c>
      <c r="J1063" s="4"/>
      <c r="K1063" s="1" t="s">
        <v>87</v>
      </c>
    </row>
    <row r="1064" spans="1:11">
      <c r="A1064" s="1" t="s">
        <v>435</v>
      </c>
      <c r="B1064" s="7">
        <v>45901</v>
      </c>
      <c r="C1064" s="1" t="s">
        <v>12</v>
      </c>
      <c r="D1064" s="1">
        <v>1060315</v>
      </c>
      <c r="E1064" s="4">
        <f t="shared" si="23"/>
        <v>1610.9243697478992</v>
      </c>
      <c r="F1064" s="4">
        <f t="shared" si="24"/>
        <v>306.07563025210084</v>
      </c>
      <c r="G1064" s="4">
        <v>1917</v>
      </c>
      <c r="H1064" s="1">
        <f t="shared" si="21"/>
        <v>9</v>
      </c>
      <c r="I1064" s="1">
        <f t="shared" si="22"/>
        <v>2025</v>
      </c>
      <c r="J1064" s="4"/>
      <c r="K1064" s="1" t="s">
        <v>87</v>
      </c>
    </row>
    <row r="1065" spans="1:11">
      <c r="A1065" s="1" t="s">
        <v>349</v>
      </c>
      <c r="B1065" s="7">
        <v>45902</v>
      </c>
      <c r="C1065" s="1" t="s">
        <v>12</v>
      </c>
      <c r="D1065" s="1">
        <v>9603623</v>
      </c>
      <c r="E1065" s="4">
        <f t="shared" si="23"/>
        <v>22687.394957983193</v>
      </c>
      <c r="F1065" s="4">
        <f t="shared" si="24"/>
        <v>4310.6050420168067</v>
      </c>
      <c r="G1065" s="4">
        <v>26998</v>
      </c>
      <c r="H1065" s="1">
        <f t="shared" si="21"/>
        <v>9</v>
      </c>
      <c r="I1065" s="1">
        <f t="shared" si="22"/>
        <v>2025</v>
      </c>
      <c r="J1065" s="4"/>
      <c r="K1065" s="1" t="s">
        <v>87</v>
      </c>
    </row>
    <row r="1066" spans="1:11">
      <c r="A1066" s="1" t="s">
        <v>373</v>
      </c>
      <c r="B1066" s="7">
        <v>45903</v>
      </c>
      <c r="C1066" s="1" t="s">
        <v>12</v>
      </c>
      <c r="D1066" s="1">
        <v>1583</v>
      </c>
      <c r="E1066" s="4">
        <f t="shared" si="23"/>
        <v>7478.9915966386561</v>
      </c>
      <c r="F1066" s="4">
        <f t="shared" si="24"/>
        <v>1421.0084033613448</v>
      </c>
      <c r="G1066" s="4">
        <v>8900</v>
      </c>
      <c r="H1066" s="1">
        <f t="shared" si="21"/>
        <v>9</v>
      </c>
      <c r="I1066" s="1">
        <f t="shared" si="22"/>
        <v>2025</v>
      </c>
      <c r="J1066" s="4"/>
      <c r="K1066" s="1" t="s">
        <v>87</v>
      </c>
    </row>
    <row r="1067" spans="1:11">
      <c r="A1067" s="1" t="s">
        <v>373</v>
      </c>
      <c r="B1067" s="7">
        <v>45904</v>
      </c>
      <c r="C1067" s="1" t="s">
        <v>12</v>
      </c>
      <c r="D1067" s="1">
        <v>1588</v>
      </c>
      <c r="E1067" s="4">
        <f t="shared" si="23"/>
        <v>16722.689075630253</v>
      </c>
      <c r="F1067" s="4">
        <f t="shared" si="24"/>
        <v>3177.3109243697481</v>
      </c>
      <c r="G1067" s="4">
        <v>19900</v>
      </c>
      <c r="H1067" s="1">
        <f t="shared" si="21"/>
        <v>9</v>
      </c>
      <c r="I1067" s="1">
        <f t="shared" si="22"/>
        <v>2025</v>
      </c>
      <c r="J1067" s="4"/>
      <c r="K1067" s="1" t="s">
        <v>87</v>
      </c>
    </row>
    <row r="1068" spans="1:11">
      <c r="A1068" s="1" t="s">
        <v>291</v>
      </c>
      <c r="B1068" s="7">
        <v>45904</v>
      </c>
      <c r="C1068" s="1" t="s">
        <v>12</v>
      </c>
      <c r="D1068" s="1">
        <v>13497</v>
      </c>
      <c r="E1068" s="4">
        <f t="shared" si="23"/>
        <v>5462.1848739495799</v>
      </c>
      <c r="F1068" s="4">
        <f t="shared" si="24"/>
        <v>1037.8151260504203</v>
      </c>
      <c r="G1068" s="4">
        <v>6500</v>
      </c>
      <c r="H1068" s="1">
        <f t="shared" si="21"/>
        <v>9</v>
      </c>
      <c r="I1068" s="1">
        <f t="shared" si="22"/>
        <v>2025</v>
      </c>
      <c r="J1068" s="4"/>
      <c r="K1068" s="1" t="s">
        <v>87</v>
      </c>
    </row>
    <row r="1069" spans="1:11">
      <c r="A1069" s="1" t="s">
        <v>236</v>
      </c>
      <c r="B1069" s="7">
        <v>45904</v>
      </c>
      <c r="C1069" s="1" t="s">
        <v>12</v>
      </c>
      <c r="D1069" s="1">
        <v>50940</v>
      </c>
      <c r="E1069" s="4">
        <f t="shared" si="23"/>
        <v>5798.3193277310929</v>
      </c>
      <c r="F1069" s="4">
        <f t="shared" si="24"/>
        <v>1101.6806722689078</v>
      </c>
      <c r="G1069" s="4">
        <v>6900</v>
      </c>
      <c r="H1069" s="1">
        <f t="shared" si="21"/>
        <v>9</v>
      </c>
      <c r="I1069" s="1">
        <f t="shared" si="22"/>
        <v>2025</v>
      </c>
      <c r="J1069" s="4"/>
      <c r="K1069" s="1" t="s">
        <v>87</v>
      </c>
    </row>
    <row r="1070" spans="1:11">
      <c r="A1070" s="1" t="s">
        <v>389</v>
      </c>
      <c r="B1070" s="7">
        <v>45905</v>
      </c>
      <c r="C1070" s="1" t="s">
        <v>12</v>
      </c>
      <c r="D1070" s="1">
        <v>593908</v>
      </c>
      <c r="E1070" s="4">
        <f t="shared" si="23"/>
        <v>250963.02521008404</v>
      </c>
      <c r="F1070" s="4">
        <f t="shared" si="24"/>
        <v>47682.97478991597</v>
      </c>
      <c r="G1070" s="4">
        <v>298646</v>
      </c>
      <c r="H1070" s="1">
        <f t="shared" si="21"/>
        <v>9</v>
      </c>
      <c r="I1070" s="1">
        <f t="shared" si="22"/>
        <v>2025</v>
      </c>
      <c r="J1070" s="4"/>
      <c r="K1070" s="1" t="s">
        <v>87</v>
      </c>
    </row>
    <row r="1071" spans="1:11">
      <c r="A1071" s="1" t="s">
        <v>349</v>
      </c>
      <c r="B1071" s="7">
        <v>45906</v>
      </c>
      <c r="C1071" s="1" t="s">
        <v>12</v>
      </c>
      <c r="D1071" s="1">
        <v>9861244</v>
      </c>
      <c r="E1071" s="4">
        <f t="shared" si="23"/>
        <v>20188.235294117647</v>
      </c>
      <c r="F1071" s="4">
        <f t="shared" si="24"/>
        <v>3835.7647058823532</v>
      </c>
      <c r="G1071" s="4">
        <v>24024</v>
      </c>
      <c r="H1071" s="1">
        <f t="shared" si="21"/>
        <v>9</v>
      </c>
      <c r="I1071" s="1">
        <f t="shared" si="22"/>
        <v>2025</v>
      </c>
      <c r="J1071" s="4"/>
      <c r="K1071" s="1" t="s">
        <v>87</v>
      </c>
    </row>
    <row r="1072" spans="1:11">
      <c r="A1072" s="1" t="s">
        <v>202</v>
      </c>
      <c r="B1072" s="7">
        <v>45908</v>
      </c>
      <c r="C1072" s="1" t="s">
        <v>12</v>
      </c>
      <c r="D1072" s="1">
        <v>2637252</v>
      </c>
      <c r="E1072" s="4">
        <f t="shared" si="23"/>
        <v>1150.420168067227</v>
      </c>
      <c r="F1072" s="4">
        <f t="shared" si="24"/>
        <v>218.57983193277312</v>
      </c>
      <c r="G1072" s="4">
        <v>1369</v>
      </c>
      <c r="H1072" s="1">
        <f t="shared" si="21"/>
        <v>9</v>
      </c>
      <c r="I1072" s="1">
        <f t="shared" si="22"/>
        <v>2025</v>
      </c>
      <c r="J1072" s="4"/>
      <c r="K1072" s="1" t="s">
        <v>87</v>
      </c>
    </row>
    <row r="1073" spans="1:11">
      <c r="A1073" s="1" t="s">
        <v>373</v>
      </c>
      <c r="B1073" s="7">
        <v>45909</v>
      </c>
      <c r="C1073" s="1" t="s">
        <v>12</v>
      </c>
      <c r="D1073" s="1">
        <v>1602</v>
      </c>
      <c r="E1073" s="4">
        <f t="shared" si="23"/>
        <v>84033.613445378156</v>
      </c>
      <c r="F1073" s="4">
        <f t="shared" si="24"/>
        <v>15966.386554621849</v>
      </c>
      <c r="G1073" s="4">
        <v>100000</v>
      </c>
      <c r="H1073" s="1">
        <f t="shared" si="21"/>
        <v>9</v>
      </c>
      <c r="I1073" s="1">
        <f t="shared" si="22"/>
        <v>2025</v>
      </c>
      <c r="J1073" s="4"/>
      <c r="K1073" s="1" t="s">
        <v>87</v>
      </c>
    </row>
    <row r="1074" spans="1:11">
      <c r="A1074" s="1" t="s">
        <v>373</v>
      </c>
      <c r="B1074" s="7">
        <v>45909</v>
      </c>
      <c r="C1074" s="1" t="s">
        <v>12</v>
      </c>
      <c r="D1074" s="1">
        <v>1604</v>
      </c>
      <c r="E1074" s="4">
        <f t="shared" si="23"/>
        <v>4957.9831932773113</v>
      </c>
      <c r="F1074" s="4">
        <f t="shared" si="24"/>
        <v>942.01680672268913</v>
      </c>
      <c r="G1074" s="4">
        <v>5900</v>
      </c>
      <c r="H1074" s="1">
        <f t="shared" si="21"/>
        <v>9</v>
      </c>
      <c r="I1074" s="1">
        <f t="shared" si="22"/>
        <v>2025</v>
      </c>
      <c r="J1074" s="4"/>
      <c r="K1074" s="1" t="s">
        <v>87</v>
      </c>
    </row>
    <row r="1075" spans="1:11">
      <c r="A1075" s="1" t="s">
        <v>373</v>
      </c>
      <c r="B1075" s="7">
        <v>45912</v>
      </c>
      <c r="C1075" s="1" t="s">
        <v>12</v>
      </c>
      <c r="D1075" s="1">
        <v>1613</v>
      </c>
      <c r="E1075" s="4">
        <f t="shared" si="23"/>
        <v>4117.6470588235297</v>
      </c>
      <c r="F1075" s="4">
        <f t="shared" si="24"/>
        <v>782.35294117647061</v>
      </c>
      <c r="G1075" s="4">
        <v>4900</v>
      </c>
      <c r="H1075" s="1">
        <f t="shared" si="21"/>
        <v>9</v>
      </c>
      <c r="I1075" s="1">
        <f t="shared" si="22"/>
        <v>2025</v>
      </c>
      <c r="J1075" s="4"/>
      <c r="K1075" s="1" t="s">
        <v>87</v>
      </c>
    </row>
    <row r="1076" spans="1:11">
      <c r="A1076" s="1" t="s">
        <v>203</v>
      </c>
      <c r="B1076" s="7">
        <v>45917</v>
      </c>
      <c r="C1076" s="1" t="s">
        <v>12</v>
      </c>
      <c r="D1076" s="1">
        <v>44949219</v>
      </c>
      <c r="E1076" s="4">
        <f t="shared" si="23"/>
        <v>26370.588235294119</v>
      </c>
      <c r="F1076" s="4">
        <f t="shared" si="24"/>
        <v>5010.4117647058829</v>
      </c>
      <c r="G1076" s="4">
        <v>31381</v>
      </c>
      <c r="H1076" s="1">
        <f t="shared" si="21"/>
        <v>9</v>
      </c>
      <c r="I1076" s="1">
        <f t="shared" si="22"/>
        <v>2025</v>
      </c>
      <c r="J1076" s="4"/>
      <c r="K1076" s="1" t="s">
        <v>87</v>
      </c>
    </row>
    <row r="1077" spans="1:11">
      <c r="A1077" s="1" t="s">
        <v>373</v>
      </c>
      <c r="B1077" s="7">
        <v>45923</v>
      </c>
      <c r="C1077" s="1" t="s">
        <v>12</v>
      </c>
      <c r="D1077" s="1">
        <v>1633</v>
      </c>
      <c r="E1077" s="4">
        <f t="shared" si="23"/>
        <v>20588.235294117647</v>
      </c>
      <c r="F1077" s="4">
        <f t="shared" si="24"/>
        <v>3911.7647058823532</v>
      </c>
      <c r="G1077" s="4">
        <v>24500</v>
      </c>
      <c r="H1077" s="1">
        <f t="shared" si="21"/>
        <v>9</v>
      </c>
      <c r="I1077" s="1">
        <f t="shared" si="22"/>
        <v>2025</v>
      </c>
      <c r="J1077" s="4"/>
      <c r="K1077" s="1" t="s">
        <v>87</v>
      </c>
    </row>
    <row r="1078" spans="1:11">
      <c r="A1078" s="1" t="s">
        <v>373</v>
      </c>
      <c r="B1078" s="7">
        <v>45924</v>
      </c>
      <c r="C1078" s="1" t="s">
        <v>12</v>
      </c>
      <c r="D1078" s="1">
        <v>1639</v>
      </c>
      <c r="E1078" s="4">
        <f t="shared" si="23"/>
        <v>30168.067226890758</v>
      </c>
      <c r="F1078" s="4">
        <f t="shared" si="24"/>
        <v>5731.9327731092444</v>
      </c>
      <c r="G1078" s="4">
        <v>35900</v>
      </c>
      <c r="H1078" s="1">
        <f t="shared" ref="H1078:H1152" si="25">MONTH(B1078)</f>
        <v>9</v>
      </c>
      <c r="I1078" s="1">
        <f t="shared" ref="I1078:I1152" si="26">YEAR(B1078)</f>
        <v>2025</v>
      </c>
      <c r="J1078" s="4"/>
      <c r="K1078" s="1" t="s">
        <v>87</v>
      </c>
    </row>
    <row r="1079" spans="1:11">
      <c r="A1079" s="1" t="s">
        <v>373</v>
      </c>
      <c r="B1079" s="7">
        <v>45925</v>
      </c>
      <c r="C1079" s="1" t="s">
        <v>12</v>
      </c>
      <c r="D1079" s="1">
        <v>1641</v>
      </c>
      <c r="E1079" s="4">
        <f t="shared" si="23"/>
        <v>7983.1932773109247</v>
      </c>
      <c r="F1079" s="4">
        <f t="shared" si="24"/>
        <v>1516.8067226890757</v>
      </c>
      <c r="G1079" s="4">
        <v>9500</v>
      </c>
      <c r="H1079" s="1">
        <f t="shared" si="25"/>
        <v>9</v>
      </c>
      <c r="I1079" s="1">
        <f t="shared" si="26"/>
        <v>2025</v>
      </c>
      <c r="J1079" s="4"/>
      <c r="K1079" s="1" t="s">
        <v>87</v>
      </c>
    </row>
    <row r="1080" spans="1:11">
      <c r="A1080" s="1" t="s">
        <v>373</v>
      </c>
      <c r="B1080" s="7">
        <v>45926</v>
      </c>
      <c r="C1080" s="1" t="s">
        <v>12</v>
      </c>
      <c r="D1080" s="1">
        <v>1646</v>
      </c>
      <c r="E1080" s="4">
        <f t="shared" si="23"/>
        <v>4117.6470588235297</v>
      </c>
      <c r="F1080" s="4">
        <f t="shared" si="24"/>
        <v>782.35294117647061</v>
      </c>
      <c r="G1080" s="4">
        <v>4900</v>
      </c>
      <c r="H1080" s="1">
        <f t="shared" si="25"/>
        <v>9</v>
      </c>
      <c r="I1080" s="1">
        <f t="shared" si="26"/>
        <v>2025</v>
      </c>
      <c r="J1080" s="4"/>
      <c r="K1080" s="1" t="s">
        <v>87</v>
      </c>
    </row>
    <row r="1081" spans="1:11">
      <c r="A1081" s="1" t="s">
        <v>166</v>
      </c>
      <c r="B1081" s="7">
        <v>45928</v>
      </c>
      <c r="C1081" s="1" t="s">
        <v>12</v>
      </c>
      <c r="D1081" s="1">
        <v>104935</v>
      </c>
      <c r="E1081" s="4">
        <f t="shared" si="23"/>
        <v>13272.268907563026</v>
      </c>
      <c r="F1081" s="4">
        <f t="shared" si="24"/>
        <v>2521.7310924369749</v>
      </c>
      <c r="G1081" s="4">
        <v>15794</v>
      </c>
      <c r="H1081" s="1">
        <f t="shared" si="25"/>
        <v>9</v>
      </c>
      <c r="I1081" s="1">
        <f t="shared" si="26"/>
        <v>2025</v>
      </c>
      <c r="J1081" s="4"/>
      <c r="K1081" s="1" t="s">
        <v>87</v>
      </c>
    </row>
    <row r="1082" spans="1:11">
      <c r="A1082" s="1" t="s">
        <v>435</v>
      </c>
      <c r="B1082" s="7">
        <v>45930</v>
      </c>
      <c r="C1082" s="1" t="s">
        <v>12</v>
      </c>
      <c r="D1082" s="1">
        <v>1143680</v>
      </c>
      <c r="E1082" s="4">
        <f t="shared" si="23"/>
        <v>1910.0840336134454</v>
      </c>
      <c r="F1082" s="4">
        <f t="shared" si="24"/>
        <v>362.91596638655466</v>
      </c>
      <c r="G1082" s="4">
        <v>2273</v>
      </c>
      <c r="H1082" s="1">
        <f t="shared" si="25"/>
        <v>9</v>
      </c>
      <c r="I1082" s="1">
        <f t="shared" si="26"/>
        <v>2025</v>
      </c>
      <c r="J1082" s="4"/>
      <c r="K1082" s="1" t="s">
        <v>87</v>
      </c>
    </row>
    <row r="1083" spans="1:11">
      <c r="A1083" s="1" t="s">
        <v>435</v>
      </c>
      <c r="B1083" s="7">
        <v>45930</v>
      </c>
      <c r="C1083" s="1" t="s">
        <v>12</v>
      </c>
      <c r="D1083" s="1">
        <v>1143681</v>
      </c>
      <c r="E1083" s="4">
        <f t="shared" si="23"/>
        <v>2199.1596638655465</v>
      </c>
      <c r="F1083" s="4">
        <f t="shared" si="24"/>
        <v>417.84033613445382</v>
      </c>
      <c r="G1083" s="4">
        <v>2617</v>
      </c>
      <c r="H1083" s="1">
        <f t="shared" si="25"/>
        <v>9</v>
      </c>
      <c r="I1083" s="1">
        <f t="shared" si="26"/>
        <v>2025</v>
      </c>
      <c r="J1083" s="4"/>
      <c r="K1083" s="1" t="s">
        <v>87</v>
      </c>
    </row>
    <row r="1084" spans="1:11">
      <c r="A1084" s="1" t="s">
        <v>373</v>
      </c>
      <c r="B1084" s="7">
        <v>45932</v>
      </c>
      <c r="C1084" s="1" t="s">
        <v>12</v>
      </c>
      <c r="D1084" s="1">
        <v>1664</v>
      </c>
      <c r="E1084" s="4">
        <f t="shared" si="23"/>
        <v>9579.8319327731097</v>
      </c>
      <c r="F1084" s="4">
        <f t="shared" si="24"/>
        <v>1820.1680672268908</v>
      </c>
      <c r="G1084" s="4">
        <v>11400</v>
      </c>
      <c r="H1084" s="1">
        <f t="shared" si="25"/>
        <v>10</v>
      </c>
      <c r="I1084" s="1">
        <f t="shared" si="26"/>
        <v>2025</v>
      </c>
      <c r="J1084" s="4"/>
      <c r="K1084" s="1" t="s">
        <v>87</v>
      </c>
    </row>
    <row r="1085" spans="1:11">
      <c r="A1085" s="1" t="s">
        <v>373</v>
      </c>
      <c r="B1085" s="7">
        <v>45932</v>
      </c>
      <c r="C1085" s="1" t="s">
        <v>12</v>
      </c>
      <c r="D1085" s="1">
        <v>1665</v>
      </c>
      <c r="E1085" s="4">
        <f t="shared" si="23"/>
        <v>96638.655462184877</v>
      </c>
      <c r="F1085" s="4">
        <f t="shared" si="24"/>
        <v>18361.344537815126</v>
      </c>
      <c r="G1085" s="4">
        <v>115000</v>
      </c>
      <c r="H1085" s="1">
        <f t="shared" si="25"/>
        <v>10</v>
      </c>
      <c r="I1085" s="1">
        <f t="shared" si="26"/>
        <v>2025</v>
      </c>
      <c r="J1085" s="4"/>
      <c r="K1085" s="1" t="s">
        <v>87</v>
      </c>
    </row>
    <row r="1086" spans="1:11">
      <c r="A1086" s="1" t="s">
        <v>373</v>
      </c>
      <c r="B1086" s="7">
        <v>45933</v>
      </c>
      <c r="C1086" s="1" t="s">
        <v>12</v>
      </c>
      <c r="D1086" s="1">
        <v>1668</v>
      </c>
      <c r="E1086" s="4">
        <f t="shared" si="23"/>
        <v>36133.613445378156</v>
      </c>
      <c r="F1086" s="4">
        <f t="shared" si="24"/>
        <v>6865.3865546218494</v>
      </c>
      <c r="G1086" s="4">
        <v>42999</v>
      </c>
      <c r="H1086" s="1">
        <f t="shared" si="25"/>
        <v>10</v>
      </c>
      <c r="I1086" s="1">
        <f t="shared" si="26"/>
        <v>2025</v>
      </c>
      <c r="J1086" s="4"/>
      <c r="K1086" s="1" t="s">
        <v>87</v>
      </c>
    </row>
    <row r="1087" spans="1:11">
      <c r="A1087" s="1" t="s">
        <v>373</v>
      </c>
      <c r="B1087" s="7">
        <v>45936</v>
      </c>
      <c r="C1087" s="1" t="s">
        <v>12</v>
      </c>
      <c r="D1087" s="1">
        <v>1678</v>
      </c>
      <c r="E1087" s="4">
        <f t="shared" si="23"/>
        <v>11596.638655462186</v>
      </c>
      <c r="F1087" s="4">
        <f t="shared" si="24"/>
        <v>2203.3613445378155</v>
      </c>
      <c r="G1087" s="4">
        <v>13800</v>
      </c>
      <c r="H1087" s="1">
        <f t="shared" si="25"/>
        <v>10</v>
      </c>
      <c r="I1087" s="1">
        <f t="shared" si="26"/>
        <v>2025</v>
      </c>
      <c r="J1087" s="4"/>
      <c r="K1087" s="1" t="s">
        <v>87</v>
      </c>
    </row>
    <row r="1088" spans="1:11">
      <c r="A1088" s="1" t="s">
        <v>14</v>
      </c>
      <c r="B1088" s="7">
        <v>45937</v>
      </c>
      <c r="C1088" s="1" t="s">
        <v>12</v>
      </c>
      <c r="D1088" s="1">
        <v>58671</v>
      </c>
      <c r="E1088" s="4">
        <f t="shared" si="23"/>
        <v>183900</v>
      </c>
      <c r="F1088" s="4">
        <f t="shared" si="24"/>
        <v>34941</v>
      </c>
      <c r="G1088" s="4">
        <v>218841</v>
      </c>
      <c r="H1088" s="1">
        <f t="shared" si="25"/>
        <v>10</v>
      </c>
      <c r="I1088" s="1">
        <f t="shared" si="26"/>
        <v>2025</v>
      </c>
      <c r="J1088" s="4"/>
      <c r="K1088" s="1" t="s">
        <v>87</v>
      </c>
    </row>
    <row r="1089" spans="1:11">
      <c r="A1089" s="1" t="s">
        <v>373</v>
      </c>
      <c r="B1089" s="7">
        <v>45937</v>
      </c>
      <c r="C1089" s="1" t="s">
        <v>12</v>
      </c>
      <c r="D1089" s="1">
        <v>1682</v>
      </c>
      <c r="E1089" s="4">
        <f t="shared" si="23"/>
        <v>2941.1764705882356</v>
      </c>
      <c r="F1089" s="4">
        <f t="shared" si="24"/>
        <v>558.82352941176475</v>
      </c>
      <c r="G1089" s="4">
        <v>3500</v>
      </c>
      <c r="H1089" s="1">
        <f t="shared" si="25"/>
        <v>10</v>
      </c>
      <c r="I1089" s="1">
        <f t="shared" si="26"/>
        <v>2025</v>
      </c>
      <c r="J1089" s="4"/>
      <c r="K1089" s="1" t="s">
        <v>87</v>
      </c>
    </row>
    <row r="1090" spans="1:11">
      <c r="A1090" s="1" t="s">
        <v>103</v>
      </c>
      <c r="B1090" s="7">
        <v>45940</v>
      </c>
      <c r="C1090" s="1" t="s">
        <v>12</v>
      </c>
      <c r="D1090" s="1">
        <v>400867</v>
      </c>
      <c r="E1090" s="4">
        <f t="shared" si="23"/>
        <v>38894.957983193279</v>
      </c>
      <c r="F1090" s="4">
        <f t="shared" si="24"/>
        <v>7390.042016806723</v>
      </c>
      <c r="G1090" s="4">
        <v>46285</v>
      </c>
      <c r="H1090" s="1">
        <f t="shared" si="25"/>
        <v>10</v>
      </c>
      <c r="I1090" s="1">
        <f t="shared" si="26"/>
        <v>2025</v>
      </c>
      <c r="J1090" s="4"/>
      <c r="K1090" s="1" t="s">
        <v>87</v>
      </c>
    </row>
    <row r="1091" spans="1:11">
      <c r="A1091" s="1" t="s">
        <v>103</v>
      </c>
      <c r="B1091" s="7">
        <v>45940</v>
      </c>
      <c r="C1091" s="1" t="s">
        <v>12</v>
      </c>
      <c r="D1091" s="1">
        <v>400866</v>
      </c>
      <c r="E1091" s="4">
        <f t="shared" si="23"/>
        <v>199209.24369747899</v>
      </c>
      <c r="F1091" s="4">
        <f t="shared" si="24"/>
        <v>37849.756302521011</v>
      </c>
      <c r="G1091" s="4">
        <v>237059</v>
      </c>
      <c r="H1091" s="1">
        <f t="shared" si="25"/>
        <v>10</v>
      </c>
      <c r="I1091" s="1">
        <f t="shared" si="26"/>
        <v>2025</v>
      </c>
      <c r="J1091" s="4"/>
      <c r="K1091" s="1" t="s">
        <v>87</v>
      </c>
    </row>
    <row r="1092" spans="1:11">
      <c r="A1092" s="1" t="s">
        <v>389</v>
      </c>
      <c r="B1092" s="7">
        <v>45940</v>
      </c>
      <c r="C1092" s="1" t="s">
        <v>12</v>
      </c>
      <c r="D1092" s="1">
        <v>599519</v>
      </c>
      <c r="E1092" s="4">
        <f t="shared" si="23"/>
        <v>231301.68067226891</v>
      </c>
      <c r="F1092" s="4">
        <f t="shared" si="24"/>
        <v>43947.319327731093</v>
      </c>
      <c r="G1092" s="4">
        <v>275249</v>
      </c>
      <c r="H1092" s="1">
        <f t="shared" si="25"/>
        <v>10</v>
      </c>
      <c r="I1092" s="1">
        <f t="shared" si="26"/>
        <v>2025</v>
      </c>
      <c r="J1092" s="4"/>
      <c r="K1092" s="1" t="s">
        <v>87</v>
      </c>
    </row>
    <row r="1093" spans="1:11">
      <c r="A1093" s="1" t="s">
        <v>28</v>
      </c>
      <c r="B1093" s="7">
        <v>45941</v>
      </c>
      <c r="C1093" s="1" t="s">
        <v>12</v>
      </c>
      <c r="D1093" s="1">
        <v>1172225</v>
      </c>
      <c r="E1093" s="4">
        <f t="shared" si="23"/>
        <v>14352.941176470589</v>
      </c>
      <c r="F1093" s="4">
        <f t="shared" si="24"/>
        <v>2727.0588235294122</v>
      </c>
      <c r="G1093" s="4">
        <v>17080</v>
      </c>
      <c r="H1093" s="1">
        <f t="shared" si="25"/>
        <v>10</v>
      </c>
      <c r="I1093" s="1">
        <f t="shared" si="26"/>
        <v>2025</v>
      </c>
      <c r="J1093" s="4"/>
      <c r="K1093" s="1" t="s">
        <v>87</v>
      </c>
    </row>
    <row r="1094" spans="1:11">
      <c r="A1094" s="1" t="s">
        <v>373</v>
      </c>
      <c r="B1094" s="7">
        <v>45944</v>
      </c>
      <c r="C1094" s="1" t="s">
        <v>12</v>
      </c>
      <c r="D1094" s="1">
        <v>1703</v>
      </c>
      <c r="E1094" s="4">
        <f t="shared" si="23"/>
        <v>5798.3193277310929</v>
      </c>
      <c r="F1094" s="4">
        <f t="shared" si="24"/>
        <v>1101.6806722689078</v>
      </c>
      <c r="G1094" s="4">
        <v>6900</v>
      </c>
      <c r="H1094" s="1">
        <f t="shared" si="25"/>
        <v>10</v>
      </c>
      <c r="I1094" s="1">
        <f t="shared" si="26"/>
        <v>2025</v>
      </c>
      <c r="J1094" s="4"/>
      <c r="K1094" s="1" t="s">
        <v>87</v>
      </c>
    </row>
    <row r="1095" spans="1:11">
      <c r="A1095" s="1" t="s">
        <v>373</v>
      </c>
      <c r="B1095" s="7">
        <v>45944</v>
      </c>
      <c r="C1095" s="1" t="s">
        <v>12</v>
      </c>
      <c r="D1095" s="1">
        <v>1704</v>
      </c>
      <c r="E1095" s="4">
        <f t="shared" si="23"/>
        <v>4621.8487394957983</v>
      </c>
      <c r="F1095" s="4">
        <f t="shared" si="24"/>
        <v>878.15126050420167</v>
      </c>
      <c r="G1095" s="4">
        <v>5500</v>
      </c>
      <c r="H1095" s="1">
        <f t="shared" si="25"/>
        <v>10</v>
      </c>
      <c r="I1095" s="1">
        <f t="shared" si="26"/>
        <v>2025</v>
      </c>
      <c r="J1095" s="4"/>
      <c r="K1095" s="1" t="s">
        <v>87</v>
      </c>
    </row>
    <row r="1096" spans="1:11">
      <c r="A1096" s="1" t="s">
        <v>373</v>
      </c>
      <c r="B1096" s="7">
        <v>45945</v>
      </c>
      <c r="C1096" s="1" t="s">
        <v>12</v>
      </c>
      <c r="D1096" s="1">
        <v>1707</v>
      </c>
      <c r="E1096" s="4">
        <f t="shared" si="23"/>
        <v>31848.73949579832</v>
      </c>
      <c r="F1096" s="4">
        <f t="shared" si="24"/>
        <v>6051.2605042016812</v>
      </c>
      <c r="G1096" s="4">
        <v>37900</v>
      </c>
      <c r="H1096" s="1">
        <f t="shared" si="25"/>
        <v>10</v>
      </c>
      <c r="I1096" s="1">
        <f t="shared" si="26"/>
        <v>2025</v>
      </c>
      <c r="J1096" s="4"/>
      <c r="K1096" s="1" t="s">
        <v>87</v>
      </c>
    </row>
    <row r="1097" spans="1:11">
      <c r="A1097" s="1" t="s">
        <v>373</v>
      </c>
      <c r="B1097" s="7">
        <v>45946</v>
      </c>
      <c r="C1097" s="1" t="s">
        <v>12</v>
      </c>
      <c r="D1097" s="1">
        <v>1709</v>
      </c>
      <c r="E1097" s="4">
        <f t="shared" si="23"/>
        <v>22521.008403361346</v>
      </c>
      <c r="F1097" s="4">
        <f t="shared" si="24"/>
        <v>4278.9915966386561</v>
      </c>
      <c r="G1097" s="4">
        <v>26800</v>
      </c>
      <c r="H1097" s="1">
        <f t="shared" si="25"/>
        <v>10</v>
      </c>
      <c r="I1097" s="1">
        <f t="shared" si="26"/>
        <v>2025</v>
      </c>
      <c r="J1097" s="4"/>
      <c r="K1097" s="1" t="s">
        <v>87</v>
      </c>
    </row>
    <row r="1098" spans="1:11">
      <c r="A1098" s="1" t="s">
        <v>373</v>
      </c>
      <c r="B1098" s="7">
        <v>45947</v>
      </c>
      <c r="C1098" s="1" t="s">
        <v>12</v>
      </c>
      <c r="D1098" s="1">
        <v>1717</v>
      </c>
      <c r="E1098" s="4">
        <f t="shared" si="23"/>
        <v>25126.050420168067</v>
      </c>
      <c r="F1098" s="4">
        <f t="shared" si="24"/>
        <v>4773.9495798319331</v>
      </c>
      <c r="G1098" s="4">
        <v>29900</v>
      </c>
      <c r="H1098" s="1">
        <f t="shared" si="25"/>
        <v>10</v>
      </c>
      <c r="I1098" s="1">
        <f t="shared" si="26"/>
        <v>2025</v>
      </c>
      <c r="J1098" s="4"/>
      <c r="K1098" s="1" t="s">
        <v>87</v>
      </c>
    </row>
    <row r="1099" spans="1:11">
      <c r="A1099" s="1" t="s">
        <v>438</v>
      </c>
      <c r="B1099" s="7">
        <v>45950</v>
      </c>
      <c r="C1099" s="1" t="s">
        <v>12</v>
      </c>
      <c r="D1099" s="1">
        <v>16203</v>
      </c>
      <c r="E1099" s="4">
        <f t="shared" si="23"/>
        <v>7436.9747899159665</v>
      </c>
      <c r="F1099" s="4">
        <f t="shared" si="24"/>
        <v>1413.0252100840337</v>
      </c>
      <c r="G1099" s="4">
        <v>8850</v>
      </c>
      <c r="H1099" s="1">
        <f t="shared" si="25"/>
        <v>10</v>
      </c>
      <c r="I1099" s="1">
        <f t="shared" si="26"/>
        <v>2025</v>
      </c>
      <c r="J1099" s="4"/>
      <c r="K1099" s="1" t="s">
        <v>87</v>
      </c>
    </row>
    <row r="1100" spans="1:11">
      <c r="A1100" s="1" t="s">
        <v>349</v>
      </c>
      <c r="B1100" s="7">
        <v>45954</v>
      </c>
      <c r="C1100" s="1" t="s">
        <v>12</v>
      </c>
      <c r="D1100" s="1">
        <v>10455745</v>
      </c>
      <c r="E1100" s="4">
        <f t="shared" si="23"/>
        <v>27640.336134453784</v>
      </c>
      <c r="F1100" s="4">
        <f t="shared" si="24"/>
        <v>5251.6638655462193</v>
      </c>
      <c r="G1100" s="4">
        <v>32892</v>
      </c>
      <c r="H1100" s="1">
        <f t="shared" si="25"/>
        <v>10</v>
      </c>
      <c r="I1100" s="1">
        <f t="shared" si="26"/>
        <v>2025</v>
      </c>
      <c r="J1100" s="4"/>
      <c r="K1100" s="1" t="s">
        <v>87</v>
      </c>
    </row>
    <row r="1101" spans="1:11">
      <c r="A1101" s="1" t="s">
        <v>373</v>
      </c>
      <c r="B1101" s="7">
        <v>45954</v>
      </c>
      <c r="C1101" s="1" t="s">
        <v>12</v>
      </c>
      <c r="D1101" s="1">
        <v>1740</v>
      </c>
      <c r="E1101" s="4">
        <f t="shared" si="23"/>
        <v>13194.117647058823</v>
      </c>
      <c r="F1101" s="4">
        <f t="shared" si="24"/>
        <v>2506.8823529411766</v>
      </c>
      <c r="G1101" s="4">
        <v>15701</v>
      </c>
      <c r="H1101" s="1">
        <f t="shared" si="25"/>
        <v>10</v>
      </c>
      <c r="I1101" s="1">
        <f t="shared" si="26"/>
        <v>2025</v>
      </c>
      <c r="J1101" s="4"/>
      <c r="K1101" s="1" t="s">
        <v>87</v>
      </c>
    </row>
    <row r="1102" spans="1:11">
      <c r="A1102" s="1" t="s">
        <v>236</v>
      </c>
      <c r="B1102" s="7">
        <v>45954</v>
      </c>
      <c r="C1102" s="1" t="s">
        <v>12</v>
      </c>
      <c r="D1102" s="1">
        <v>52178</v>
      </c>
      <c r="E1102" s="4">
        <f t="shared" si="23"/>
        <v>4117.6470588235297</v>
      </c>
      <c r="F1102" s="4">
        <f t="shared" si="24"/>
        <v>782.35294117647061</v>
      </c>
      <c r="G1102" s="4">
        <v>4900</v>
      </c>
      <c r="H1102" s="1">
        <f t="shared" si="25"/>
        <v>10</v>
      </c>
      <c r="I1102" s="1">
        <f t="shared" si="26"/>
        <v>2025</v>
      </c>
      <c r="J1102" s="4"/>
      <c r="K1102" s="1" t="s">
        <v>87</v>
      </c>
    </row>
    <row r="1103" spans="1:11">
      <c r="A1103" s="1" t="s">
        <v>166</v>
      </c>
      <c r="B1103" s="7">
        <v>45958</v>
      </c>
      <c r="C1103" s="1" t="s">
        <v>12</v>
      </c>
      <c r="D1103" s="1">
        <v>107076</v>
      </c>
      <c r="E1103" s="4">
        <f t="shared" si="23"/>
        <v>13305.042016806723</v>
      </c>
      <c r="F1103" s="4">
        <f t="shared" si="24"/>
        <v>2527.9579831932774</v>
      </c>
      <c r="G1103" s="4">
        <v>15833</v>
      </c>
      <c r="H1103" s="1">
        <f t="shared" si="25"/>
        <v>10</v>
      </c>
      <c r="I1103" s="1">
        <f t="shared" si="26"/>
        <v>2025</v>
      </c>
      <c r="J1103" s="4"/>
      <c r="K1103" s="1" t="s">
        <v>87</v>
      </c>
    </row>
    <row r="1104" spans="1:11">
      <c r="A1104" s="1" t="s">
        <v>373</v>
      </c>
      <c r="B1104" s="7">
        <v>45958</v>
      </c>
      <c r="C1104" s="1" t="s">
        <v>12</v>
      </c>
      <c r="D1104" s="1">
        <v>1758</v>
      </c>
      <c r="E1104" s="4">
        <f t="shared" si="23"/>
        <v>8236.134453781513</v>
      </c>
      <c r="F1104" s="4">
        <f t="shared" si="24"/>
        <v>1564.8655462184875</v>
      </c>
      <c r="G1104" s="4">
        <v>9801</v>
      </c>
      <c r="H1104" s="1">
        <f t="shared" si="25"/>
        <v>10</v>
      </c>
      <c r="I1104" s="1">
        <f t="shared" si="26"/>
        <v>2025</v>
      </c>
      <c r="J1104" s="4"/>
      <c r="K1104" s="1" t="s">
        <v>87</v>
      </c>
    </row>
    <row r="1105" spans="1:13">
      <c r="A1105" s="1" t="s">
        <v>373</v>
      </c>
      <c r="B1105" s="7">
        <v>45960</v>
      </c>
      <c r="C1105" s="1" t="s">
        <v>12</v>
      </c>
      <c r="D1105" s="1">
        <v>1766</v>
      </c>
      <c r="E1105" s="4">
        <f t="shared" si="23"/>
        <v>45210.08403361345</v>
      </c>
      <c r="F1105" s="4">
        <f t="shared" si="24"/>
        <v>8589.9159663865557</v>
      </c>
      <c r="G1105" s="4">
        <v>53800</v>
      </c>
      <c r="H1105" s="1">
        <f t="shared" si="25"/>
        <v>10</v>
      </c>
      <c r="I1105" s="1">
        <f t="shared" si="26"/>
        <v>2025</v>
      </c>
      <c r="J1105" s="4"/>
      <c r="K1105" s="1" t="s">
        <v>87</v>
      </c>
    </row>
    <row r="1106" spans="1:13">
      <c r="A1106" s="1" t="s">
        <v>435</v>
      </c>
      <c r="B1106" s="7">
        <v>45961</v>
      </c>
      <c r="C1106" s="1" t="s">
        <v>12</v>
      </c>
      <c r="D1106" s="1">
        <v>1228361</v>
      </c>
      <c r="E1106" s="4">
        <f t="shared" si="23"/>
        <v>342.01680672268907</v>
      </c>
      <c r="F1106" s="4">
        <f t="shared" si="24"/>
        <v>64.983193277310917</v>
      </c>
      <c r="G1106" s="4">
        <v>407</v>
      </c>
      <c r="H1106" s="1">
        <f t="shared" si="25"/>
        <v>10</v>
      </c>
      <c r="I1106" s="1">
        <f t="shared" si="26"/>
        <v>2025</v>
      </c>
      <c r="J1106" s="4"/>
      <c r="K1106" s="1" t="s">
        <v>87</v>
      </c>
    </row>
    <row r="1107" spans="1:13">
      <c r="A1107" s="1" t="s">
        <v>435</v>
      </c>
      <c r="B1107" s="7">
        <v>45961</v>
      </c>
      <c r="C1107" s="1" t="s">
        <v>12</v>
      </c>
      <c r="D1107" s="1">
        <v>1228362</v>
      </c>
      <c r="E1107" s="4">
        <f t="shared" si="23"/>
        <v>1357.1428571428571</v>
      </c>
      <c r="F1107" s="4">
        <f t="shared" si="24"/>
        <v>257.85714285714283</v>
      </c>
      <c r="G1107" s="4">
        <v>1615</v>
      </c>
      <c r="H1107" s="1">
        <f t="shared" si="25"/>
        <v>10</v>
      </c>
      <c r="I1107" s="1">
        <f t="shared" si="26"/>
        <v>2025</v>
      </c>
      <c r="J1107" s="4"/>
      <c r="K1107" s="1" t="s">
        <v>87</v>
      </c>
    </row>
    <row r="1108" spans="1:13">
      <c r="A1108" s="1" t="s">
        <v>203</v>
      </c>
      <c r="B1108" s="7">
        <v>45958</v>
      </c>
      <c r="C1108" s="1" t="s">
        <v>12</v>
      </c>
      <c r="D1108" s="1">
        <v>45304435</v>
      </c>
      <c r="E1108" s="4">
        <f t="shared" si="23"/>
        <v>26454.621848739498</v>
      </c>
      <c r="F1108" s="4">
        <f t="shared" si="24"/>
        <v>5026.3781512605046</v>
      </c>
      <c r="G1108" s="4">
        <v>31481</v>
      </c>
      <c r="H1108" s="1">
        <f t="shared" si="25"/>
        <v>10</v>
      </c>
      <c r="I1108" s="1">
        <f t="shared" si="26"/>
        <v>2025</v>
      </c>
      <c r="J1108" s="4"/>
      <c r="K1108" s="1" t="s">
        <v>87</v>
      </c>
    </row>
    <row r="1109" spans="1:13">
      <c r="A1109" s="1" t="s">
        <v>349</v>
      </c>
      <c r="B1109" s="7">
        <v>45962</v>
      </c>
      <c r="C1109" s="1" t="s">
        <v>12</v>
      </c>
      <c r="D1109" s="1">
        <v>10674843</v>
      </c>
      <c r="E1109" s="4">
        <f t="shared" si="23"/>
        <v>8949.5798319327732</v>
      </c>
      <c r="F1109" s="4">
        <f t="shared" si="24"/>
        <v>1700.420168067227</v>
      </c>
      <c r="G1109" s="4">
        <v>10650</v>
      </c>
      <c r="H1109" s="1">
        <f t="shared" si="25"/>
        <v>11</v>
      </c>
      <c r="I1109" s="1">
        <f t="shared" si="26"/>
        <v>2025</v>
      </c>
      <c r="J1109" s="4"/>
      <c r="K1109" s="1" t="s">
        <v>87</v>
      </c>
    </row>
    <row r="1110" spans="1:13">
      <c r="A1110" s="1" t="s">
        <v>373</v>
      </c>
      <c r="B1110" s="7">
        <v>45965</v>
      </c>
      <c r="C1110" s="1" t="s">
        <v>12</v>
      </c>
      <c r="D1110" s="1">
        <v>1772</v>
      </c>
      <c r="E1110" s="4">
        <f t="shared" si="23"/>
        <v>6638.6554621848745</v>
      </c>
      <c r="F1110" s="4">
        <f t="shared" si="24"/>
        <v>1261.3445378151262</v>
      </c>
      <c r="G1110" s="4">
        <v>7900</v>
      </c>
      <c r="H1110" s="1">
        <f t="shared" si="25"/>
        <v>11</v>
      </c>
      <c r="I1110" s="1">
        <f t="shared" si="26"/>
        <v>2025</v>
      </c>
      <c r="J1110" s="4"/>
      <c r="K1110" s="1" t="s">
        <v>87</v>
      </c>
    </row>
    <row r="1111" spans="1:13">
      <c r="A1111" s="1" t="s">
        <v>439</v>
      </c>
      <c r="B1111" s="7">
        <v>45965</v>
      </c>
      <c r="C1111" s="1" t="s">
        <v>12</v>
      </c>
      <c r="D1111" s="1">
        <v>1143008</v>
      </c>
      <c r="E1111" s="4">
        <f t="shared" si="23"/>
        <v>0</v>
      </c>
      <c r="F1111" s="4">
        <f t="shared" si="24"/>
        <v>0</v>
      </c>
      <c r="G1111" s="4"/>
      <c r="H1111" s="1">
        <f t="shared" si="25"/>
        <v>11</v>
      </c>
      <c r="I1111" s="1">
        <f t="shared" si="26"/>
        <v>2025</v>
      </c>
      <c r="J1111" s="4"/>
      <c r="K1111" s="1" t="s">
        <v>87</v>
      </c>
      <c r="L1111" s="1">
        <v>19980</v>
      </c>
      <c r="M1111" s="1" t="s">
        <v>440</v>
      </c>
    </row>
    <row r="1112" spans="1:13">
      <c r="A1112" s="1" t="s">
        <v>349</v>
      </c>
      <c r="B1112" s="7">
        <v>45969</v>
      </c>
      <c r="C1112" s="1" t="s">
        <v>12</v>
      </c>
      <c r="D1112" s="1">
        <v>10826153</v>
      </c>
      <c r="E1112" s="4">
        <f t="shared" si="23"/>
        <v>17268.907563025212</v>
      </c>
      <c r="F1112" s="4">
        <f t="shared" si="24"/>
        <v>3281.0924369747904</v>
      </c>
      <c r="G1112" s="4">
        <v>20550</v>
      </c>
      <c r="H1112" s="1">
        <f t="shared" si="25"/>
        <v>11</v>
      </c>
      <c r="I1112" s="1">
        <f t="shared" si="26"/>
        <v>2025</v>
      </c>
      <c r="J1112" s="4"/>
      <c r="K1112" s="1" t="s">
        <v>87</v>
      </c>
    </row>
    <row r="1113" spans="1:13">
      <c r="A1113" s="1" t="s">
        <v>373</v>
      </c>
      <c r="B1113" s="7">
        <v>45971</v>
      </c>
      <c r="C1113" s="1" t="s">
        <v>12</v>
      </c>
      <c r="D1113" s="1">
        <v>1786</v>
      </c>
      <c r="E1113" s="4">
        <f t="shared" si="23"/>
        <v>29411.764705882353</v>
      </c>
      <c r="F1113" s="4">
        <f t="shared" si="24"/>
        <v>5588.2352941176468</v>
      </c>
      <c r="G1113" s="4">
        <v>35000</v>
      </c>
      <c r="H1113" s="1">
        <f t="shared" si="25"/>
        <v>11</v>
      </c>
      <c r="I1113" s="1">
        <f t="shared" si="26"/>
        <v>2025</v>
      </c>
      <c r="J1113" s="4"/>
      <c r="K1113" s="1" t="s">
        <v>87</v>
      </c>
    </row>
    <row r="1114" spans="1:13">
      <c r="A1114" s="1" t="s">
        <v>373</v>
      </c>
      <c r="B1114" s="7">
        <v>45972</v>
      </c>
      <c r="C1114" s="1" t="s">
        <v>12</v>
      </c>
      <c r="D1114" s="1">
        <v>1792</v>
      </c>
      <c r="E1114" s="4">
        <f t="shared" si="23"/>
        <v>33529.411764705881</v>
      </c>
      <c r="F1114" s="4">
        <f t="shared" si="24"/>
        <v>6370.5882352941171</v>
      </c>
      <c r="G1114" s="4">
        <v>39900</v>
      </c>
      <c r="H1114" s="1">
        <f t="shared" si="25"/>
        <v>11</v>
      </c>
      <c r="I1114" s="1">
        <f t="shared" si="26"/>
        <v>2025</v>
      </c>
      <c r="J1114" s="4"/>
      <c r="K1114" s="1" t="s">
        <v>87</v>
      </c>
    </row>
    <row r="1115" spans="1:13">
      <c r="A1115" s="1" t="s">
        <v>373</v>
      </c>
      <c r="B1115" s="7">
        <v>45975</v>
      </c>
      <c r="C1115" s="1" t="s">
        <v>12</v>
      </c>
      <c r="D1115" s="1">
        <v>1808</v>
      </c>
      <c r="E1115" s="4">
        <f t="shared" si="23"/>
        <v>7983.1932773109247</v>
      </c>
      <c r="F1115" s="4">
        <f t="shared" si="24"/>
        <v>1516.8067226890757</v>
      </c>
      <c r="G1115" s="4">
        <v>9500</v>
      </c>
      <c r="H1115" s="1">
        <f t="shared" si="25"/>
        <v>11</v>
      </c>
      <c r="I1115" s="1">
        <f t="shared" si="26"/>
        <v>2025</v>
      </c>
      <c r="J1115" s="4"/>
      <c r="K1115" s="1" t="s">
        <v>87</v>
      </c>
    </row>
    <row r="1116" spans="1:13">
      <c r="A1116" s="1" t="s">
        <v>373</v>
      </c>
      <c r="B1116" s="7">
        <v>45976</v>
      </c>
      <c r="C1116" s="1" t="s">
        <v>12</v>
      </c>
      <c r="D1116" s="1">
        <v>1810</v>
      </c>
      <c r="E1116" s="4">
        <f t="shared" si="23"/>
        <v>4621.8487394957983</v>
      </c>
      <c r="F1116" s="4">
        <f t="shared" si="24"/>
        <v>878.15126050420167</v>
      </c>
      <c r="G1116" s="4">
        <v>5500</v>
      </c>
      <c r="H1116" s="1">
        <f t="shared" si="25"/>
        <v>11</v>
      </c>
      <c r="I1116" s="1">
        <f t="shared" si="26"/>
        <v>2025</v>
      </c>
      <c r="J1116" s="4"/>
      <c r="K1116" s="1" t="s">
        <v>87</v>
      </c>
    </row>
    <row r="1117" spans="1:13">
      <c r="A1117" s="1" t="s">
        <v>373</v>
      </c>
      <c r="B1117" s="7">
        <v>45979</v>
      </c>
      <c r="C1117" s="1" t="s">
        <v>12</v>
      </c>
      <c r="D1117" s="1">
        <v>1821</v>
      </c>
      <c r="E1117" s="4">
        <f t="shared" si="23"/>
        <v>3277.3109243697481</v>
      </c>
      <c r="F1117" s="4">
        <f t="shared" si="24"/>
        <v>622.6890756302522</v>
      </c>
      <c r="G1117" s="4">
        <v>3900</v>
      </c>
      <c r="H1117" s="1">
        <f t="shared" si="25"/>
        <v>11</v>
      </c>
      <c r="I1117" s="1">
        <f t="shared" si="26"/>
        <v>2025</v>
      </c>
      <c r="J1117" s="4"/>
      <c r="K1117" s="1" t="s">
        <v>87</v>
      </c>
    </row>
    <row r="1118" spans="1:13">
      <c r="A1118" s="1" t="s">
        <v>401</v>
      </c>
      <c r="B1118" s="7">
        <v>45979</v>
      </c>
      <c r="C1118" s="1" t="s">
        <v>12</v>
      </c>
      <c r="D1118" s="1">
        <v>24200</v>
      </c>
      <c r="E1118" s="4">
        <f t="shared" si="23"/>
        <v>213511.76470588235</v>
      </c>
      <c r="F1118" s="4">
        <f t="shared" si="24"/>
        <v>40567.23529411765</v>
      </c>
      <c r="G1118" s="4">
        <v>254079</v>
      </c>
      <c r="H1118" s="1">
        <f t="shared" si="25"/>
        <v>11</v>
      </c>
      <c r="I1118" s="1">
        <f t="shared" si="26"/>
        <v>2025</v>
      </c>
      <c r="J1118" s="4"/>
      <c r="K1118" s="1" t="s">
        <v>87</v>
      </c>
    </row>
    <row r="1119" spans="1:13">
      <c r="A1119" s="1" t="s">
        <v>373</v>
      </c>
      <c r="B1119" s="7">
        <v>45982</v>
      </c>
      <c r="C1119" s="1" t="s">
        <v>12</v>
      </c>
      <c r="D1119" s="1">
        <v>1832</v>
      </c>
      <c r="E1119" s="4">
        <f t="shared" si="23"/>
        <v>43864.705882352944</v>
      </c>
      <c r="F1119" s="4">
        <f t="shared" si="24"/>
        <v>8334.2941176470595</v>
      </c>
      <c r="G1119" s="4">
        <v>52199</v>
      </c>
      <c r="H1119" s="1">
        <f t="shared" si="25"/>
        <v>11</v>
      </c>
      <c r="I1119" s="1">
        <f t="shared" si="26"/>
        <v>2025</v>
      </c>
      <c r="J1119" s="4"/>
      <c r="K1119" s="1" t="s">
        <v>87</v>
      </c>
    </row>
    <row r="1120" spans="1:13">
      <c r="A1120" s="1" t="s">
        <v>103</v>
      </c>
      <c r="B1120" s="7">
        <v>45982</v>
      </c>
      <c r="C1120" s="1" t="s">
        <v>12</v>
      </c>
      <c r="D1120" s="1">
        <v>406936</v>
      </c>
      <c r="E1120" s="4">
        <f t="shared" si="23"/>
        <v>65115.966386554624</v>
      </c>
      <c r="F1120" s="4">
        <f t="shared" si="24"/>
        <v>12372.033613445379</v>
      </c>
      <c r="G1120" s="4">
        <v>77488</v>
      </c>
      <c r="H1120" s="1">
        <f t="shared" si="25"/>
        <v>11</v>
      </c>
      <c r="I1120" s="1">
        <f t="shared" si="26"/>
        <v>2025</v>
      </c>
      <c r="J1120" s="4"/>
      <c r="K1120" s="1" t="s">
        <v>87</v>
      </c>
    </row>
    <row r="1121" spans="1:11">
      <c r="A1121" s="1" t="s">
        <v>103</v>
      </c>
      <c r="B1121" s="7">
        <v>45982</v>
      </c>
      <c r="C1121" s="1" t="s">
        <v>12</v>
      </c>
      <c r="D1121" s="1">
        <v>406935</v>
      </c>
      <c r="E1121" s="4">
        <f t="shared" si="23"/>
        <v>211933.61344537817</v>
      </c>
      <c r="F1121" s="4">
        <f t="shared" si="24"/>
        <v>40267.386554621851</v>
      </c>
      <c r="G1121" s="4">
        <v>252201</v>
      </c>
      <c r="H1121" s="1">
        <f t="shared" si="25"/>
        <v>11</v>
      </c>
      <c r="I1121" s="1">
        <f t="shared" si="26"/>
        <v>2025</v>
      </c>
      <c r="J1121" s="4"/>
      <c r="K1121" s="1" t="s">
        <v>87</v>
      </c>
    </row>
    <row r="1122" spans="1:11">
      <c r="A1122" s="1" t="s">
        <v>203</v>
      </c>
      <c r="B1122" s="7">
        <v>45982</v>
      </c>
      <c r="C1122" s="1" t="s">
        <v>12</v>
      </c>
      <c r="D1122" s="1">
        <v>45580749</v>
      </c>
      <c r="E1122" s="4">
        <f t="shared" si="23"/>
        <v>26526.89075630252</v>
      </c>
      <c r="F1122" s="4">
        <f t="shared" si="24"/>
        <v>5040.1092436974786</v>
      </c>
      <c r="G1122" s="4">
        <v>31567</v>
      </c>
      <c r="H1122" s="1">
        <f t="shared" si="25"/>
        <v>11</v>
      </c>
      <c r="I1122" s="1">
        <f t="shared" si="26"/>
        <v>2025</v>
      </c>
      <c r="J1122" s="4"/>
      <c r="K1122" s="1" t="s">
        <v>87</v>
      </c>
    </row>
    <row r="1123" spans="1:11">
      <c r="A1123" s="1" t="s">
        <v>402</v>
      </c>
      <c r="B1123" s="7">
        <v>45985</v>
      </c>
      <c r="C1123" s="1" t="s">
        <v>12</v>
      </c>
      <c r="D1123" s="1">
        <v>313770</v>
      </c>
      <c r="E1123" s="4">
        <f t="shared" si="23"/>
        <v>31946.218487394959</v>
      </c>
      <c r="F1123" s="4">
        <f t="shared" si="24"/>
        <v>6069.7815126050427</v>
      </c>
      <c r="G1123" s="4">
        <v>38016</v>
      </c>
      <c r="H1123" s="1">
        <f t="shared" si="25"/>
        <v>11</v>
      </c>
      <c r="I1123" s="1">
        <f t="shared" si="26"/>
        <v>2025</v>
      </c>
      <c r="J1123" s="4"/>
      <c r="K1123" s="1" t="s">
        <v>87</v>
      </c>
    </row>
    <row r="1124" spans="1:11">
      <c r="A1124" s="1" t="s">
        <v>28</v>
      </c>
      <c r="B1124" s="7">
        <v>45986</v>
      </c>
      <c r="C1124" s="1" t="s">
        <v>12</v>
      </c>
      <c r="D1124" s="1">
        <v>1194167</v>
      </c>
      <c r="E1124" s="4">
        <f t="shared" si="23"/>
        <v>15100.840336134455</v>
      </c>
      <c r="F1124" s="4">
        <f t="shared" si="24"/>
        <v>2869.1596638655465</v>
      </c>
      <c r="G1124" s="4">
        <v>17970</v>
      </c>
      <c r="H1124" s="1">
        <f t="shared" si="25"/>
        <v>11</v>
      </c>
      <c r="I1124" s="1">
        <f t="shared" si="26"/>
        <v>2025</v>
      </c>
      <c r="J1124" s="4"/>
      <c r="K1124" s="1" t="s">
        <v>87</v>
      </c>
    </row>
    <row r="1125" spans="1:11">
      <c r="A1125" s="1" t="s">
        <v>373</v>
      </c>
      <c r="B1125" s="7">
        <v>45986</v>
      </c>
      <c r="C1125" s="1" t="s">
        <v>12</v>
      </c>
      <c r="D1125" s="1">
        <v>1846</v>
      </c>
      <c r="E1125" s="4">
        <f t="shared" si="23"/>
        <v>66385.71428571429</v>
      </c>
      <c r="F1125" s="4">
        <f t="shared" si="24"/>
        <v>12613.285714285716</v>
      </c>
      <c r="G1125" s="4">
        <v>78999</v>
      </c>
      <c r="H1125" s="1">
        <f t="shared" si="25"/>
        <v>11</v>
      </c>
      <c r="I1125" s="1">
        <f t="shared" si="26"/>
        <v>2025</v>
      </c>
      <c r="J1125" s="4"/>
      <c r="K1125" s="1" t="s">
        <v>87</v>
      </c>
    </row>
    <row r="1126" spans="1:11">
      <c r="A1126" s="1" t="s">
        <v>166</v>
      </c>
      <c r="B1126" s="7">
        <v>45989</v>
      </c>
      <c r="C1126" s="1" t="s">
        <v>12</v>
      </c>
      <c r="D1126" s="1">
        <v>109198</v>
      </c>
      <c r="E1126" s="4">
        <f t="shared" si="23"/>
        <v>13326.050420168067</v>
      </c>
      <c r="F1126" s="4">
        <f t="shared" si="24"/>
        <v>2531.9495798319326</v>
      </c>
      <c r="G1126" s="4">
        <v>15858</v>
      </c>
      <c r="H1126" s="1">
        <f t="shared" si="25"/>
        <v>11</v>
      </c>
      <c r="I1126" s="1">
        <f t="shared" si="26"/>
        <v>2025</v>
      </c>
      <c r="J1126" s="4"/>
      <c r="K1126" s="1" t="s">
        <v>87</v>
      </c>
    </row>
    <row r="1127" spans="1:11">
      <c r="A1127" s="1" t="s">
        <v>435</v>
      </c>
      <c r="B1127" s="7">
        <v>45992</v>
      </c>
      <c r="C1127" s="1" t="s">
        <v>12</v>
      </c>
      <c r="D1127" s="1">
        <v>1284949</v>
      </c>
      <c r="E1127" s="4">
        <f t="shared" si="23"/>
        <v>2168.90756302521</v>
      </c>
      <c r="F1127" s="4">
        <f t="shared" si="24"/>
        <v>412.0924369747899</v>
      </c>
      <c r="G1127" s="4">
        <v>2581</v>
      </c>
      <c r="H1127" s="1">
        <f t="shared" si="25"/>
        <v>12</v>
      </c>
      <c r="I1127" s="1">
        <f t="shared" si="26"/>
        <v>2025</v>
      </c>
      <c r="J1127" s="4"/>
      <c r="K1127" s="1" t="s">
        <v>87</v>
      </c>
    </row>
    <row r="1128" spans="1:11">
      <c r="A1128" s="1" t="s">
        <v>349</v>
      </c>
      <c r="B1128" s="7">
        <v>45993</v>
      </c>
      <c r="C1128" s="1" t="s">
        <v>12</v>
      </c>
      <c r="D1128" s="1">
        <v>10711710</v>
      </c>
      <c r="E1128" s="4">
        <f t="shared" si="23"/>
        <v>17035.294117647059</v>
      </c>
      <c r="F1128" s="4">
        <f t="shared" si="24"/>
        <v>3236.7058823529414</v>
      </c>
      <c r="G1128" s="4">
        <v>20272</v>
      </c>
      <c r="H1128" s="1">
        <f t="shared" si="25"/>
        <v>12</v>
      </c>
      <c r="I1128" s="1">
        <f t="shared" si="26"/>
        <v>2025</v>
      </c>
      <c r="J1128" s="4"/>
      <c r="K1128" s="1" t="s">
        <v>87</v>
      </c>
    </row>
    <row r="1129" spans="1:11">
      <c r="A1129" s="1" t="s">
        <v>373</v>
      </c>
      <c r="B1129" s="7">
        <v>45994</v>
      </c>
      <c r="C1129" s="1" t="s">
        <v>12</v>
      </c>
      <c r="D1129" s="1">
        <v>1871</v>
      </c>
      <c r="E1129" s="4">
        <f t="shared" si="23"/>
        <v>16722.689075630253</v>
      </c>
      <c r="F1129" s="4">
        <f t="shared" si="24"/>
        <v>3177.3109243697481</v>
      </c>
      <c r="G1129" s="4">
        <v>19900</v>
      </c>
      <c r="H1129" s="1">
        <f t="shared" si="25"/>
        <v>12</v>
      </c>
      <c r="I1129" s="1">
        <f t="shared" si="26"/>
        <v>2025</v>
      </c>
      <c r="J1129" s="4"/>
      <c r="K1129" s="1" t="s">
        <v>87</v>
      </c>
    </row>
    <row r="1130" spans="1:11">
      <c r="A1130" s="1" t="s">
        <v>373</v>
      </c>
      <c r="B1130" s="7">
        <v>45995</v>
      </c>
      <c r="C1130" s="1" t="s">
        <v>12</v>
      </c>
      <c r="D1130" s="1">
        <v>1878</v>
      </c>
      <c r="E1130" s="4">
        <f t="shared" si="23"/>
        <v>3277.3109243697481</v>
      </c>
      <c r="F1130" s="4">
        <f t="shared" si="24"/>
        <v>622.6890756302522</v>
      </c>
      <c r="G1130" s="4">
        <v>3900</v>
      </c>
      <c r="H1130" s="1">
        <f t="shared" si="25"/>
        <v>12</v>
      </c>
      <c r="I1130" s="1">
        <f t="shared" si="26"/>
        <v>2025</v>
      </c>
      <c r="J1130" s="4"/>
      <c r="K1130" s="1" t="s">
        <v>87</v>
      </c>
    </row>
    <row r="1131" spans="1:11">
      <c r="A1131" s="1" t="s">
        <v>368</v>
      </c>
      <c r="B1131" s="7">
        <v>45997</v>
      </c>
      <c r="C1131" s="1" t="s">
        <v>12</v>
      </c>
      <c r="D1131" s="1">
        <v>91686</v>
      </c>
      <c r="E1131" s="4">
        <f t="shared" si="23"/>
        <v>7302.5210084033615</v>
      </c>
      <c r="F1131" s="4">
        <f t="shared" si="24"/>
        <v>1387.4789915966387</v>
      </c>
      <c r="G1131" s="4">
        <v>8690</v>
      </c>
      <c r="H1131" s="1">
        <f t="shared" si="25"/>
        <v>12</v>
      </c>
      <c r="I1131" s="1">
        <f t="shared" si="26"/>
        <v>2025</v>
      </c>
      <c r="J1131" s="4"/>
      <c r="K1131" s="1" t="s">
        <v>87</v>
      </c>
    </row>
    <row r="1132" spans="1:11">
      <c r="A1132" s="1" t="s">
        <v>291</v>
      </c>
      <c r="B1132" s="7">
        <v>46000</v>
      </c>
      <c r="C1132" s="1" t="s">
        <v>12</v>
      </c>
      <c r="D1132" s="1">
        <v>14447</v>
      </c>
      <c r="E1132" s="4">
        <f t="shared" si="23"/>
        <v>8403.361344537816</v>
      </c>
      <c r="F1132" s="4">
        <f t="shared" si="24"/>
        <v>1596.6386554621849</v>
      </c>
      <c r="G1132" s="4">
        <v>10000</v>
      </c>
      <c r="H1132" s="1">
        <f t="shared" si="25"/>
        <v>12</v>
      </c>
      <c r="I1132" s="1">
        <f t="shared" si="26"/>
        <v>2025</v>
      </c>
      <c r="J1132" s="4"/>
      <c r="K1132" s="1" t="s">
        <v>87</v>
      </c>
    </row>
    <row r="1133" spans="1:11">
      <c r="A1133" s="1" t="s">
        <v>373</v>
      </c>
      <c r="B1133" s="3">
        <v>46000</v>
      </c>
      <c r="C1133" s="1" t="s">
        <v>12</v>
      </c>
      <c r="D1133" s="1">
        <v>1889</v>
      </c>
      <c r="E1133" s="4">
        <f t="shared" si="23"/>
        <v>25126.050420168067</v>
      </c>
      <c r="F1133" s="4">
        <f t="shared" si="24"/>
        <v>4773.9495798319331</v>
      </c>
      <c r="G1133" s="4">
        <v>29900</v>
      </c>
      <c r="H1133" s="1">
        <f t="shared" si="25"/>
        <v>12</v>
      </c>
      <c r="I1133" s="1">
        <f t="shared" si="26"/>
        <v>2025</v>
      </c>
      <c r="J1133" s="4"/>
      <c r="K1133" s="1" t="s">
        <v>87</v>
      </c>
    </row>
    <row r="1134" spans="1:11">
      <c r="A1134" s="1" t="s">
        <v>401</v>
      </c>
      <c r="B1134" s="3">
        <v>46001</v>
      </c>
      <c r="C1134" s="1" t="s">
        <v>12</v>
      </c>
      <c r="D1134" s="1">
        <v>24722</v>
      </c>
      <c r="E1134" s="4">
        <f t="shared" si="23"/>
        <v>337824.36974789918</v>
      </c>
      <c r="F1134" s="4">
        <f t="shared" si="24"/>
        <v>64186.630252100847</v>
      </c>
      <c r="G1134" s="4">
        <v>402011</v>
      </c>
      <c r="H1134" s="1">
        <f t="shared" si="25"/>
        <v>12</v>
      </c>
      <c r="I1134" s="1">
        <f t="shared" si="26"/>
        <v>2025</v>
      </c>
      <c r="J1134" s="4"/>
      <c r="K1134" s="1" t="s">
        <v>87</v>
      </c>
    </row>
    <row r="1135" spans="1:11">
      <c r="A1135" s="1" t="s">
        <v>373</v>
      </c>
      <c r="B1135" s="3">
        <v>46001</v>
      </c>
      <c r="C1135" s="1" t="s">
        <v>12</v>
      </c>
      <c r="D1135" s="1">
        <v>1892</v>
      </c>
      <c r="E1135" s="4">
        <f t="shared" si="23"/>
        <v>13109.243697478993</v>
      </c>
      <c r="F1135" s="4">
        <f t="shared" si="24"/>
        <v>2490.7563025210088</v>
      </c>
      <c r="G1135" s="4">
        <v>15600</v>
      </c>
      <c r="H1135" s="1">
        <f t="shared" si="25"/>
        <v>12</v>
      </c>
      <c r="I1135" s="1">
        <f t="shared" si="26"/>
        <v>2025</v>
      </c>
      <c r="J1135" s="4"/>
      <c r="K1135" s="1" t="s">
        <v>87</v>
      </c>
    </row>
    <row r="1136" spans="1:11">
      <c r="A1136" s="1" t="s">
        <v>373</v>
      </c>
      <c r="B1136" s="3">
        <v>46002</v>
      </c>
      <c r="C1136" s="1" t="s">
        <v>12</v>
      </c>
      <c r="D1136" s="1">
        <v>1894</v>
      </c>
      <c r="E1136" s="4">
        <f t="shared" si="23"/>
        <v>13109.243697478993</v>
      </c>
      <c r="F1136" s="4">
        <f t="shared" si="24"/>
        <v>2490.7563025210088</v>
      </c>
      <c r="G1136" s="4">
        <v>15600</v>
      </c>
      <c r="H1136" s="1">
        <f t="shared" si="25"/>
        <v>12</v>
      </c>
      <c r="I1136" s="1">
        <f t="shared" si="26"/>
        <v>2025</v>
      </c>
      <c r="J1136" s="4"/>
      <c r="K1136" s="1" t="s">
        <v>87</v>
      </c>
    </row>
    <row r="1137" spans="1:11">
      <c r="A1137" s="1"/>
      <c r="B1137" s="7"/>
      <c r="C1137" s="1"/>
      <c r="D1137" s="1"/>
      <c r="E1137" s="4">
        <f t="shared" si="23"/>
        <v>0</v>
      </c>
      <c r="F1137" s="4">
        <f t="shared" si="24"/>
        <v>0</v>
      </c>
      <c r="G1137" s="4"/>
      <c r="H1137" s="1">
        <f t="shared" si="25"/>
        <v>1</v>
      </c>
      <c r="I1137" s="1">
        <f t="shared" si="26"/>
        <v>1900</v>
      </c>
      <c r="J1137" s="4"/>
      <c r="K1137" s="1"/>
    </row>
    <row r="1138" spans="1:11">
      <c r="A1138" s="1"/>
      <c r="B1138" s="7"/>
      <c r="C1138" s="1"/>
      <c r="D1138" s="1"/>
      <c r="E1138" s="4">
        <f t="shared" si="23"/>
        <v>0</v>
      </c>
      <c r="F1138" s="4">
        <f t="shared" si="24"/>
        <v>0</v>
      </c>
      <c r="G1138" s="4"/>
      <c r="H1138" s="1">
        <f t="shared" si="25"/>
        <v>1</v>
      </c>
      <c r="I1138" s="1">
        <f t="shared" si="26"/>
        <v>1900</v>
      </c>
      <c r="J1138" s="4"/>
      <c r="K1138" s="1"/>
    </row>
    <row r="1139" spans="1:11">
      <c r="A1139" s="1"/>
      <c r="B1139" s="7"/>
      <c r="C1139" s="1"/>
      <c r="D1139" s="1"/>
      <c r="E1139" s="4">
        <f t="shared" si="23"/>
        <v>0</v>
      </c>
      <c r="F1139" s="4">
        <f t="shared" si="24"/>
        <v>0</v>
      </c>
      <c r="G1139" s="4"/>
      <c r="H1139" s="1">
        <f t="shared" si="25"/>
        <v>1</v>
      </c>
      <c r="I1139" s="1">
        <f t="shared" si="26"/>
        <v>1900</v>
      </c>
      <c r="J1139" s="4"/>
      <c r="K1139" s="1"/>
    </row>
    <row r="1140" spans="1:11">
      <c r="A1140" s="1"/>
      <c r="B1140" s="7"/>
      <c r="C1140" s="1"/>
      <c r="D1140" s="1"/>
      <c r="E1140" s="4">
        <f t="shared" si="23"/>
        <v>0</v>
      </c>
      <c r="F1140" s="4">
        <f t="shared" si="24"/>
        <v>0</v>
      </c>
      <c r="G1140" s="4"/>
      <c r="H1140" s="1">
        <f t="shared" si="25"/>
        <v>1</v>
      </c>
      <c r="I1140" s="1">
        <f t="shared" si="26"/>
        <v>1900</v>
      </c>
      <c r="J1140" s="4"/>
      <c r="K1140" s="1"/>
    </row>
    <row r="1141" spans="1:11">
      <c r="A1141" s="1"/>
      <c r="B1141" s="7"/>
      <c r="C1141" s="1"/>
      <c r="D1141" s="1"/>
      <c r="E1141" s="4">
        <f t="shared" si="23"/>
        <v>0</v>
      </c>
      <c r="F1141" s="4">
        <f t="shared" si="24"/>
        <v>0</v>
      </c>
      <c r="G1141" s="4"/>
      <c r="H1141" s="1">
        <f t="shared" si="25"/>
        <v>1</v>
      </c>
      <c r="I1141" s="1">
        <f t="shared" si="26"/>
        <v>1900</v>
      </c>
      <c r="J1141" s="4"/>
      <c r="K1141" s="1"/>
    </row>
    <row r="1142" spans="1:11">
      <c r="A1142" s="1"/>
      <c r="B1142" s="7"/>
      <c r="C1142" s="1"/>
      <c r="D1142" s="1"/>
      <c r="E1142" s="4">
        <f t="shared" si="23"/>
        <v>0</v>
      </c>
      <c r="F1142" s="4">
        <f t="shared" si="24"/>
        <v>0</v>
      </c>
      <c r="G1142" s="4"/>
      <c r="H1142" s="1">
        <f t="shared" si="25"/>
        <v>1</v>
      </c>
      <c r="I1142" s="1">
        <f t="shared" si="26"/>
        <v>1900</v>
      </c>
      <c r="J1142" s="4"/>
      <c r="K1142" s="1"/>
    </row>
    <row r="1143" spans="1:11">
      <c r="A1143" s="1"/>
      <c r="B1143" s="7"/>
      <c r="C1143" s="1"/>
      <c r="D1143" s="1"/>
      <c r="E1143" s="4">
        <f t="shared" si="23"/>
        <v>0</v>
      </c>
      <c r="F1143" s="4">
        <f t="shared" si="24"/>
        <v>0</v>
      </c>
      <c r="G1143" s="4"/>
      <c r="H1143" s="1">
        <f t="shared" si="25"/>
        <v>1</v>
      </c>
      <c r="I1143" s="1">
        <f t="shared" si="26"/>
        <v>1900</v>
      </c>
      <c r="J1143" s="4"/>
      <c r="K1143" s="1"/>
    </row>
    <row r="1144" spans="1:11">
      <c r="A1144" s="1"/>
      <c r="B1144" s="7"/>
      <c r="C1144" s="1"/>
      <c r="D1144" s="1"/>
      <c r="E1144" s="4">
        <f t="shared" si="23"/>
        <v>0</v>
      </c>
      <c r="F1144" s="4">
        <f t="shared" si="24"/>
        <v>0</v>
      </c>
      <c r="G1144" s="4"/>
      <c r="H1144" s="1">
        <f t="shared" si="25"/>
        <v>1</v>
      </c>
      <c r="I1144" s="1">
        <f t="shared" si="26"/>
        <v>1900</v>
      </c>
      <c r="J1144" s="4"/>
      <c r="K1144" s="1"/>
    </row>
    <row r="1145" spans="1:11">
      <c r="A1145" s="1"/>
      <c r="B1145" s="7"/>
      <c r="C1145" s="1"/>
      <c r="D1145" s="1"/>
      <c r="E1145" s="4">
        <f t="shared" si="23"/>
        <v>0</v>
      </c>
      <c r="F1145" s="4">
        <f t="shared" si="24"/>
        <v>0</v>
      </c>
      <c r="G1145" s="4"/>
      <c r="H1145" s="1">
        <f t="shared" si="25"/>
        <v>1</v>
      </c>
      <c r="I1145" s="1">
        <f t="shared" si="26"/>
        <v>1900</v>
      </c>
      <c r="J1145" s="4"/>
      <c r="K1145" s="1"/>
    </row>
    <row r="1146" spans="1:11">
      <c r="A1146" s="1"/>
      <c r="B1146" s="7"/>
      <c r="C1146" s="1"/>
      <c r="D1146" s="1"/>
      <c r="E1146" s="4">
        <f t="shared" si="23"/>
        <v>0</v>
      </c>
      <c r="F1146" s="4">
        <f t="shared" si="24"/>
        <v>0</v>
      </c>
      <c r="G1146" s="4"/>
      <c r="H1146" s="1">
        <f t="shared" si="25"/>
        <v>1</v>
      </c>
      <c r="I1146" s="1">
        <f t="shared" si="26"/>
        <v>1900</v>
      </c>
      <c r="J1146" s="4"/>
      <c r="K1146" s="1"/>
    </row>
    <row r="1147" spans="1:11">
      <c r="A1147" s="1"/>
      <c r="B1147" s="7"/>
      <c r="C1147" s="1"/>
      <c r="D1147" s="1"/>
      <c r="E1147" s="4">
        <f t="shared" si="23"/>
        <v>0</v>
      </c>
      <c r="F1147" s="4">
        <f t="shared" si="24"/>
        <v>0</v>
      </c>
      <c r="G1147" s="4"/>
      <c r="H1147" s="1">
        <f t="shared" si="25"/>
        <v>1</v>
      </c>
      <c r="I1147" s="1">
        <f t="shared" si="26"/>
        <v>1900</v>
      </c>
      <c r="J1147" s="4"/>
      <c r="K1147" s="1"/>
    </row>
    <row r="1148" spans="1:11">
      <c r="A1148" s="1"/>
      <c r="B1148" s="7"/>
      <c r="C1148" s="1"/>
      <c r="D1148" s="1"/>
      <c r="E1148" s="4">
        <f t="shared" si="23"/>
        <v>0</v>
      </c>
      <c r="F1148" s="4">
        <f t="shared" si="24"/>
        <v>0</v>
      </c>
      <c r="G1148" s="4"/>
      <c r="H1148" s="1">
        <f t="shared" si="25"/>
        <v>1</v>
      </c>
      <c r="I1148" s="1">
        <f t="shared" si="26"/>
        <v>1900</v>
      </c>
      <c r="J1148" s="4"/>
      <c r="K1148" s="1"/>
    </row>
    <row r="1149" spans="1:11">
      <c r="A1149" s="1"/>
      <c r="B1149" s="7"/>
      <c r="C1149" s="1"/>
      <c r="D1149" s="1"/>
      <c r="E1149" s="4">
        <f t="shared" si="23"/>
        <v>0</v>
      </c>
      <c r="F1149" s="4">
        <f t="shared" si="24"/>
        <v>0</v>
      </c>
      <c r="G1149" s="4"/>
      <c r="H1149" s="1">
        <f t="shared" si="25"/>
        <v>1</v>
      </c>
      <c r="I1149" s="1">
        <f t="shared" si="26"/>
        <v>1900</v>
      </c>
      <c r="J1149" s="4"/>
      <c r="K1149" s="1"/>
    </row>
    <row r="1150" spans="1:11">
      <c r="A1150" s="1"/>
      <c r="B1150" s="7"/>
      <c r="C1150" s="1"/>
      <c r="D1150" s="1"/>
      <c r="E1150" s="4">
        <f t="shared" si="23"/>
        <v>0</v>
      </c>
      <c r="F1150" s="4">
        <f t="shared" si="24"/>
        <v>0</v>
      </c>
      <c r="G1150" s="4"/>
      <c r="H1150" s="1">
        <f t="shared" si="25"/>
        <v>1</v>
      </c>
      <c r="I1150" s="1">
        <f t="shared" si="26"/>
        <v>1900</v>
      </c>
      <c r="J1150" s="4"/>
      <c r="K1150" s="1"/>
    </row>
    <row r="1151" spans="1:11">
      <c r="A1151" s="1"/>
      <c r="B1151" s="7"/>
      <c r="C1151" s="1"/>
      <c r="D1151" s="1"/>
      <c r="E1151" s="4">
        <f t="shared" si="23"/>
        <v>0</v>
      </c>
      <c r="F1151" s="4">
        <f t="shared" si="24"/>
        <v>0</v>
      </c>
      <c r="G1151" s="4"/>
      <c r="H1151" s="1">
        <f t="shared" si="25"/>
        <v>1</v>
      </c>
      <c r="I1151" s="1">
        <f t="shared" si="26"/>
        <v>1900</v>
      </c>
      <c r="J1151" s="4"/>
      <c r="K1151" s="1"/>
    </row>
    <row r="1152" spans="1:11">
      <c r="A1152" s="1"/>
      <c r="B1152" s="7"/>
      <c r="C1152" s="1"/>
      <c r="D1152" s="1"/>
      <c r="E1152" s="4">
        <f t="shared" si="23"/>
        <v>0</v>
      </c>
      <c r="F1152" s="4">
        <f t="shared" si="24"/>
        <v>0</v>
      </c>
      <c r="G1152" s="4"/>
      <c r="H1152" s="1">
        <f t="shared" si="25"/>
        <v>1</v>
      </c>
      <c r="I1152" s="1">
        <f t="shared" si="26"/>
        <v>1900</v>
      </c>
      <c r="J1152" s="4"/>
      <c r="K1152" s="1"/>
    </row>
    <row r="1153" spans="1:11">
      <c r="A1153" s="1"/>
      <c r="B1153" s="7"/>
      <c r="C1153" s="1"/>
      <c r="D1153" s="1"/>
      <c r="E1153" s="4"/>
      <c r="F1153" s="4"/>
      <c r="G1153" s="4"/>
      <c r="J1153" s="4"/>
      <c r="K1153" s="1"/>
    </row>
    <row r="1154" spans="1:11">
      <c r="A1154" s="1"/>
      <c r="B1154" s="7"/>
      <c r="C1154" s="1"/>
      <c r="D1154" s="1"/>
      <c r="E1154" s="4"/>
      <c r="F1154" s="4"/>
      <c r="G1154" s="4"/>
      <c r="J1154" s="4"/>
      <c r="K1154" s="1"/>
    </row>
    <row r="1155" spans="1:11">
      <c r="A1155" s="1"/>
      <c r="B1155" s="7"/>
      <c r="C1155" s="1"/>
      <c r="D1155" s="1"/>
      <c r="E1155" s="4"/>
      <c r="F1155" s="4"/>
      <c r="G1155" s="4"/>
      <c r="J1155" s="4"/>
      <c r="K1155" s="1"/>
    </row>
    <row r="1156" spans="1:11">
      <c r="A1156" s="1"/>
      <c r="B1156" s="7"/>
      <c r="C1156" s="1"/>
      <c r="D1156" s="1"/>
      <c r="E1156" s="4"/>
      <c r="F1156" s="4"/>
      <c r="G1156" s="4"/>
      <c r="J1156" s="4"/>
      <c r="K1156" s="1"/>
    </row>
    <row r="1157" spans="1:11">
      <c r="A1157" s="1"/>
      <c r="B1157" s="7"/>
      <c r="C1157" s="1"/>
      <c r="D1157" s="1"/>
      <c r="E1157" s="4"/>
      <c r="F1157" s="4"/>
      <c r="G1157" s="4"/>
      <c r="J1157" s="4"/>
      <c r="K1157" s="1"/>
    </row>
    <row r="1158" spans="1:11">
      <c r="A1158" s="1"/>
      <c r="B1158" s="7"/>
      <c r="C1158" s="1"/>
      <c r="D1158" s="1"/>
      <c r="E1158" s="4"/>
      <c r="F1158" s="4"/>
      <c r="G1158" s="4"/>
      <c r="J1158" s="4"/>
      <c r="K1158" s="1"/>
    </row>
    <row r="1159" spans="1:11">
      <c r="A1159" s="1"/>
      <c r="B1159" s="7"/>
      <c r="C1159" s="1"/>
      <c r="D1159" s="1"/>
      <c r="E1159" s="4"/>
      <c r="F1159" s="4"/>
      <c r="G1159" s="4"/>
      <c r="J1159" s="4"/>
      <c r="K1159" s="1"/>
    </row>
    <row r="1160" spans="1:11">
      <c r="A1160" s="1"/>
      <c r="B1160" s="7"/>
      <c r="C1160" s="1"/>
      <c r="D1160" s="1"/>
      <c r="E1160" s="4"/>
      <c r="F1160" s="4"/>
      <c r="G1160" s="4"/>
      <c r="J1160" s="4"/>
      <c r="K1160" s="1"/>
    </row>
    <row r="1161" spans="1:11">
      <c r="A1161" s="1"/>
      <c r="B1161" s="7"/>
      <c r="C1161" s="1"/>
      <c r="D1161" s="1"/>
      <c r="E1161" s="4"/>
      <c r="F1161" s="4"/>
      <c r="G1161" s="4"/>
      <c r="J1161" s="4"/>
      <c r="K1161" s="1"/>
    </row>
    <row r="1162" spans="1:11">
      <c r="A1162" s="1"/>
      <c r="B1162" s="7"/>
      <c r="C1162" s="1"/>
      <c r="D1162" s="1"/>
      <c r="E1162" s="4"/>
      <c r="F1162" s="4"/>
      <c r="G1162" s="4"/>
      <c r="J1162" s="4"/>
      <c r="K1162" s="1"/>
    </row>
    <row r="1163" spans="1:11">
      <c r="A1163" s="1"/>
      <c r="B1163" s="7"/>
      <c r="C1163" s="1"/>
      <c r="D1163" s="1"/>
      <c r="E1163" s="4"/>
      <c r="F1163" s="4"/>
      <c r="G1163" s="4"/>
      <c r="J1163" s="4"/>
      <c r="K1163" s="1"/>
    </row>
    <row r="1164" spans="1:11">
      <c r="A1164" s="1"/>
      <c r="B1164" s="7"/>
      <c r="C1164" s="1"/>
      <c r="D1164" s="1"/>
      <c r="E1164" s="4"/>
      <c r="F1164" s="4"/>
      <c r="G1164" s="4"/>
      <c r="J1164" s="4"/>
      <c r="K1164" s="1"/>
    </row>
    <row r="1165" spans="1:11">
      <c r="A1165" s="1"/>
      <c r="B1165" s="7"/>
      <c r="C1165" s="1"/>
      <c r="D1165" s="1"/>
      <c r="E1165" s="4"/>
      <c r="F1165" s="4"/>
      <c r="G1165" s="4"/>
      <c r="J1165" s="4"/>
      <c r="K1165" s="1"/>
    </row>
    <row r="1166" spans="1:11">
      <c r="A1166" s="1"/>
      <c r="B1166" s="7"/>
      <c r="C1166" s="1"/>
      <c r="D1166" s="1"/>
      <c r="E1166" s="4"/>
      <c r="F1166" s="4"/>
      <c r="G1166" s="4"/>
      <c r="J1166" s="4"/>
      <c r="K1166" s="1"/>
    </row>
    <row r="1167" spans="1:11">
      <c r="A1167" s="1"/>
      <c r="B1167" s="7"/>
      <c r="C1167" s="1"/>
      <c r="D1167" s="1"/>
      <c r="E1167" s="4"/>
      <c r="F1167" s="4"/>
      <c r="G1167" s="4"/>
      <c r="J1167" s="4"/>
      <c r="K1167" s="1"/>
    </row>
    <row r="1168" spans="1:11">
      <c r="A1168" s="1"/>
      <c r="B1168" s="7"/>
      <c r="C1168" s="1"/>
      <c r="D1168" s="1"/>
      <c r="E1168" s="4"/>
      <c r="F1168" s="4"/>
      <c r="G1168" s="4"/>
      <c r="J1168" s="4"/>
      <c r="K1168" s="1"/>
    </row>
    <row r="1169" spans="1:11">
      <c r="A1169" s="1"/>
      <c r="B1169" s="7"/>
      <c r="C1169" s="1"/>
      <c r="D1169" s="1"/>
      <c r="E1169" s="4"/>
      <c r="F1169" s="4"/>
      <c r="G1169" s="4"/>
      <c r="J1169" s="4"/>
      <c r="K1169" s="1"/>
    </row>
    <row r="1170" spans="1:11">
      <c r="A1170" s="1"/>
      <c r="B1170" s="7"/>
      <c r="C1170" s="1"/>
      <c r="D1170" s="1"/>
      <c r="E1170" s="4"/>
      <c r="F1170" s="4"/>
      <c r="G1170" s="4"/>
      <c r="J1170" s="4"/>
      <c r="K1170" s="1"/>
    </row>
    <row r="1171" spans="1:11">
      <c r="A1171" s="1"/>
      <c r="B1171" s="7"/>
      <c r="C1171" s="1"/>
      <c r="D1171" s="1"/>
      <c r="E1171" s="4"/>
      <c r="F1171" s="4"/>
      <c r="G1171" s="4"/>
      <c r="J1171" s="4"/>
      <c r="K1171" s="1"/>
    </row>
    <row r="1172" spans="1:11">
      <c r="A1172" s="1"/>
      <c r="B1172" s="7"/>
      <c r="C1172" s="1"/>
      <c r="D1172" s="1"/>
      <c r="E1172" s="4"/>
      <c r="F1172" s="4"/>
      <c r="G1172" s="4"/>
      <c r="J1172" s="4"/>
      <c r="K1172" s="1"/>
    </row>
    <row r="1173" spans="1:11">
      <c r="A1173" s="1"/>
      <c r="B1173" s="7"/>
      <c r="C1173" s="1"/>
      <c r="D1173" s="1"/>
      <c r="E1173" s="4"/>
      <c r="F1173" s="4"/>
      <c r="G1173" s="4"/>
      <c r="J1173" s="4"/>
      <c r="K1173" s="1"/>
    </row>
    <row r="1174" spans="1:11">
      <c r="A1174" s="1"/>
      <c r="B1174" s="7"/>
      <c r="C1174" s="1"/>
      <c r="D1174" s="1"/>
      <c r="E1174" s="4"/>
      <c r="F1174" s="4"/>
      <c r="G1174" s="4"/>
      <c r="J1174" s="4"/>
      <c r="K1174" s="1"/>
    </row>
    <row r="1175" spans="1:11">
      <c r="A1175" s="1"/>
      <c r="B1175" s="7"/>
      <c r="C1175" s="1"/>
      <c r="D1175" s="1"/>
      <c r="E1175" s="4"/>
      <c r="F1175" s="4"/>
      <c r="G1175" s="4"/>
      <c r="J1175" s="4"/>
      <c r="K1175" s="1"/>
    </row>
    <row r="1176" spans="1:11">
      <c r="A1176" s="1"/>
      <c r="B1176" s="7"/>
      <c r="C1176" s="1"/>
      <c r="D1176" s="1"/>
      <c r="E1176" s="4"/>
      <c r="F1176" s="4"/>
      <c r="G1176" s="4"/>
      <c r="J1176" s="4"/>
      <c r="K1176" s="1"/>
    </row>
    <row r="1177" spans="1:11">
      <c r="A1177" s="1"/>
      <c r="B1177" s="7"/>
      <c r="C1177" s="1"/>
      <c r="D1177" s="1"/>
      <c r="E1177" s="4"/>
      <c r="F1177" s="4"/>
      <c r="G1177" s="4"/>
      <c r="J1177" s="4"/>
      <c r="K1177" s="1"/>
    </row>
    <row r="1178" spans="1:11">
      <c r="A1178" s="1"/>
      <c r="B1178" s="7"/>
      <c r="C1178" s="1"/>
      <c r="D1178" s="1"/>
      <c r="E1178" s="4"/>
      <c r="F1178" s="4"/>
      <c r="G1178" s="4"/>
      <c r="J1178" s="4"/>
      <c r="K1178" s="1"/>
    </row>
    <row r="1179" spans="1:11">
      <c r="A1179" s="1"/>
      <c r="B1179" s="7"/>
      <c r="C1179" s="1"/>
      <c r="D1179" s="1"/>
      <c r="E1179" s="4"/>
      <c r="F1179" s="4"/>
      <c r="G1179" s="4"/>
      <c r="J1179" s="4"/>
      <c r="K1179" s="1"/>
    </row>
    <row r="1180" spans="1:11">
      <c r="A1180" s="1"/>
      <c r="B1180" s="7"/>
      <c r="C1180" s="1"/>
      <c r="D1180" s="1"/>
      <c r="E1180" s="4"/>
      <c r="F1180" s="4"/>
      <c r="G1180" s="4"/>
      <c r="J1180" s="4"/>
      <c r="K1180" s="1"/>
    </row>
    <row r="1181" spans="1:11">
      <c r="A1181" s="1"/>
      <c r="B1181" s="7"/>
      <c r="C1181" s="1"/>
      <c r="D1181" s="1"/>
      <c r="E1181" s="4"/>
      <c r="F1181" s="4"/>
      <c r="G1181" s="4"/>
      <c r="J1181" s="4"/>
      <c r="K1181" s="1"/>
    </row>
    <row r="1182" spans="1:11">
      <c r="A1182" s="1"/>
      <c r="B1182" s="7"/>
      <c r="C1182" s="1"/>
      <c r="D1182" s="1"/>
      <c r="E1182" s="4"/>
      <c r="F1182" s="4"/>
      <c r="G1182" s="4"/>
      <c r="J1182" s="4"/>
      <c r="K1182" s="1"/>
    </row>
    <row r="1183" spans="1:11">
      <c r="A1183" s="1"/>
      <c r="B1183" s="7"/>
      <c r="C1183" s="1"/>
      <c r="D1183" s="1"/>
      <c r="E1183" s="4"/>
      <c r="F1183" s="4"/>
      <c r="G1183" s="4"/>
      <c r="J1183" s="4"/>
      <c r="K1183" s="1"/>
    </row>
    <row r="1184" spans="1:11">
      <c r="A1184" s="1"/>
      <c r="B1184" s="7"/>
      <c r="C1184" s="1"/>
      <c r="D1184" s="1"/>
      <c r="E1184" s="4"/>
      <c r="F1184" s="4"/>
      <c r="G1184" s="4"/>
      <c r="J1184" s="4"/>
      <c r="K1184" s="1"/>
    </row>
    <row r="1185" spans="1:11">
      <c r="A1185" s="1"/>
      <c r="B1185" s="7"/>
      <c r="C1185" s="1"/>
      <c r="D1185" s="1"/>
      <c r="E1185" s="4"/>
      <c r="F1185" s="4"/>
      <c r="G1185" s="4"/>
      <c r="J1185" s="4"/>
      <c r="K1185" s="1"/>
    </row>
    <row r="1186" spans="1:11">
      <c r="A1186" s="1"/>
      <c r="B1186" s="7"/>
      <c r="C1186" s="1"/>
      <c r="D1186" s="1"/>
      <c r="E1186" s="4"/>
      <c r="F1186" s="4"/>
      <c r="G1186" s="4"/>
      <c r="J1186" s="4"/>
      <c r="K1186" s="1"/>
    </row>
    <row r="1187" spans="1:11">
      <c r="A1187" s="1"/>
      <c r="B1187" s="7"/>
      <c r="C1187" s="1"/>
      <c r="D1187" s="1"/>
      <c r="E1187" s="4"/>
      <c r="F1187" s="4"/>
      <c r="G1187" s="4"/>
      <c r="J1187" s="4"/>
      <c r="K1187" s="1"/>
    </row>
    <row r="1188" spans="1:11">
      <c r="A1188" s="1"/>
      <c r="B1188" s="7"/>
      <c r="C1188" s="1"/>
      <c r="D1188" s="1"/>
      <c r="E1188" s="4"/>
      <c r="F1188" s="4"/>
      <c r="G1188" s="4"/>
      <c r="J1188" s="4"/>
      <c r="K1188" s="1"/>
    </row>
    <row r="1189" spans="1:11">
      <c r="A1189" s="1"/>
      <c r="B1189" s="7"/>
      <c r="C1189" s="1"/>
      <c r="D1189" s="1"/>
      <c r="E1189" s="4"/>
      <c r="F1189" s="4"/>
      <c r="G1189" s="4"/>
      <c r="J1189" s="4"/>
      <c r="K1189" s="1"/>
    </row>
    <row r="1190" spans="1:11">
      <c r="A1190" s="1"/>
      <c r="B1190" s="7"/>
      <c r="C1190" s="1"/>
      <c r="D1190" s="1"/>
      <c r="E1190" s="4"/>
      <c r="F1190" s="4"/>
      <c r="G1190" s="4"/>
      <c r="J1190" s="4"/>
      <c r="K1190" s="1"/>
    </row>
    <row r="1191" spans="1:11">
      <c r="A1191" s="1"/>
      <c r="B1191" s="7"/>
      <c r="C1191" s="1"/>
      <c r="D1191" s="1"/>
      <c r="E1191" s="4"/>
      <c r="F1191" s="4"/>
      <c r="G1191" s="4"/>
      <c r="J1191" s="4"/>
      <c r="K1191" s="1"/>
    </row>
    <row r="1192" spans="1:11">
      <c r="A1192" s="1"/>
      <c r="B1192" s="7"/>
      <c r="C1192" s="1"/>
      <c r="D1192" s="1"/>
      <c r="E1192" s="4"/>
      <c r="F1192" s="4"/>
      <c r="G1192" s="4"/>
      <c r="J1192" s="4"/>
      <c r="K1192" s="1"/>
    </row>
    <row r="1193" spans="1:11">
      <c r="A1193" s="1"/>
      <c r="B1193" s="7"/>
      <c r="C1193" s="1"/>
      <c r="D1193" s="1"/>
      <c r="E1193" s="4"/>
      <c r="F1193" s="4"/>
      <c r="G1193" s="4"/>
      <c r="J1193" s="4"/>
      <c r="K1193" s="1"/>
    </row>
    <row r="1194" spans="1:11">
      <c r="A1194" s="1"/>
      <c r="B1194" s="7"/>
      <c r="C1194" s="1"/>
      <c r="D1194" s="1"/>
      <c r="E1194" s="4"/>
      <c r="F1194" s="4"/>
      <c r="G1194" s="4"/>
      <c r="J1194" s="4"/>
      <c r="K1194" s="1"/>
    </row>
    <row r="1195" spans="1:11">
      <c r="A1195" s="1"/>
      <c r="B1195" s="7"/>
      <c r="C1195" s="1"/>
      <c r="D1195" s="1"/>
      <c r="E1195" s="4"/>
      <c r="F1195" s="4"/>
      <c r="G1195" s="4"/>
      <c r="J1195" s="4"/>
      <c r="K1195" s="1"/>
    </row>
    <row r="1196" spans="1:11">
      <c r="A1196" s="1"/>
      <c r="B1196" s="7"/>
      <c r="C1196" s="1"/>
      <c r="D1196" s="1"/>
      <c r="E1196" s="4"/>
      <c r="F1196" s="4"/>
      <c r="G1196" s="4"/>
      <c r="J1196" s="4"/>
      <c r="K1196" s="1"/>
    </row>
    <row r="1197" spans="1:11">
      <c r="A1197" s="1"/>
      <c r="B1197" s="7"/>
      <c r="C1197" s="1"/>
      <c r="D1197" s="1"/>
      <c r="E1197" s="4"/>
      <c r="F1197" s="4"/>
      <c r="G1197" s="4"/>
      <c r="J1197" s="4"/>
      <c r="K1197" s="1"/>
    </row>
    <row r="1198" spans="1:11">
      <c r="A1198" s="1"/>
      <c r="B1198" s="7"/>
      <c r="C1198" s="1"/>
      <c r="D1198" s="1"/>
      <c r="E1198" s="4"/>
      <c r="F1198" s="4"/>
      <c r="G1198" s="4"/>
      <c r="J1198" s="4"/>
      <c r="K1198" s="1"/>
    </row>
    <row r="1199" spans="1:11">
      <c r="A1199" s="1"/>
      <c r="B1199" s="7"/>
      <c r="C1199" s="1"/>
      <c r="D1199" s="1"/>
      <c r="E1199" s="4"/>
      <c r="F1199" s="4"/>
      <c r="G1199" s="4"/>
      <c r="J1199" s="4"/>
      <c r="K1199" s="1"/>
    </row>
    <row r="1200" spans="1:11">
      <c r="A1200" s="1"/>
      <c r="B1200" s="7"/>
      <c r="C1200" s="1"/>
      <c r="D1200" s="1"/>
      <c r="E1200" s="4"/>
      <c r="F1200" s="4"/>
      <c r="G1200" s="4"/>
      <c r="J1200" s="4"/>
      <c r="K1200" s="1"/>
    </row>
    <row r="1201" spans="1:11">
      <c r="A1201" s="1"/>
      <c r="B1201" s="7"/>
      <c r="C1201" s="1"/>
      <c r="D1201" s="1"/>
      <c r="E1201" s="4"/>
      <c r="F1201" s="4"/>
      <c r="G1201" s="4"/>
      <c r="J1201" s="4"/>
      <c r="K1201" s="1"/>
    </row>
    <row r="1202" spans="1:11">
      <c r="A1202" s="1"/>
      <c r="B1202" s="7"/>
      <c r="C1202" s="1"/>
      <c r="D1202" s="1"/>
      <c r="E1202" s="4"/>
      <c r="F1202" s="4"/>
      <c r="G1202" s="4"/>
      <c r="J1202" s="4"/>
      <c r="K1202" s="1"/>
    </row>
    <row r="1203" spans="1:11">
      <c r="A1203" s="1"/>
      <c r="B1203" s="7"/>
      <c r="C1203" s="1"/>
      <c r="D1203" s="1"/>
      <c r="E1203" s="4"/>
      <c r="F1203" s="4"/>
      <c r="G1203" s="4"/>
      <c r="J1203" s="4"/>
      <c r="K1203" s="1"/>
    </row>
    <row r="1204" spans="1:11">
      <c r="A1204" s="1"/>
      <c r="B1204" s="7"/>
      <c r="C1204" s="1"/>
      <c r="D1204" s="1"/>
      <c r="E1204" s="4"/>
      <c r="F1204" s="4"/>
      <c r="G1204" s="4"/>
      <c r="J1204" s="4"/>
      <c r="K1204" s="1"/>
    </row>
    <row r="1205" spans="1:11">
      <c r="A1205" s="1"/>
      <c r="B1205" s="7"/>
      <c r="C1205" s="1"/>
      <c r="D1205" s="1"/>
      <c r="E1205" s="4"/>
      <c r="F1205" s="4"/>
      <c r="G1205" s="4"/>
      <c r="J1205" s="4"/>
      <c r="K1205" s="1"/>
    </row>
    <row r="1206" spans="1:11">
      <c r="A1206" s="1"/>
      <c r="B1206" s="7"/>
      <c r="C1206" s="1"/>
      <c r="D1206" s="1"/>
      <c r="E1206" s="4"/>
      <c r="F1206" s="4"/>
      <c r="G1206" s="4"/>
      <c r="J1206" s="4"/>
      <c r="K1206" s="1"/>
    </row>
    <row r="1207" spans="1:11">
      <c r="A1207" s="1"/>
      <c r="B1207" s="7"/>
      <c r="C1207" s="1"/>
      <c r="D1207" s="1"/>
      <c r="E1207" s="4"/>
      <c r="F1207" s="4"/>
      <c r="G1207" s="4"/>
      <c r="J1207" s="4"/>
      <c r="K1207" s="1"/>
    </row>
    <row r="1208" spans="1:11">
      <c r="A1208" s="1"/>
      <c r="B1208" s="7"/>
      <c r="C1208" s="1"/>
      <c r="D1208" s="1"/>
      <c r="E1208" s="4"/>
      <c r="F1208" s="4"/>
      <c r="G1208" s="4"/>
      <c r="J1208" s="4"/>
      <c r="K1208" s="1"/>
    </row>
    <row r="1209" spans="1:11">
      <c r="A1209" s="1"/>
      <c r="B1209" s="7"/>
      <c r="C1209" s="1"/>
      <c r="D1209" s="1"/>
      <c r="E1209" s="4"/>
      <c r="F1209" s="4"/>
      <c r="G1209" s="4"/>
      <c r="J1209" s="4"/>
      <c r="K1209" s="1"/>
    </row>
    <row r="1210" spans="1:11">
      <c r="A1210" s="1"/>
      <c r="B1210" s="7"/>
      <c r="C1210" s="1"/>
      <c r="D1210" s="1"/>
      <c r="E1210" s="4"/>
      <c r="F1210" s="4"/>
      <c r="G1210" s="4"/>
      <c r="J1210" s="4"/>
      <c r="K1210" s="1"/>
    </row>
    <row r="1211" spans="1:11">
      <c r="A1211" s="1"/>
      <c r="B1211" s="7"/>
      <c r="C1211" s="1"/>
      <c r="D1211" s="1"/>
      <c r="E1211" s="4"/>
      <c r="F1211" s="4"/>
      <c r="G1211" s="4"/>
      <c r="J1211" s="4"/>
      <c r="K1211" s="1"/>
    </row>
    <row r="1212" spans="1:11">
      <c r="A1212" s="1"/>
      <c r="B1212" s="7"/>
      <c r="C1212" s="1"/>
      <c r="D1212" s="1"/>
      <c r="E1212" s="4"/>
      <c r="F1212" s="4"/>
      <c r="G1212" s="4"/>
      <c r="J1212" s="4"/>
      <c r="K1212" s="1"/>
    </row>
    <row r="1213" spans="1:11">
      <c r="A1213" s="1"/>
      <c r="B1213" s="7"/>
      <c r="C1213" s="1"/>
      <c r="D1213" s="1"/>
      <c r="E1213" s="4"/>
      <c r="F1213" s="4"/>
      <c r="G1213" s="4"/>
      <c r="J1213" s="4"/>
      <c r="K1213" s="1"/>
    </row>
    <row r="1214" spans="1:11">
      <c r="A1214" s="1"/>
      <c r="B1214" s="7"/>
      <c r="C1214" s="1"/>
      <c r="D1214" s="1"/>
      <c r="E1214" s="4"/>
      <c r="F1214" s="4"/>
      <c r="G1214" s="4"/>
      <c r="J1214" s="4"/>
      <c r="K1214" s="1"/>
    </row>
    <row r="1215" spans="1:11">
      <c r="A1215" s="1"/>
      <c r="B1215" s="7"/>
      <c r="C1215" s="1"/>
      <c r="D1215" s="1"/>
      <c r="E1215" s="4"/>
      <c r="F1215" s="4"/>
      <c r="G1215" s="4"/>
      <c r="J1215" s="4"/>
      <c r="K1215" s="1"/>
    </row>
    <row r="1216" spans="1:11">
      <c r="A1216" s="1"/>
      <c r="B1216" s="7"/>
      <c r="C1216" s="1"/>
      <c r="D1216" s="1"/>
      <c r="E1216" s="4"/>
      <c r="F1216" s="4"/>
      <c r="G1216" s="4"/>
      <c r="J1216" s="4"/>
      <c r="K1216" s="1"/>
    </row>
    <row r="1217" spans="1:11">
      <c r="A1217" s="1"/>
      <c r="B1217" s="7"/>
      <c r="C1217" s="1"/>
      <c r="D1217" s="1"/>
      <c r="E1217" s="4"/>
      <c r="F1217" s="4"/>
      <c r="G1217" s="4"/>
      <c r="J1217" s="4"/>
      <c r="K1217" s="1"/>
    </row>
    <row r="1218" spans="1:11">
      <c r="A1218" s="1"/>
      <c r="B1218" s="7"/>
      <c r="C1218" s="1"/>
      <c r="D1218" s="1"/>
      <c r="E1218" s="4"/>
      <c r="F1218" s="4"/>
      <c r="G1218" s="4"/>
      <c r="J1218" s="4"/>
      <c r="K1218" s="1"/>
    </row>
    <row r="1219" spans="1:11">
      <c r="A1219" s="1"/>
      <c r="B1219" s="7"/>
      <c r="C1219" s="1"/>
      <c r="D1219" s="1"/>
      <c r="E1219" s="4"/>
      <c r="F1219" s="4"/>
      <c r="G1219" s="4"/>
      <c r="J1219" s="4"/>
      <c r="K1219" s="1"/>
    </row>
    <row r="1220" spans="1:11">
      <c r="A1220" s="1"/>
      <c r="B1220" s="7"/>
      <c r="C1220" s="1"/>
      <c r="D1220" s="1"/>
      <c r="E1220" s="4"/>
      <c r="F1220" s="4"/>
      <c r="G1220" s="4"/>
      <c r="J1220" s="4"/>
      <c r="K1220" s="1"/>
    </row>
    <row r="1221" spans="1:11">
      <c r="A1221" s="1"/>
      <c r="B1221" s="7"/>
      <c r="C1221" s="1"/>
      <c r="D1221" s="1"/>
      <c r="E1221" s="4"/>
      <c r="F1221" s="4"/>
      <c r="G1221" s="4"/>
      <c r="J1221" s="4"/>
      <c r="K1221" s="1"/>
    </row>
    <row r="1222" spans="1:11">
      <c r="A1222" s="1"/>
      <c r="B1222" s="7"/>
      <c r="C1222" s="1"/>
      <c r="D1222" s="1"/>
      <c r="E1222" s="4"/>
      <c r="F1222" s="4"/>
      <c r="G1222" s="4"/>
      <c r="J1222" s="4"/>
      <c r="K1222" s="1"/>
    </row>
    <row r="1223" spans="1:11">
      <c r="A1223" s="1"/>
      <c r="B1223" s="7"/>
      <c r="C1223" s="1"/>
      <c r="D1223" s="1"/>
      <c r="E1223" s="4"/>
      <c r="F1223" s="4"/>
      <c r="G1223" s="4"/>
      <c r="J1223" s="4"/>
      <c r="K1223" s="1"/>
    </row>
    <row r="1224" spans="1:11">
      <c r="A1224" s="1"/>
      <c r="B1224" s="7"/>
      <c r="C1224" s="1"/>
      <c r="D1224" s="1"/>
      <c r="E1224" s="4"/>
      <c r="F1224" s="4"/>
      <c r="G1224" s="4"/>
      <c r="J1224" s="4"/>
      <c r="K1224" s="1"/>
    </row>
    <row r="1225" spans="1:11">
      <c r="A1225" s="1"/>
      <c r="B1225" s="7"/>
      <c r="C1225" s="1"/>
      <c r="D1225" s="1"/>
      <c r="E1225" s="4"/>
      <c r="F1225" s="4"/>
      <c r="G1225" s="4"/>
      <c r="J1225" s="4"/>
      <c r="K1225" s="1"/>
    </row>
    <row r="1226" spans="1:11">
      <c r="A1226" s="1"/>
      <c r="B1226" s="7"/>
      <c r="C1226" s="1"/>
      <c r="D1226" s="1"/>
      <c r="E1226" s="4"/>
      <c r="F1226" s="4"/>
      <c r="G1226" s="4"/>
      <c r="J1226" s="4"/>
      <c r="K1226" s="1"/>
    </row>
    <row r="1227" spans="1:11">
      <c r="A1227" s="1"/>
      <c r="B1227" s="7"/>
      <c r="C1227" s="1"/>
      <c r="D1227" s="1"/>
      <c r="E1227" s="4"/>
      <c r="F1227" s="4"/>
      <c r="G1227" s="4"/>
      <c r="J1227" s="4"/>
      <c r="K1227" s="1"/>
    </row>
    <row r="1228" spans="1:11">
      <c r="A1228" s="1"/>
      <c r="B1228" s="7"/>
      <c r="C1228" s="1"/>
      <c r="D1228" s="1"/>
      <c r="E1228" s="4"/>
      <c r="F1228" s="4"/>
      <c r="G1228" s="4"/>
      <c r="J1228" s="4"/>
      <c r="K1228" s="1"/>
    </row>
    <row r="1229" spans="1:11">
      <c r="A1229" s="1"/>
      <c r="B1229" s="7"/>
      <c r="C1229" s="1"/>
      <c r="D1229" s="1"/>
      <c r="E1229" s="4"/>
      <c r="F1229" s="4"/>
      <c r="G1229" s="4"/>
      <c r="J1229" s="4"/>
      <c r="K1229" s="1"/>
    </row>
    <row r="1230" spans="1:11">
      <c r="A1230" s="1"/>
      <c r="B1230" s="7"/>
      <c r="C1230" s="1"/>
      <c r="D1230" s="1"/>
      <c r="E1230" s="4"/>
      <c r="F1230" s="4"/>
      <c r="G1230" s="4"/>
      <c r="J1230" s="4"/>
      <c r="K1230" s="1"/>
    </row>
    <row r="1231" spans="1:11">
      <c r="A1231" s="1"/>
      <c r="B1231" s="7"/>
      <c r="C1231" s="1"/>
      <c r="D1231" s="1"/>
      <c r="E1231" s="4"/>
      <c r="F1231" s="4"/>
      <c r="G1231" s="4"/>
      <c r="J1231" s="4"/>
      <c r="K1231" s="1"/>
    </row>
    <row r="1232" spans="1:11">
      <c r="A1232" s="1"/>
      <c r="B1232" s="7"/>
      <c r="C1232" s="1"/>
      <c r="D1232" s="1"/>
      <c r="E1232" s="4"/>
      <c r="F1232" s="4"/>
      <c r="G1232" s="4"/>
      <c r="J1232" s="4"/>
      <c r="K1232" s="1"/>
    </row>
    <row r="1233" spans="1:11">
      <c r="A1233" s="1"/>
      <c r="B1233" s="7"/>
      <c r="C1233" s="1"/>
      <c r="D1233" s="1"/>
      <c r="E1233" s="4"/>
      <c r="F1233" s="4"/>
      <c r="G1233" s="4"/>
      <c r="J1233" s="4"/>
      <c r="K1233" s="1"/>
    </row>
    <row r="1234" spans="1:11">
      <c r="A1234" s="1"/>
      <c r="B1234" s="7"/>
      <c r="C1234" s="1"/>
      <c r="D1234" s="1"/>
      <c r="E1234" s="4"/>
      <c r="F1234" s="4"/>
      <c r="G1234" s="4"/>
      <c r="J1234" s="4"/>
      <c r="K1234" s="1"/>
    </row>
    <row r="1235" spans="1:11">
      <c r="A1235" s="1"/>
      <c r="B1235" s="7"/>
      <c r="C1235" s="1"/>
      <c r="D1235" s="1"/>
      <c r="E1235" s="4"/>
      <c r="F1235" s="4"/>
      <c r="G1235" s="4"/>
      <c r="J1235" s="4"/>
      <c r="K1235" s="1"/>
    </row>
    <row r="1236" spans="1:11">
      <c r="A1236" s="1"/>
      <c r="B1236" s="7"/>
      <c r="C1236" s="1"/>
      <c r="D1236" s="1"/>
      <c r="E1236" s="4"/>
      <c r="F1236" s="4"/>
      <c r="G1236" s="4"/>
      <c r="J1236" s="4"/>
      <c r="K1236" s="1"/>
    </row>
    <row r="1237" spans="1:11">
      <c r="A1237" s="1"/>
      <c r="B1237" s="7"/>
      <c r="C1237" s="1"/>
      <c r="D1237" s="1"/>
      <c r="E1237" s="4"/>
      <c r="F1237" s="4"/>
      <c r="G1237" s="4"/>
      <c r="J1237" s="4"/>
      <c r="K1237" s="1"/>
    </row>
    <row r="1238" spans="1:11">
      <c r="A1238" s="1"/>
      <c r="B1238" s="7"/>
      <c r="C1238" s="1"/>
      <c r="D1238" s="1"/>
      <c r="E1238" s="4"/>
      <c r="F1238" s="4"/>
      <c r="G1238" s="4"/>
      <c r="J1238" s="4"/>
      <c r="K1238" s="1"/>
    </row>
    <row r="1239" spans="1:11">
      <c r="A1239" s="1"/>
      <c r="B1239" s="7"/>
      <c r="C1239" s="1"/>
      <c r="D1239" s="1"/>
      <c r="E1239" s="4"/>
      <c r="F1239" s="4"/>
      <c r="G1239" s="4"/>
      <c r="J1239" s="4"/>
      <c r="K1239" s="1"/>
    </row>
    <row r="1240" spans="1:11">
      <c r="A1240" s="1"/>
      <c r="B1240" s="7"/>
      <c r="C1240" s="1"/>
      <c r="D1240" s="1"/>
      <c r="E1240" s="4"/>
      <c r="F1240" s="4"/>
      <c r="G1240" s="4"/>
      <c r="J1240" s="4"/>
      <c r="K1240" s="1"/>
    </row>
    <row r="1241" spans="1:11">
      <c r="A1241" s="1"/>
      <c r="B1241" s="7"/>
      <c r="C1241" s="1"/>
      <c r="D1241" s="1"/>
      <c r="E1241" s="4"/>
      <c r="F1241" s="4"/>
      <c r="G1241" s="4"/>
      <c r="J1241" s="4"/>
      <c r="K1241" s="1"/>
    </row>
    <row r="1242" spans="1:11">
      <c r="A1242" s="1"/>
      <c r="B1242" s="7"/>
      <c r="C1242" s="1"/>
      <c r="D1242" s="1"/>
      <c r="E1242" s="4"/>
      <c r="F1242" s="4"/>
      <c r="G1242" s="4"/>
      <c r="J1242" s="4"/>
      <c r="K1242" s="1"/>
    </row>
    <row r="1243" spans="1:11">
      <c r="A1243" s="1"/>
      <c r="B1243" s="7"/>
      <c r="C1243" s="1"/>
      <c r="D1243" s="1"/>
      <c r="E1243" s="4"/>
      <c r="F1243" s="4"/>
      <c r="G1243" s="4"/>
      <c r="J1243" s="4"/>
      <c r="K1243" s="1"/>
    </row>
    <row r="1244" spans="1:11">
      <c r="A1244" s="1"/>
      <c r="B1244" s="7"/>
      <c r="C1244" s="1"/>
      <c r="D1244" s="1"/>
      <c r="E1244" s="4"/>
      <c r="F1244" s="4"/>
      <c r="G1244" s="4"/>
      <c r="J1244" s="4"/>
      <c r="K1244" s="1"/>
    </row>
    <row r="1245" spans="1:11">
      <c r="A1245" s="1"/>
      <c r="B1245" s="7"/>
      <c r="C1245" s="1"/>
      <c r="D1245" s="1"/>
      <c r="E1245" s="4"/>
      <c r="F1245" s="4"/>
      <c r="G1245" s="4"/>
      <c r="J1245" s="4"/>
      <c r="K1245" s="1"/>
    </row>
    <row r="1246" spans="1:11">
      <c r="A1246" s="1"/>
      <c r="B1246" s="7"/>
      <c r="C1246" s="1"/>
      <c r="D1246" s="1"/>
      <c r="E1246" s="4"/>
      <c r="F1246" s="4"/>
      <c r="G1246" s="4"/>
      <c r="J1246" s="4"/>
      <c r="K1246" s="1"/>
    </row>
    <row r="1247" spans="1:11">
      <c r="A1247" s="1"/>
      <c r="B1247" s="7"/>
      <c r="C1247" s="1"/>
      <c r="D1247" s="1"/>
      <c r="E1247" s="4"/>
      <c r="F1247" s="4"/>
      <c r="G1247" s="4"/>
      <c r="J1247" s="4"/>
      <c r="K1247" s="1"/>
    </row>
    <row r="1248" spans="1:11">
      <c r="A1248" s="1"/>
      <c r="B1248" s="7"/>
      <c r="C1248" s="1"/>
      <c r="D1248" s="1"/>
      <c r="E1248" s="4"/>
      <c r="F1248" s="4"/>
      <c r="G1248" s="4"/>
      <c r="J1248" s="4"/>
      <c r="K1248" s="1"/>
    </row>
    <row r="1249" spans="1:11">
      <c r="A1249" s="1"/>
      <c r="B1249" s="7"/>
      <c r="C1249" s="1"/>
      <c r="D1249" s="1"/>
      <c r="E1249" s="4"/>
      <c r="F1249" s="4"/>
      <c r="G1249" s="4"/>
      <c r="J1249" s="4"/>
      <c r="K1249" s="1"/>
    </row>
    <row r="1250" spans="1:11">
      <c r="A1250" s="1"/>
      <c r="B1250" s="7"/>
      <c r="C1250" s="1"/>
      <c r="D1250" s="1"/>
      <c r="E1250" s="4"/>
      <c r="F1250" s="4"/>
      <c r="G1250" s="4"/>
      <c r="J1250" s="4"/>
      <c r="K1250" s="1"/>
    </row>
    <row r="1251" spans="1:11">
      <c r="A1251" s="1"/>
      <c r="B1251" s="7"/>
      <c r="C1251" s="1"/>
      <c r="D1251" s="1"/>
      <c r="E1251" s="4"/>
      <c r="F1251" s="4"/>
      <c r="G1251" s="4"/>
      <c r="J1251" s="4"/>
      <c r="K1251" s="1"/>
    </row>
    <row r="1252" spans="1:11">
      <c r="A1252" s="1"/>
      <c r="B1252" s="7"/>
      <c r="C1252" s="1"/>
      <c r="D1252" s="1"/>
      <c r="E1252" s="4"/>
      <c r="F1252" s="4"/>
      <c r="G1252" s="4"/>
      <c r="J1252" s="4"/>
      <c r="K1252" s="1"/>
    </row>
    <row r="1253" spans="1:11">
      <c r="A1253" s="1"/>
      <c r="B1253" s="7"/>
      <c r="C1253" s="1"/>
      <c r="D1253" s="1"/>
      <c r="E1253" s="4"/>
      <c r="F1253" s="4"/>
      <c r="G1253" s="4"/>
      <c r="J1253" s="4"/>
      <c r="K1253" s="1"/>
    </row>
    <row r="1254" spans="1:11">
      <c r="A1254" s="1"/>
      <c r="B1254" s="7"/>
      <c r="C1254" s="1"/>
      <c r="D1254" s="1"/>
      <c r="E1254" s="4"/>
      <c r="F1254" s="4"/>
      <c r="G1254" s="4"/>
      <c r="J1254" s="4"/>
      <c r="K1254" s="1"/>
    </row>
    <row r="1255" spans="1:11">
      <c r="A1255" s="1"/>
      <c r="B1255" s="7"/>
      <c r="C1255" s="1"/>
      <c r="D1255" s="1"/>
      <c r="E1255" s="4"/>
      <c r="F1255" s="4"/>
      <c r="G1255" s="4"/>
      <c r="J1255" s="4"/>
      <c r="K1255" s="1"/>
    </row>
    <row r="1256" spans="1:11">
      <c r="A1256" s="1"/>
      <c r="B1256" s="7"/>
      <c r="C1256" s="1"/>
      <c r="D1256" s="1"/>
      <c r="E1256" s="4"/>
      <c r="F1256" s="4"/>
      <c r="G1256" s="4"/>
      <c r="J1256" s="4"/>
      <c r="K1256" s="1"/>
    </row>
    <row r="1257" spans="1:11">
      <c r="A1257" s="1"/>
      <c r="B1257" s="7"/>
      <c r="C1257" s="1"/>
      <c r="D1257" s="1"/>
      <c r="E1257" s="4"/>
      <c r="F1257" s="4"/>
      <c r="G1257" s="4"/>
      <c r="J1257" s="4"/>
      <c r="K1257" s="1"/>
    </row>
    <row r="1258" spans="1:11">
      <c r="A1258" s="1"/>
      <c r="B1258" s="7"/>
      <c r="C1258" s="1"/>
      <c r="D1258" s="1"/>
      <c r="E1258" s="4"/>
      <c r="F1258" s="4"/>
      <c r="G1258" s="4"/>
      <c r="J1258" s="4"/>
      <c r="K1258" s="1"/>
    </row>
    <row r="1259" spans="1:11">
      <c r="A1259" s="1"/>
      <c r="B1259" s="7"/>
      <c r="C1259" s="1"/>
      <c r="D1259" s="1"/>
      <c r="E1259" s="4"/>
      <c r="F1259" s="4"/>
      <c r="G1259" s="4"/>
      <c r="J1259" s="4"/>
      <c r="K1259" s="1"/>
    </row>
    <row r="1260" spans="1:11">
      <c r="A1260" s="1"/>
      <c r="B1260" s="7"/>
      <c r="C1260" s="1"/>
      <c r="D1260" s="1"/>
      <c r="E1260" s="4"/>
      <c r="F1260" s="4"/>
      <c r="G1260" s="4"/>
      <c r="J1260" s="4"/>
      <c r="K1260" s="1"/>
    </row>
    <row r="1261" spans="1:11">
      <c r="A1261" s="1"/>
      <c r="B1261" s="7"/>
      <c r="C1261" s="1"/>
      <c r="D1261" s="1"/>
      <c r="E1261" s="4"/>
      <c r="F1261" s="4"/>
      <c r="G1261" s="4"/>
      <c r="J1261" s="4"/>
      <c r="K1261" s="1"/>
    </row>
    <row r="1262" spans="1:11">
      <c r="A1262" s="1"/>
      <c r="B1262" s="7"/>
      <c r="C1262" s="1"/>
      <c r="D1262" s="1"/>
      <c r="E1262" s="4"/>
      <c r="F1262" s="4"/>
      <c r="G1262" s="4"/>
      <c r="J1262" s="4"/>
      <c r="K1262" s="1"/>
    </row>
    <row r="1263" spans="1:11">
      <c r="A1263" s="1"/>
      <c r="B1263" s="7"/>
      <c r="C1263" s="1"/>
      <c r="D1263" s="1"/>
      <c r="E1263" s="4"/>
      <c r="F1263" s="4"/>
      <c r="G1263" s="4"/>
      <c r="J1263" s="4"/>
      <c r="K1263" s="1"/>
    </row>
    <row r="1264" spans="1:11">
      <c r="A1264" s="1"/>
      <c r="B1264" s="7"/>
      <c r="C1264" s="1"/>
      <c r="D1264" s="1"/>
      <c r="E1264" s="4"/>
      <c r="F1264" s="4"/>
      <c r="G1264" s="4"/>
      <c r="J1264" s="4"/>
      <c r="K1264" s="1"/>
    </row>
    <row r="1265" spans="1:11">
      <c r="A1265" s="1"/>
      <c r="B1265" s="7"/>
      <c r="C1265" s="1"/>
      <c r="D1265" s="1"/>
      <c r="E1265" s="4"/>
      <c r="F1265" s="4"/>
      <c r="G1265" s="4"/>
      <c r="J1265" s="4"/>
      <c r="K1265" s="1"/>
    </row>
    <row r="1266" spans="1:11">
      <c r="A1266" s="1"/>
      <c r="B1266" s="7"/>
      <c r="C1266" s="1"/>
      <c r="D1266" s="1"/>
      <c r="E1266" s="4"/>
      <c r="F1266" s="4"/>
      <c r="G1266" s="4"/>
      <c r="J1266" s="4"/>
      <c r="K1266" s="1"/>
    </row>
    <row r="1267" spans="1:11">
      <c r="A1267" s="1"/>
      <c r="B1267" s="7"/>
      <c r="C1267" s="1"/>
      <c r="D1267" s="1"/>
      <c r="E1267" s="4"/>
      <c r="F1267" s="4"/>
      <c r="G1267" s="4"/>
      <c r="J1267" s="4"/>
      <c r="K1267" s="1"/>
    </row>
    <row r="1268" spans="1:11">
      <c r="A1268" s="1"/>
      <c r="B1268" s="7"/>
      <c r="C1268" s="1"/>
      <c r="D1268" s="1"/>
      <c r="E1268" s="4"/>
      <c r="F1268" s="4"/>
      <c r="G1268" s="4"/>
      <c r="J1268" s="4"/>
      <c r="K1268" s="1"/>
    </row>
    <row r="1269" spans="1:11">
      <c r="A1269" s="1"/>
      <c r="B1269" s="7"/>
      <c r="C1269" s="1"/>
      <c r="D1269" s="1"/>
      <c r="E1269" s="4"/>
      <c r="F1269" s="4"/>
      <c r="G1269" s="4"/>
      <c r="J1269" s="4"/>
      <c r="K1269" s="1"/>
    </row>
    <row r="1270" spans="1:11">
      <c r="A1270" s="1"/>
      <c r="B1270" s="7"/>
      <c r="C1270" s="1"/>
      <c r="D1270" s="1"/>
      <c r="E1270" s="4"/>
      <c r="F1270" s="4"/>
      <c r="G1270" s="4"/>
      <c r="J1270" s="4"/>
      <c r="K1270" s="1"/>
    </row>
    <row r="1271" spans="1:11">
      <c r="A1271" s="1"/>
      <c r="B1271" s="7"/>
      <c r="C1271" s="1"/>
      <c r="D1271" s="1"/>
      <c r="E1271" s="4"/>
      <c r="F1271" s="4"/>
      <c r="G1271" s="4"/>
      <c r="J1271" s="4"/>
      <c r="K1271" s="1"/>
    </row>
    <row r="1272" spans="1:11">
      <c r="A1272" s="1"/>
      <c r="B1272" s="7"/>
      <c r="C1272" s="1"/>
      <c r="D1272" s="1"/>
      <c r="E1272" s="4"/>
      <c r="F1272" s="4"/>
      <c r="G1272" s="4"/>
      <c r="J1272" s="4"/>
      <c r="K1272" s="1"/>
    </row>
    <row r="1273" spans="1:11">
      <c r="A1273" s="1"/>
      <c r="B1273" s="7"/>
      <c r="C1273" s="1"/>
      <c r="D1273" s="1"/>
      <c r="E1273" s="4"/>
      <c r="F1273" s="4"/>
      <c r="G1273" s="4"/>
      <c r="J1273" s="4"/>
      <c r="K1273" s="1"/>
    </row>
    <row r="1274" spans="1:11">
      <c r="A1274" s="1"/>
      <c r="B1274" s="7"/>
      <c r="C1274" s="1"/>
      <c r="D1274" s="1"/>
      <c r="E1274" s="4"/>
      <c r="F1274" s="4"/>
      <c r="G1274" s="4"/>
      <c r="J1274" s="4"/>
      <c r="K1274" s="1"/>
    </row>
    <row r="1275" spans="1:11">
      <c r="A1275" s="1"/>
      <c r="B1275" s="7"/>
      <c r="C1275" s="1"/>
      <c r="D1275" s="1"/>
      <c r="E1275" s="4"/>
      <c r="F1275" s="4"/>
      <c r="G1275" s="4"/>
      <c r="J1275" s="4"/>
      <c r="K1275" s="1"/>
    </row>
    <row r="1276" spans="1:11">
      <c r="A1276" s="1"/>
      <c r="B1276" s="7"/>
      <c r="C1276" s="1"/>
      <c r="D1276" s="1"/>
      <c r="E1276" s="4"/>
      <c r="F1276" s="4"/>
      <c r="G1276" s="4"/>
      <c r="J1276" s="4"/>
      <c r="K1276" s="1"/>
    </row>
    <row r="1277" spans="1:11">
      <c r="A1277" s="1"/>
      <c r="B1277" s="7"/>
      <c r="C1277" s="1"/>
      <c r="D1277" s="1"/>
      <c r="E1277" s="4"/>
      <c r="F1277" s="4"/>
      <c r="G1277" s="4"/>
      <c r="J1277" s="4"/>
      <c r="K1277" s="1"/>
    </row>
    <row r="1278" spans="1:11">
      <c r="A1278" s="1"/>
      <c r="B1278" s="7"/>
      <c r="C1278" s="1"/>
      <c r="D1278" s="1"/>
      <c r="E1278" s="4"/>
      <c r="F1278" s="4"/>
      <c r="G1278" s="4"/>
      <c r="J1278" s="4"/>
      <c r="K1278" s="1"/>
    </row>
    <row r="1279" spans="1:11">
      <c r="A1279" s="1"/>
      <c r="B1279" s="7"/>
      <c r="C1279" s="1"/>
      <c r="D1279" s="1"/>
      <c r="E1279" s="4"/>
      <c r="F1279" s="4"/>
      <c r="G1279" s="4"/>
      <c r="J1279" s="4"/>
      <c r="K1279" s="1"/>
    </row>
    <row r="1280" spans="1:11">
      <c r="A1280" s="1"/>
      <c r="B1280" s="7"/>
      <c r="C1280" s="1"/>
      <c r="D1280" s="1"/>
      <c r="E1280" s="4"/>
      <c r="F1280" s="4"/>
      <c r="G1280" s="4"/>
      <c r="J1280" s="4"/>
      <c r="K1280" s="1"/>
    </row>
    <row r="1281" spans="1:11">
      <c r="A1281" s="1"/>
      <c r="B1281" s="7"/>
      <c r="C1281" s="1"/>
      <c r="D1281" s="1"/>
      <c r="E1281" s="4"/>
      <c r="F1281" s="4"/>
      <c r="G1281" s="4"/>
      <c r="J1281" s="4"/>
      <c r="K1281" s="1"/>
    </row>
    <row r="1282" spans="1:11">
      <c r="A1282" s="1"/>
      <c r="B1282" s="7"/>
      <c r="C1282" s="1"/>
      <c r="D1282" s="1"/>
      <c r="E1282" s="4"/>
      <c r="F1282" s="4"/>
      <c r="G1282" s="4"/>
      <c r="J1282" s="4"/>
      <c r="K1282" s="1"/>
    </row>
    <row r="1283" spans="1:11">
      <c r="A1283" s="1"/>
      <c r="B1283" s="7"/>
      <c r="C1283" s="1"/>
      <c r="D1283" s="1"/>
      <c r="E1283" s="4"/>
      <c r="F1283" s="4"/>
      <c r="G1283" s="4"/>
      <c r="J1283" s="4"/>
      <c r="K1283" s="1"/>
    </row>
    <row r="1284" spans="1:11">
      <c r="A1284" s="1"/>
      <c r="B1284" s="7"/>
      <c r="C1284" s="1"/>
      <c r="D1284" s="1"/>
      <c r="E1284" s="4"/>
      <c r="F1284" s="4"/>
      <c r="G1284" s="4"/>
      <c r="J1284" s="4"/>
      <c r="K1284" s="1"/>
    </row>
    <row r="1285" spans="1:11">
      <c r="A1285" s="1"/>
      <c r="B1285" s="7"/>
      <c r="C1285" s="1"/>
      <c r="D1285" s="1"/>
      <c r="E1285" s="4"/>
      <c r="F1285" s="4"/>
      <c r="G1285" s="4"/>
      <c r="J1285" s="4"/>
      <c r="K1285" s="1"/>
    </row>
    <row r="1286" spans="1:11">
      <c r="A1286" s="1"/>
      <c r="B1286" s="7"/>
      <c r="C1286" s="1"/>
      <c r="D1286" s="1"/>
      <c r="E1286" s="4"/>
      <c r="F1286" s="4"/>
      <c r="G1286" s="4"/>
      <c r="J1286" s="4"/>
      <c r="K1286" s="1"/>
    </row>
    <row r="1287" spans="1:11">
      <c r="A1287" s="1"/>
      <c r="B1287" s="7"/>
      <c r="C1287" s="1"/>
      <c r="D1287" s="1"/>
      <c r="E1287" s="4"/>
      <c r="F1287" s="4"/>
      <c r="G1287" s="4"/>
      <c r="J1287" s="4"/>
      <c r="K1287" s="1"/>
    </row>
    <row r="1288" spans="1:11">
      <c r="A1288" s="1"/>
      <c r="B1288" s="7"/>
      <c r="C1288" s="1"/>
      <c r="D1288" s="1"/>
      <c r="E1288" s="4"/>
      <c r="F1288" s="4"/>
      <c r="G1288" s="4"/>
      <c r="J1288" s="4"/>
      <c r="K1288" s="1"/>
    </row>
    <row r="1289" spans="1:11">
      <c r="A1289" s="1"/>
      <c r="B1289" s="7"/>
      <c r="C1289" s="1"/>
      <c r="D1289" s="1"/>
      <c r="E1289" s="4"/>
      <c r="F1289" s="4"/>
      <c r="G1289" s="4"/>
      <c r="J1289" s="4"/>
      <c r="K1289" s="1"/>
    </row>
    <row r="1290" spans="1:11">
      <c r="A1290" s="1"/>
      <c r="B1290" s="7"/>
      <c r="C1290" s="1"/>
      <c r="D1290" s="1"/>
      <c r="E1290" s="4"/>
      <c r="F1290" s="4"/>
      <c r="G1290" s="4"/>
      <c r="J1290" s="4"/>
      <c r="K1290" s="1"/>
    </row>
    <row r="1291" spans="1:11">
      <c r="A1291" s="1"/>
      <c r="B1291" s="7"/>
      <c r="C1291" s="1"/>
      <c r="D1291" s="1"/>
      <c r="E1291" s="4"/>
      <c r="F1291" s="4"/>
      <c r="G1291" s="4"/>
      <c r="J1291" s="4"/>
      <c r="K1291" s="1"/>
    </row>
    <row r="1292" spans="1:11">
      <c r="A1292" s="1"/>
      <c r="B1292" s="7"/>
      <c r="C1292" s="1"/>
      <c r="D1292" s="1"/>
      <c r="E1292" s="4"/>
      <c r="F1292" s="4"/>
      <c r="G1292" s="4"/>
      <c r="J1292" s="4"/>
      <c r="K1292" s="1"/>
    </row>
    <row r="1293" spans="1:11">
      <c r="A1293" s="1"/>
      <c r="B1293" s="7"/>
      <c r="C1293" s="1"/>
      <c r="D1293" s="1"/>
      <c r="E1293" s="4"/>
      <c r="F1293" s="4"/>
      <c r="G1293" s="4"/>
      <c r="J1293" s="4"/>
      <c r="K1293" s="1"/>
    </row>
    <row r="1294" spans="1:11">
      <c r="A1294" s="1"/>
      <c r="B1294" s="7"/>
      <c r="C1294" s="1"/>
      <c r="D1294" s="1"/>
      <c r="E1294" s="4"/>
      <c r="F1294" s="4"/>
      <c r="G1294" s="4"/>
      <c r="J1294" s="4"/>
      <c r="K1294" s="1"/>
    </row>
    <row r="1295" spans="1:11">
      <c r="A1295" s="1"/>
      <c r="B1295" s="7"/>
      <c r="C1295" s="1"/>
      <c r="D1295" s="1"/>
      <c r="E1295" s="4"/>
      <c r="F1295" s="4"/>
      <c r="G1295" s="4"/>
      <c r="J1295" s="4"/>
      <c r="K1295" s="1"/>
    </row>
    <row r="1296" spans="1:11">
      <c r="A1296" s="1"/>
      <c r="B1296" s="7"/>
      <c r="C1296" s="1"/>
      <c r="D1296" s="1"/>
      <c r="E1296" s="4"/>
      <c r="F1296" s="4"/>
      <c r="G1296" s="4"/>
      <c r="J1296" s="4"/>
      <c r="K1296" s="1"/>
    </row>
    <row r="1297" spans="1:11">
      <c r="A1297" s="1"/>
      <c r="B1297" s="7"/>
      <c r="C1297" s="1"/>
      <c r="D1297" s="1"/>
      <c r="E1297" s="4"/>
      <c r="F1297" s="4"/>
      <c r="G1297" s="4"/>
      <c r="J1297" s="4"/>
      <c r="K1297" s="1"/>
    </row>
    <row r="1298" spans="1:11">
      <c r="A1298" s="1"/>
      <c r="B1298" s="7"/>
      <c r="C1298" s="1"/>
      <c r="D1298" s="1"/>
      <c r="E1298" s="4"/>
      <c r="F1298" s="4"/>
      <c r="G1298" s="4"/>
      <c r="J1298" s="4"/>
      <c r="K1298" s="1"/>
    </row>
    <row r="1299" spans="1:11">
      <c r="A1299" s="1"/>
      <c r="B1299" s="7"/>
      <c r="C1299" s="1"/>
      <c r="D1299" s="1"/>
      <c r="E1299" s="4"/>
      <c r="F1299" s="4"/>
      <c r="G1299" s="4"/>
      <c r="J1299" s="4"/>
      <c r="K1299" s="1"/>
    </row>
    <row r="1300" spans="1:11">
      <c r="A1300" s="1"/>
      <c r="B1300" s="7"/>
      <c r="C1300" s="1"/>
      <c r="D1300" s="1"/>
      <c r="E1300" s="4"/>
      <c r="F1300" s="4"/>
      <c r="G1300" s="4"/>
      <c r="J1300" s="4"/>
      <c r="K1300" s="1"/>
    </row>
    <row r="1301" spans="1:11">
      <c r="A1301" s="1"/>
      <c r="B1301" s="7"/>
      <c r="C1301" s="1"/>
      <c r="D1301" s="1"/>
      <c r="E1301" s="4"/>
      <c r="F1301" s="4"/>
      <c r="G1301" s="4"/>
      <c r="J1301" s="4"/>
      <c r="K1301" s="1"/>
    </row>
    <row r="1302" spans="1:11">
      <c r="A1302" s="1"/>
      <c r="B1302" s="7"/>
      <c r="C1302" s="1"/>
      <c r="D1302" s="1"/>
      <c r="E1302" s="4"/>
      <c r="F1302" s="4"/>
      <c r="G1302" s="4"/>
      <c r="J1302" s="4"/>
      <c r="K1302" s="1"/>
    </row>
    <row r="1303" spans="1:11">
      <c r="A1303" s="1"/>
      <c r="B1303" s="7"/>
      <c r="C1303" s="1"/>
      <c r="D1303" s="1"/>
      <c r="E1303" s="4"/>
      <c r="F1303" s="4"/>
      <c r="G1303" s="4"/>
      <c r="J1303" s="4"/>
      <c r="K1303" s="1"/>
    </row>
    <row r="1304" spans="1:11">
      <c r="A1304" s="1"/>
      <c r="B1304" s="7"/>
      <c r="C1304" s="1"/>
      <c r="D1304" s="1"/>
      <c r="E1304" s="4"/>
      <c r="F1304" s="4"/>
      <c r="G1304" s="4"/>
      <c r="J1304" s="4"/>
      <c r="K1304" s="1"/>
    </row>
    <row r="1305" spans="1:11">
      <c r="A1305" s="1"/>
      <c r="B1305" s="7"/>
      <c r="C1305" s="1"/>
      <c r="D1305" s="1"/>
      <c r="E1305" s="4"/>
      <c r="F1305" s="4"/>
      <c r="G1305" s="4"/>
      <c r="J1305" s="4"/>
      <c r="K1305" s="1"/>
    </row>
    <row r="1306" spans="1:11">
      <c r="A1306" s="1"/>
      <c r="B1306" s="7"/>
      <c r="C1306" s="1"/>
      <c r="D1306" s="1"/>
      <c r="E1306" s="4"/>
      <c r="F1306" s="4"/>
      <c r="G1306" s="4"/>
      <c r="J1306" s="4"/>
      <c r="K1306" s="1"/>
    </row>
    <row r="1307" spans="1:11">
      <c r="A1307" s="1"/>
      <c r="B1307" s="7"/>
      <c r="C1307" s="1"/>
      <c r="D1307" s="1"/>
      <c r="E1307" s="4"/>
      <c r="F1307" s="4"/>
      <c r="G1307" s="4"/>
      <c r="J1307" s="4"/>
      <c r="K1307" s="1"/>
    </row>
    <row r="1308" spans="1:11">
      <c r="A1308" s="1"/>
      <c r="B1308" s="7"/>
      <c r="C1308" s="1"/>
      <c r="D1308" s="1"/>
      <c r="E1308" s="4"/>
      <c r="F1308" s="4"/>
      <c r="G1308" s="4"/>
      <c r="J1308" s="4"/>
      <c r="K1308" s="1"/>
    </row>
    <row r="1309" spans="1:11">
      <c r="A1309" s="1"/>
      <c r="B1309" s="7"/>
      <c r="C1309" s="1"/>
      <c r="D1309" s="1"/>
      <c r="E1309" s="4"/>
      <c r="F1309" s="4"/>
      <c r="G1309" s="4"/>
      <c r="J1309" s="4"/>
      <c r="K1309" s="1"/>
    </row>
    <row r="1310" spans="1:11">
      <c r="A1310" s="1"/>
      <c r="B1310" s="7"/>
      <c r="C1310" s="1"/>
      <c r="D1310" s="1"/>
      <c r="E1310" s="4"/>
      <c r="F1310" s="4"/>
      <c r="G1310" s="4"/>
      <c r="J1310" s="4"/>
      <c r="K1310" s="1"/>
    </row>
    <row r="1311" spans="1:11">
      <c r="A1311" s="1"/>
      <c r="B1311" s="7"/>
      <c r="C1311" s="1"/>
      <c r="D1311" s="1"/>
      <c r="E1311" s="4"/>
      <c r="F1311" s="4"/>
      <c r="G1311" s="4"/>
      <c r="J1311" s="4"/>
      <c r="K1311" s="1"/>
    </row>
    <row r="1312" spans="1:11">
      <c r="A1312" s="1"/>
      <c r="B1312" s="7"/>
      <c r="C1312" s="1"/>
      <c r="D1312" s="1"/>
      <c r="E1312" s="4"/>
      <c r="F1312" s="4"/>
      <c r="G1312" s="4"/>
      <c r="J1312" s="4"/>
      <c r="K1312" s="1"/>
    </row>
    <row r="1313" spans="1:11">
      <c r="A1313" s="1"/>
      <c r="B1313" s="7"/>
      <c r="C1313" s="1"/>
      <c r="D1313" s="1"/>
      <c r="E1313" s="4"/>
      <c r="F1313" s="4"/>
      <c r="G1313" s="4"/>
      <c r="J1313" s="4"/>
      <c r="K1313" s="1"/>
    </row>
    <row r="1314" spans="1:11">
      <c r="A1314" s="1"/>
      <c r="B1314" s="7"/>
      <c r="C1314" s="1"/>
      <c r="D1314" s="1"/>
      <c r="E1314" s="4"/>
      <c r="F1314" s="4"/>
      <c r="G1314" s="4"/>
      <c r="J1314" s="4"/>
      <c r="K1314" s="1"/>
    </row>
    <row r="1315" spans="1:11">
      <c r="A1315" s="1"/>
      <c r="B1315" s="7"/>
      <c r="C1315" s="1"/>
      <c r="D1315" s="1"/>
      <c r="E1315" s="4"/>
      <c r="F1315" s="4"/>
      <c r="G1315" s="4"/>
      <c r="J1315" s="4"/>
      <c r="K1315" s="1"/>
    </row>
    <row r="1316" spans="1:11">
      <c r="A1316" s="1"/>
      <c r="B1316" s="7"/>
      <c r="C1316" s="1"/>
      <c r="D1316" s="1"/>
      <c r="E1316" s="4"/>
      <c r="F1316" s="4"/>
      <c r="G1316" s="4"/>
      <c r="J1316" s="4"/>
      <c r="K1316" s="1"/>
    </row>
    <row r="1317" spans="1:11">
      <c r="A1317" s="1"/>
      <c r="B1317" s="7"/>
      <c r="C1317" s="1"/>
      <c r="D1317" s="1"/>
      <c r="E1317" s="4"/>
      <c r="F1317" s="4"/>
      <c r="G1317" s="4"/>
      <c r="J1317" s="4"/>
      <c r="K1317" s="1"/>
    </row>
    <row r="1318" spans="1:11">
      <c r="A1318" s="1"/>
      <c r="B1318" s="7"/>
      <c r="C1318" s="1"/>
      <c r="D1318" s="1"/>
      <c r="E1318" s="4"/>
      <c r="F1318" s="4"/>
      <c r="G1318" s="4"/>
      <c r="J1318" s="4"/>
      <c r="K1318" s="1"/>
    </row>
    <row r="1319" spans="1:11">
      <c r="A1319" s="1"/>
      <c r="B1319" s="7"/>
      <c r="C1319" s="1"/>
      <c r="D1319" s="1"/>
      <c r="E1319" s="4"/>
      <c r="F1319" s="4"/>
      <c r="G1319" s="4"/>
      <c r="J1319" s="4"/>
      <c r="K1319" s="1"/>
    </row>
    <row r="1320" spans="1:11">
      <c r="A1320" s="1"/>
      <c r="B1320" s="7"/>
      <c r="C1320" s="1"/>
      <c r="D1320" s="1"/>
      <c r="E1320" s="4"/>
      <c r="F1320" s="4"/>
      <c r="G1320" s="4"/>
      <c r="J1320" s="4"/>
      <c r="K1320" s="1"/>
    </row>
    <row r="1321" spans="1:11">
      <c r="A1321" s="1"/>
      <c r="B1321" s="7"/>
      <c r="C1321" s="1"/>
      <c r="D1321" s="1"/>
      <c r="E1321" s="4"/>
      <c r="F1321" s="4"/>
      <c r="G1321" s="4"/>
      <c r="J1321" s="4"/>
      <c r="K1321" s="1"/>
    </row>
    <row r="1322" spans="1:11">
      <c r="A1322" s="1"/>
      <c r="B1322" s="7"/>
      <c r="C1322" s="1"/>
      <c r="D1322" s="1"/>
      <c r="E1322" s="4"/>
      <c r="F1322" s="4"/>
      <c r="G1322" s="4"/>
      <c r="J1322" s="4"/>
      <c r="K1322" s="1"/>
    </row>
    <row r="1323" spans="1:11">
      <c r="A1323" s="1"/>
      <c r="B1323" s="7"/>
      <c r="C1323" s="1"/>
      <c r="D1323" s="1"/>
      <c r="E1323" s="4"/>
      <c r="F1323" s="4"/>
      <c r="G1323" s="4"/>
      <c r="J1323" s="4"/>
      <c r="K1323" s="1"/>
    </row>
    <row r="1324" spans="1:11">
      <c r="A1324" s="1"/>
      <c r="B1324" s="7"/>
      <c r="C1324" s="1"/>
      <c r="D1324" s="1"/>
      <c r="E1324" s="4"/>
      <c r="F1324" s="4"/>
      <c r="G1324" s="4"/>
      <c r="J1324" s="4"/>
      <c r="K1324" s="1"/>
    </row>
    <row r="1325" spans="1:11">
      <c r="A1325" s="1"/>
      <c r="B1325" s="7"/>
      <c r="C1325" s="1"/>
      <c r="D1325" s="1"/>
      <c r="E1325" s="4"/>
      <c r="F1325" s="4"/>
      <c r="G1325" s="4"/>
      <c r="J1325" s="4"/>
      <c r="K1325" s="1"/>
    </row>
    <row r="1326" spans="1:11">
      <c r="A1326" s="1"/>
      <c r="B1326" s="7"/>
      <c r="C1326" s="1"/>
      <c r="D1326" s="1"/>
      <c r="E1326" s="4"/>
      <c r="F1326" s="4"/>
      <c r="G1326" s="4"/>
      <c r="J1326" s="4"/>
      <c r="K1326" s="1"/>
    </row>
    <row r="1327" spans="1:11">
      <c r="A1327" s="1"/>
      <c r="B1327" s="7"/>
      <c r="C1327" s="1"/>
      <c r="D1327" s="1"/>
      <c r="E1327" s="4"/>
      <c r="F1327" s="4"/>
      <c r="G1327" s="4"/>
      <c r="J1327" s="4"/>
      <c r="K1327" s="1"/>
    </row>
    <row r="1328" spans="1:11">
      <c r="A1328" s="1"/>
      <c r="B1328" s="7"/>
      <c r="C1328" s="1"/>
      <c r="D1328" s="1"/>
      <c r="E1328" s="4"/>
      <c r="F1328" s="4"/>
      <c r="G1328" s="4"/>
      <c r="J1328" s="4"/>
      <c r="K1328" s="1"/>
    </row>
    <row r="1329" spans="1:11">
      <c r="A1329" s="1"/>
      <c r="B1329" s="7"/>
      <c r="C1329" s="1"/>
      <c r="D1329" s="1"/>
      <c r="E1329" s="4"/>
      <c r="F1329" s="4"/>
      <c r="G1329" s="4"/>
      <c r="J1329" s="4"/>
      <c r="K1329" s="1"/>
    </row>
    <row r="1330" spans="1:11">
      <c r="A1330" s="1"/>
      <c r="B1330" s="7"/>
      <c r="C1330" s="1"/>
      <c r="D1330" s="1"/>
      <c r="E1330" s="4"/>
      <c r="F1330" s="4"/>
      <c r="G1330" s="4"/>
      <c r="J1330" s="4"/>
      <c r="K1330" s="1"/>
    </row>
    <row r="1331" spans="1:11">
      <c r="A1331" s="1"/>
      <c r="B1331" s="7"/>
      <c r="C1331" s="1"/>
      <c r="D1331" s="1"/>
      <c r="E1331" s="4"/>
      <c r="F1331" s="4"/>
      <c r="G1331" s="4"/>
      <c r="J1331" s="4"/>
      <c r="K1331" s="1"/>
    </row>
    <row r="1332" spans="1:11">
      <c r="A1332" s="1"/>
      <c r="B1332" s="7"/>
      <c r="C1332" s="1"/>
      <c r="D1332" s="1"/>
      <c r="E1332" s="4"/>
      <c r="F1332" s="4"/>
      <c r="G1332" s="4"/>
      <c r="J1332" s="4"/>
      <c r="K1332" s="1"/>
    </row>
    <row r="1333" spans="1:11">
      <c r="A1333" s="1"/>
      <c r="B1333" s="7"/>
      <c r="C1333" s="1"/>
      <c r="D1333" s="1"/>
      <c r="E1333" s="4"/>
      <c r="F1333" s="4"/>
      <c r="G1333" s="4"/>
      <c r="J1333" s="4"/>
      <c r="K1333" s="1"/>
    </row>
    <row r="1334" spans="1:11">
      <c r="A1334" s="1"/>
      <c r="B1334" s="7"/>
      <c r="C1334" s="1"/>
      <c r="D1334" s="1"/>
      <c r="E1334" s="4"/>
      <c r="F1334" s="4"/>
      <c r="G1334" s="4"/>
      <c r="J1334" s="4"/>
      <c r="K1334" s="1"/>
    </row>
    <row r="1335" spans="1:11">
      <c r="A1335" s="1"/>
      <c r="B1335" s="7"/>
      <c r="C1335" s="1"/>
      <c r="D1335" s="1"/>
      <c r="E1335" s="4"/>
      <c r="F1335" s="4"/>
      <c r="G1335" s="4"/>
      <c r="J1335" s="4"/>
      <c r="K1335" s="1"/>
    </row>
    <row r="1336" spans="1:11">
      <c r="A1336" s="1"/>
      <c r="B1336" s="7"/>
      <c r="C1336" s="1"/>
      <c r="D1336" s="1"/>
      <c r="E1336" s="4"/>
      <c r="F1336" s="4"/>
      <c r="G1336" s="4"/>
      <c r="J1336" s="4"/>
      <c r="K1336" s="1"/>
    </row>
    <row r="1337" spans="1:11">
      <c r="A1337" s="1"/>
      <c r="B1337" s="7"/>
      <c r="C1337" s="1"/>
      <c r="D1337" s="1"/>
      <c r="E1337" s="4"/>
      <c r="F1337" s="4"/>
      <c r="G1337" s="4"/>
      <c r="J1337" s="4"/>
      <c r="K1337" s="1"/>
    </row>
    <row r="1338" spans="1:11">
      <c r="A1338" s="1"/>
      <c r="B1338" s="7"/>
      <c r="C1338" s="1"/>
      <c r="D1338" s="1"/>
      <c r="E1338" s="4"/>
      <c r="F1338" s="4"/>
      <c r="G1338" s="4"/>
      <c r="J1338" s="4"/>
      <c r="K1338" s="1"/>
    </row>
    <row r="1339" spans="1:11">
      <c r="A1339" s="1"/>
      <c r="B1339" s="7"/>
      <c r="C1339" s="1"/>
      <c r="D1339" s="1"/>
      <c r="E1339" s="4"/>
      <c r="F1339" s="4"/>
      <c r="G1339" s="4"/>
      <c r="J1339" s="4"/>
      <c r="K1339" s="1"/>
    </row>
    <row r="1340" spans="1:11">
      <c r="A1340" s="1"/>
      <c r="B1340" s="7"/>
      <c r="C1340" s="1"/>
      <c r="D1340" s="1"/>
      <c r="E1340" s="4"/>
      <c r="F1340" s="4"/>
      <c r="G1340" s="4"/>
      <c r="J1340" s="4"/>
      <c r="K1340" s="1"/>
    </row>
    <row r="1341" spans="1:11">
      <c r="A1341" s="1"/>
      <c r="B1341" s="7"/>
      <c r="C1341" s="1"/>
      <c r="D1341" s="1"/>
      <c r="E1341" s="4"/>
      <c r="F1341" s="4"/>
      <c r="G1341" s="4"/>
      <c r="J1341" s="4"/>
      <c r="K1341" s="1"/>
    </row>
    <row r="1342" spans="1:11">
      <c r="A1342" s="1"/>
      <c r="B1342" s="7"/>
      <c r="C1342" s="1"/>
      <c r="D1342" s="1"/>
      <c r="E1342" s="4"/>
      <c r="F1342" s="4"/>
      <c r="G1342" s="4"/>
      <c r="J1342" s="4"/>
      <c r="K1342" s="1"/>
    </row>
    <row r="1343" spans="1:11">
      <c r="A1343" s="1"/>
      <c r="B1343" s="7"/>
      <c r="C1343" s="1"/>
      <c r="D1343" s="1"/>
      <c r="E1343" s="4"/>
      <c r="F1343" s="4"/>
      <c r="G1343" s="4"/>
      <c r="J1343" s="4"/>
      <c r="K1343" s="1"/>
    </row>
    <row r="1344" spans="1:11">
      <c r="A1344" s="1"/>
      <c r="B1344" s="7"/>
      <c r="C1344" s="1"/>
      <c r="D1344" s="1"/>
      <c r="E1344" s="4"/>
      <c r="F1344" s="4"/>
      <c r="G1344" s="4"/>
      <c r="J1344" s="4"/>
      <c r="K1344" s="1"/>
    </row>
    <row r="1345" spans="1:11">
      <c r="A1345" s="1"/>
      <c r="B1345" s="7"/>
      <c r="C1345" s="1"/>
      <c r="D1345" s="1"/>
      <c r="E1345" s="4"/>
      <c r="F1345" s="4"/>
      <c r="G1345" s="4"/>
      <c r="J1345" s="4"/>
      <c r="K1345" s="1"/>
    </row>
    <row r="1346" spans="1:11">
      <c r="A1346" s="1"/>
      <c r="B1346" s="7"/>
      <c r="C1346" s="1"/>
      <c r="D1346" s="1"/>
      <c r="E1346" s="4"/>
      <c r="F1346" s="4"/>
      <c r="G1346" s="4"/>
      <c r="J1346" s="4"/>
      <c r="K1346" s="1"/>
    </row>
    <row r="1347" spans="1:11">
      <c r="A1347" s="1"/>
      <c r="B1347" s="7"/>
      <c r="C1347" s="1"/>
      <c r="D1347" s="1"/>
      <c r="E1347" s="4"/>
      <c r="F1347" s="4"/>
      <c r="G1347" s="4"/>
      <c r="J1347" s="4"/>
      <c r="K1347" s="1"/>
    </row>
    <row r="1348" spans="1:11">
      <c r="A1348" s="1"/>
      <c r="B1348" s="7"/>
      <c r="C1348" s="1"/>
      <c r="D1348" s="1"/>
      <c r="E1348" s="4"/>
      <c r="F1348" s="4"/>
      <c r="G1348" s="4"/>
      <c r="J1348" s="4"/>
      <c r="K1348" s="1"/>
    </row>
    <row r="1349" spans="1:11">
      <c r="A1349" s="1"/>
      <c r="B1349" s="7"/>
      <c r="C1349" s="1"/>
      <c r="D1349" s="1"/>
      <c r="E1349" s="4"/>
      <c r="F1349" s="4"/>
      <c r="G1349" s="4"/>
      <c r="J1349" s="4"/>
      <c r="K1349" s="1"/>
    </row>
    <row r="1350" spans="1:11">
      <c r="A1350" s="1"/>
      <c r="B1350" s="7"/>
      <c r="C1350" s="1"/>
      <c r="D1350" s="1"/>
      <c r="E1350" s="4"/>
      <c r="F1350" s="4"/>
      <c r="G1350" s="4"/>
      <c r="J1350" s="4"/>
      <c r="K1350" s="1"/>
    </row>
    <row r="1351" spans="1:11">
      <c r="A1351" s="1"/>
      <c r="B1351" s="7"/>
      <c r="C1351" s="1"/>
      <c r="D1351" s="1"/>
      <c r="E1351" s="4"/>
      <c r="F1351" s="4"/>
      <c r="G1351" s="4"/>
      <c r="J1351" s="4"/>
      <c r="K1351" s="1"/>
    </row>
    <row r="1352" spans="1:11">
      <c r="A1352" s="1"/>
      <c r="B1352" s="7"/>
      <c r="C1352" s="1"/>
      <c r="D1352" s="1"/>
      <c r="E1352" s="4"/>
      <c r="F1352" s="4"/>
      <c r="G1352" s="4"/>
      <c r="J1352" s="4"/>
      <c r="K1352" s="1"/>
    </row>
    <row r="1353" spans="1:11">
      <c r="A1353" s="1"/>
      <c r="B1353" s="7"/>
      <c r="C1353" s="1"/>
      <c r="D1353" s="1"/>
      <c r="E1353" s="4"/>
      <c r="F1353" s="4"/>
      <c r="G1353" s="4"/>
      <c r="J1353" s="4"/>
      <c r="K1353" s="1"/>
    </row>
    <row r="1354" spans="1:11">
      <c r="A1354" s="1"/>
      <c r="B1354" s="7"/>
      <c r="C1354" s="1"/>
      <c r="D1354" s="1"/>
      <c r="E1354" s="4"/>
      <c r="F1354" s="4"/>
      <c r="G1354" s="4"/>
      <c r="J1354" s="4"/>
      <c r="K1354" s="1"/>
    </row>
    <row r="1355" spans="1:11">
      <c r="A1355" s="1"/>
      <c r="B1355" s="7"/>
      <c r="C1355" s="1"/>
      <c r="D1355" s="1"/>
      <c r="E1355" s="4"/>
      <c r="F1355" s="4"/>
      <c r="G1355" s="4"/>
      <c r="J1355" s="4"/>
      <c r="K1355" s="1"/>
    </row>
    <row r="1356" spans="1:11">
      <c r="A1356" s="1"/>
      <c r="B1356" s="7"/>
      <c r="C1356" s="1"/>
      <c r="D1356" s="1"/>
      <c r="E1356" s="4"/>
      <c r="F1356" s="4"/>
      <c r="G1356" s="4"/>
      <c r="J1356" s="4"/>
      <c r="K1356" s="1"/>
    </row>
    <row r="1357" spans="1:11">
      <c r="A1357" s="1"/>
      <c r="B1357" s="7"/>
      <c r="C1357" s="1"/>
      <c r="D1357" s="1"/>
      <c r="E1357" s="4"/>
      <c r="F1357" s="4"/>
      <c r="G1357" s="4"/>
      <c r="J1357" s="4"/>
      <c r="K1357" s="1"/>
    </row>
    <row r="1358" spans="1:11">
      <c r="A1358" s="1"/>
      <c r="B1358" s="7"/>
      <c r="C1358" s="1"/>
      <c r="D1358" s="1"/>
      <c r="E1358" s="4"/>
      <c r="F1358" s="4"/>
      <c r="G1358" s="4"/>
      <c r="J1358" s="4"/>
      <c r="K1358" s="1"/>
    </row>
    <row r="1359" spans="1:11">
      <c r="A1359" s="1"/>
      <c r="B1359" s="7"/>
      <c r="C1359" s="1"/>
      <c r="D1359" s="1"/>
      <c r="E1359" s="4"/>
      <c r="F1359" s="4"/>
      <c r="G1359" s="4"/>
      <c r="J1359" s="4"/>
      <c r="K1359" s="1"/>
    </row>
    <row r="1360" spans="1:11">
      <c r="A1360" s="1"/>
      <c r="B1360" s="7"/>
      <c r="C1360" s="1"/>
      <c r="D1360" s="1"/>
      <c r="E1360" s="4"/>
      <c r="F1360" s="4"/>
      <c r="G1360" s="4"/>
      <c r="J1360" s="4"/>
      <c r="K1360" s="1"/>
    </row>
    <row r="1361" spans="1:11">
      <c r="A1361" s="1"/>
      <c r="B1361" s="7"/>
      <c r="C1361" s="1"/>
      <c r="D1361" s="1"/>
      <c r="E1361" s="4"/>
      <c r="F1361" s="4"/>
      <c r="G1361" s="4"/>
      <c r="J1361" s="4"/>
      <c r="K1361" s="1"/>
    </row>
    <row r="1362" spans="1:11">
      <c r="A1362" s="1"/>
      <c r="B1362" s="7"/>
      <c r="C1362" s="1"/>
      <c r="D1362" s="1"/>
      <c r="E1362" s="4"/>
      <c r="F1362" s="4"/>
      <c r="G1362" s="4"/>
      <c r="J1362" s="4"/>
      <c r="K1362" s="1"/>
    </row>
    <row r="1363" spans="1:11">
      <c r="A1363" s="1"/>
      <c r="B1363" s="7"/>
      <c r="C1363" s="1"/>
      <c r="D1363" s="1"/>
      <c r="E1363" s="4"/>
      <c r="F1363" s="4"/>
      <c r="G1363" s="4"/>
      <c r="J1363" s="4"/>
      <c r="K1363" s="1"/>
    </row>
    <row r="1364" spans="1:11">
      <c r="A1364" s="1"/>
      <c r="B1364" s="7"/>
      <c r="C1364" s="1"/>
      <c r="D1364" s="1"/>
      <c r="E1364" s="4"/>
      <c r="F1364" s="4"/>
      <c r="G1364" s="4"/>
      <c r="J1364" s="4"/>
      <c r="K1364" s="1"/>
    </row>
    <row r="1365" spans="1:11">
      <c r="A1365" s="1"/>
      <c r="B1365" s="7"/>
      <c r="C1365" s="1"/>
      <c r="D1365" s="1"/>
      <c r="E1365" s="4"/>
      <c r="F1365" s="4"/>
      <c r="G1365" s="4"/>
      <c r="J1365" s="4"/>
      <c r="K1365" s="1"/>
    </row>
    <row r="1366" spans="1:11">
      <c r="A1366" s="1"/>
      <c r="B1366" s="7"/>
      <c r="C1366" s="1"/>
      <c r="D1366" s="1"/>
      <c r="E1366" s="4"/>
      <c r="F1366" s="4"/>
      <c r="G1366" s="4"/>
      <c r="J1366" s="4"/>
      <c r="K1366" s="1"/>
    </row>
    <row r="1367" spans="1:11">
      <c r="A1367" s="1"/>
      <c r="B1367" s="7"/>
      <c r="C1367" s="1"/>
      <c r="D1367" s="1"/>
      <c r="E1367" s="4"/>
      <c r="F1367" s="4"/>
      <c r="G1367" s="4"/>
      <c r="J1367" s="4"/>
      <c r="K1367" s="1"/>
    </row>
    <row r="1368" spans="1:11">
      <c r="A1368" s="1"/>
      <c r="B1368" s="7"/>
      <c r="C1368" s="1"/>
      <c r="D1368" s="1"/>
      <c r="E1368" s="4"/>
      <c r="F1368" s="4"/>
      <c r="G1368" s="4"/>
      <c r="J1368" s="4"/>
      <c r="K1368" s="1"/>
    </row>
    <row r="1369" spans="1:11">
      <c r="A1369" s="1"/>
      <c r="B1369" s="7"/>
      <c r="C1369" s="1"/>
      <c r="D1369" s="1"/>
      <c r="E1369" s="4"/>
      <c r="F1369" s="4"/>
      <c r="G1369" s="4"/>
      <c r="J1369" s="4"/>
      <c r="K1369" s="1"/>
    </row>
    <row r="1370" spans="1:11">
      <c r="A1370" s="1"/>
      <c r="B1370" s="7"/>
      <c r="C1370" s="1"/>
      <c r="D1370" s="1"/>
      <c r="E1370" s="4"/>
      <c r="F1370" s="4"/>
      <c r="G1370" s="4"/>
      <c r="J1370" s="4"/>
      <c r="K1370" s="1"/>
    </row>
    <row r="1371" spans="1:11">
      <c r="A1371" s="1"/>
      <c r="B1371" s="7"/>
      <c r="C1371" s="1"/>
      <c r="D1371" s="1"/>
      <c r="E1371" s="4"/>
      <c r="F1371" s="4"/>
      <c r="G1371" s="4"/>
      <c r="J1371" s="4"/>
      <c r="K1371" s="1"/>
    </row>
    <row r="1372" spans="1:11">
      <c r="A1372" s="1"/>
      <c r="B1372" s="7"/>
      <c r="C1372" s="1"/>
      <c r="D1372" s="1"/>
      <c r="E1372" s="4"/>
      <c r="F1372" s="4"/>
      <c r="G1372" s="4"/>
      <c r="J1372" s="4"/>
      <c r="K1372" s="1"/>
    </row>
    <row r="1373" spans="1:11">
      <c r="A1373" s="1"/>
      <c r="B1373" s="7"/>
      <c r="C1373" s="1"/>
      <c r="D1373" s="1"/>
      <c r="E1373" s="4"/>
      <c r="F1373" s="4"/>
      <c r="G1373" s="4"/>
      <c r="J1373" s="4"/>
      <c r="K1373" s="1"/>
    </row>
    <row r="1374" spans="1:11">
      <c r="A1374" s="1"/>
      <c r="B1374" s="7"/>
      <c r="C1374" s="1"/>
      <c r="D1374" s="1"/>
      <c r="E1374" s="4"/>
      <c r="F1374" s="4"/>
      <c r="G1374" s="4"/>
      <c r="J1374" s="4"/>
      <c r="K1374" s="1"/>
    </row>
    <row r="1375" spans="1:11">
      <c r="A1375" s="1"/>
      <c r="B1375" s="7"/>
      <c r="C1375" s="1"/>
      <c r="D1375" s="1"/>
      <c r="E1375" s="4"/>
      <c r="F1375" s="4"/>
      <c r="G1375" s="4"/>
      <c r="J1375" s="4"/>
      <c r="K1375" s="1"/>
    </row>
    <row r="1376" spans="1:11">
      <c r="A1376" s="1"/>
      <c r="B1376" s="7"/>
      <c r="C1376" s="1"/>
      <c r="D1376" s="1"/>
      <c r="E1376" s="4"/>
      <c r="F1376" s="4"/>
      <c r="G1376" s="4"/>
      <c r="J1376" s="4"/>
      <c r="K1376" s="1"/>
    </row>
    <row r="1377" spans="1:11">
      <c r="A1377" s="1"/>
      <c r="B1377" s="7"/>
      <c r="C1377" s="1"/>
      <c r="D1377" s="1"/>
      <c r="E1377" s="4"/>
      <c r="F1377" s="4"/>
      <c r="G1377" s="4"/>
      <c r="J1377" s="4"/>
      <c r="K1377" s="1"/>
    </row>
    <row r="1378" spans="1:11">
      <c r="A1378" s="1"/>
      <c r="B1378" s="7"/>
      <c r="C1378" s="1"/>
      <c r="D1378" s="1"/>
      <c r="E1378" s="4"/>
      <c r="F1378" s="4"/>
      <c r="G1378" s="4"/>
      <c r="J1378" s="4"/>
      <c r="K1378" s="1"/>
    </row>
    <row r="1379" spans="1:11">
      <c r="A1379" s="1"/>
      <c r="B1379" s="7"/>
      <c r="C1379" s="1"/>
      <c r="D1379" s="1"/>
      <c r="E1379" s="4"/>
      <c r="F1379" s="4"/>
      <c r="G1379" s="4"/>
      <c r="J1379" s="4"/>
      <c r="K1379" s="1"/>
    </row>
    <row r="1380" spans="1:11">
      <c r="A1380" s="1"/>
      <c r="B1380" s="7"/>
      <c r="C1380" s="1"/>
      <c r="D1380" s="1"/>
      <c r="E1380" s="4"/>
      <c r="F1380" s="4"/>
      <c r="G1380" s="4"/>
      <c r="J1380" s="4"/>
      <c r="K1380" s="1"/>
    </row>
    <row r="1381" spans="1:11">
      <c r="A1381" s="1"/>
      <c r="B1381" s="7"/>
      <c r="C1381" s="1"/>
      <c r="D1381" s="1"/>
      <c r="E1381" s="4"/>
      <c r="F1381" s="4"/>
      <c r="G1381" s="4"/>
      <c r="J1381" s="4"/>
      <c r="K1381" s="1"/>
    </row>
    <row r="1382" spans="1:11">
      <c r="A1382" s="1"/>
      <c r="B1382" s="7"/>
      <c r="C1382" s="1"/>
      <c r="D1382" s="1"/>
      <c r="E1382" s="4"/>
      <c r="F1382" s="4"/>
      <c r="G1382" s="4"/>
      <c r="J1382" s="4"/>
      <c r="K1382" s="1"/>
    </row>
    <row r="1383" spans="1:11">
      <c r="A1383" s="1"/>
      <c r="B1383" s="7"/>
      <c r="C1383" s="1"/>
      <c r="D1383" s="1"/>
      <c r="E1383" s="4"/>
      <c r="F1383" s="4"/>
      <c r="G1383" s="4"/>
      <c r="J1383" s="4"/>
      <c r="K1383" s="1"/>
    </row>
    <row r="1384" spans="1:11">
      <c r="A1384" s="1"/>
      <c r="B1384" s="7"/>
      <c r="C1384" s="1"/>
      <c r="D1384" s="1"/>
      <c r="E1384" s="4"/>
      <c r="F1384" s="4"/>
      <c r="G1384" s="4"/>
      <c r="J1384" s="4"/>
      <c r="K1384" s="1"/>
    </row>
    <row r="1385" spans="1:11">
      <c r="A1385" s="1"/>
      <c r="B1385" s="7"/>
      <c r="C1385" s="1"/>
      <c r="D1385" s="1"/>
      <c r="E1385" s="4"/>
      <c r="F1385" s="4"/>
      <c r="G1385" s="4"/>
      <c r="J1385" s="4"/>
      <c r="K1385" s="1"/>
    </row>
    <row r="1386" spans="1:11">
      <c r="A1386" s="1"/>
      <c r="B1386" s="7"/>
      <c r="C1386" s="1"/>
      <c r="D1386" s="1"/>
      <c r="E1386" s="4"/>
      <c r="F1386" s="4"/>
      <c r="G1386" s="4"/>
      <c r="J1386" s="4"/>
      <c r="K1386" s="1"/>
    </row>
    <row r="1387" spans="1:11">
      <c r="A1387" s="1"/>
      <c r="B1387" s="7"/>
      <c r="C1387" s="1"/>
      <c r="D1387" s="1"/>
      <c r="E1387" s="4"/>
      <c r="F1387" s="4"/>
      <c r="G1387" s="4"/>
      <c r="J1387" s="4"/>
      <c r="K1387" s="1"/>
    </row>
    <row r="1388" spans="1:11">
      <c r="A1388" s="1"/>
      <c r="B1388" s="7"/>
      <c r="C1388" s="1"/>
      <c r="D1388" s="1"/>
      <c r="E1388" s="4"/>
      <c r="F1388" s="4"/>
      <c r="G1388" s="4"/>
      <c r="J1388" s="4"/>
      <c r="K1388" s="1"/>
    </row>
    <row r="1389" spans="1:11">
      <c r="A1389" s="1"/>
      <c r="B1389" s="7"/>
      <c r="C1389" s="1"/>
      <c r="D1389" s="1"/>
      <c r="E1389" s="4"/>
      <c r="F1389" s="4"/>
      <c r="G1389" s="4"/>
      <c r="J1389" s="4"/>
      <c r="K1389" s="1"/>
    </row>
    <row r="1390" spans="1:11">
      <c r="A1390" s="1"/>
      <c r="B1390" s="7"/>
      <c r="C1390" s="1"/>
      <c r="D1390" s="1"/>
      <c r="E1390" s="4"/>
      <c r="F1390" s="4"/>
      <c r="G1390" s="4"/>
      <c r="J1390" s="4"/>
      <c r="K1390" s="1"/>
    </row>
    <row r="1391" spans="1:11">
      <c r="A1391" s="1"/>
      <c r="B1391" s="7"/>
      <c r="C1391" s="1"/>
      <c r="D1391" s="1"/>
      <c r="E1391" s="4"/>
      <c r="F1391" s="4"/>
      <c r="G1391" s="4"/>
      <c r="J1391" s="4"/>
      <c r="K1391" s="1"/>
    </row>
    <row r="1392" spans="1:11">
      <c r="A1392" s="1"/>
      <c r="B1392" s="7"/>
      <c r="C1392" s="1"/>
      <c r="D1392" s="1"/>
      <c r="E1392" s="4"/>
      <c r="F1392" s="4"/>
      <c r="G1392" s="4"/>
      <c r="J1392" s="4"/>
      <c r="K1392" s="1"/>
    </row>
    <row r="1393" spans="1:11">
      <c r="A1393" s="1"/>
      <c r="B1393" s="7"/>
      <c r="C1393" s="1"/>
      <c r="D1393" s="1"/>
      <c r="E1393" s="4"/>
      <c r="F1393" s="4"/>
      <c r="G1393" s="4"/>
      <c r="J1393" s="4"/>
      <c r="K1393" s="1"/>
    </row>
    <row r="1394" spans="1:11">
      <c r="A1394" s="1"/>
      <c r="B1394" s="7"/>
      <c r="C1394" s="1"/>
      <c r="D1394" s="1"/>
      <c r="E1394" s="4"/>
      <c r="F1394" s="4"/>
      <c r="G1394" s="4"/>
      <c r="J1394" s="4"/>
      <c r="K1394" s="1"/>
    </row>
    <row r="1395" spans="1:11">
      <c r="A1395" s="1"/>
      <c r="B1395" s="7"/>
      <c r="C1395" s="1"/>
      <c r="D1395" s="1"/>
      <c r="E1395" s="4"/>
      <c r="F1395" s="4"/>
      <c r="G1395" s="4"/>
      <c r="J1395" s="4"/>
      <c r="K1395" s="1"/>
    </row>
    <row r="1396" spans="1:11">
      <c r="A1396" s="1"/>
      <c r="B1396" s="7"/>
      <c r="C1396" s="1"/>
      <c r="D1396" s="1"/>
      <c r="E1396" s="4"/>
      <c r="F1396" s="4"/>
      <c r="G1396" s="4"/>
      <c r="J1396" s="4"/>
      <c r="K1396" s="1"/>
    </row>
    <row r="1397" spans="1:11">
      <c r="A1397" s="1"/>
      <c r="B1397" s="7"/>
      <c r="C1397" s="1"/>
      <c r="D1397" s="1"/>
      <c r="E1397" s="4"/>
      <c r="F1397" s="4"/>
      <c r="G1397" s="4"/>
      <c r="J1397" s="4"/>
      <c r="K1397" s="1"/>
    </row>
    <row r="1398" spans="1:11">
      <c r="A1398" s="1"/>
      <c r="B1398" s="7"/>
      <c r="C1398" s="1"/>
      <c r="D1398" s="1"/>
      <c r="E1398" s="4"/>
      <c r="F1398" s="4"/>
      <c r="G1398" s="4"/>
      <c r="J1398" s="4"/>
      <c r="K1398" s="1"/>
    </row>
    <row r="1399" spans="1:11">
      <c r="A1399" s="1"/>
      <c r="B1399" s="7"/>
      <c r="C1399" s="1"/>
      <c r="D1399" s="1"/>
      <c r="E1399" s="4"/>
      <c r="F1399" s="4"/>
      <c r="G1399" s="4"/>
      <c r="J1399" s="4"/>
      <c r="K1399" s="1"/>
    </row>
    <row r="1400" spans="1:11">
      <c r="A1400" s="1"/>
      <c r="B1400" s="7"/>
      <c r="C1400" s="1"/>
      <c r="D1400" s="1"/>
      <c r="E1400" s="4"/>
      <c r="F1400" s="4"/>
      <c r="G1400" s="4"/>
      <c r="J1400" s="4"/>
      <c r="K1400" s="1"/>
    </row>
    <row r="1401" spans="1:11">
      <c r="A1401" s="1"/>
      <c r="B1401" s="7"/>
      <c r="C1401" s="1"/>
      <c r="D1401" s="1"/>
      <c r="E1401" s="4"/>
      <c r="F1401" s="4"/>
      <c r="G1401" s="4"/>
      <c r="J1401" s="4"/>
      <c r="K1401" s="1"/>
    </row>
    <row r="1402" spans="1:11">
      <c r="A1402" s="1"/>
      <c r="B1402" s="7"/>
      <c r="C1402" s="1"/>
      <c r="D1402" s="1"/>
      <c r="E1402" s="4"/>
      <c r="F1402" s="4"/>
      <c r="G1402" s="4"/>
      <c r="J1402" s="4"/>
      <c r="K1402" s="1"/>
    </row>
    <row r="1403" spans="1:11">
      <c r="A1403" s="1"/>
      <c r="B1403" s="7"/>
      <c r="C1403" s="1"/>
      <c r="D1403" s="1"/>
      <c r="E1403" s="4"/>
      <c r="F1403" s="4"/>
      <c r="G1403" s="4"/>
      <c r="J1403" s="4"/>
      <c r="K1403" s="1"/>
    </row>
    <row r="1404" spans="1:11">
      <c r="A1404" s="1"/>
      <c r="B1404" s="7"/>
      <c r="C1404" s="1"/>
      <c r="D1404" s="1"/>
      <c r="E1404" s="4"/>
      <c r="F1404" s="4"/>
      <c r="G1404" s="4"/>
      <c r="J1404" s="4"/>
      <c r="K1404" s="1"/>
    </row>
    <row r="1405" spans="1:11">
      <c r="A1405" s="1"/>
      <c r="B1405" s="7"/>
      <c r="C1405" s="1"/>
      <c r="D1405" s="1"/>
      <c r="E1405" s="4"/>
      <c r="F1405" s="4"/>
      <c r="G1405" s="4"/>
      <c r="J1405" s="4"/>
      <c r="K1405" s="1"/>
    </row>
    <row r="1406" spans="1:11">
      <c r="A1406" s="1"/>
      <c r="B1406" s="7"/>
      <c r="C1406" s="1"/>
      <c r="D1406" s="1"/>
      <c r="E1406" s="4"/>
      <c r="F1406" s="4"/>
      <c r="G1406" s="4"/>
      <c r="J1406" s="4"/>
      <c r="K1406" s="1"/>
    </row>
    <row r="1407" spans="1:11">
      <c r="A1407" s="1"/>
      <c r="B1407" s="7"/>
      <c r="C1407" s="1"/>
      <c r="D1407" s="1"/>
      <c r="E1407" s="4"/>
      <c r="F1407" s="4"/>
      <c r="G1407" s="4"/>
      <c r="J1407" s="4"/>
      <c r="K1407" s="1"/>
    </row>
    <row r="1408" spans="1:11">
      <c r="A1408" s="1"/>
      <c r="B1408" s="7"/>
      <c r="C1408" s="1"/>
      <c r="D1408" s="1"/>
      <c r="E1408" s="4"/>
      <c r="F1408" s="4"/>
      <c r="G1408" s="4"/>
      <c r="J1408" s="4"/>
      <c r="K1408" s="1"/>
    </row>
    <row r="1409" spans="1:11">
      <c r="A1409" s="1"/>
      <c r="B1409" s="7"/>
      <c r="C1409" s="1"/>
      <c r="D1409" s="1"/>
      <c r="E1409" s="4"/>
      <c r="F1409" s="4"/>
      <c r="G1409" s="4"/>
      <c r="J1409" s="4"/>
      <c r="K1409" s="1"/>
    </row>
    <row r="1410" spans="1:11">
      <c r="A1410" s="1"/>
      <c r="B1410" s="7"/>
      <c r="C1410" s="1"/>
      <c r="D1410" s="1"/>
      <c r="E1410" s="4"/>
      <c r="F1410" s="4"/>
      <c r="G1410" s="4"/>
      <c r="J1410" s="4"/>
      <c r="K1410" s="1"/>
    </row>
    <row r="1411" spans="1:11">
      <c r="A1411" s="1"/>
      <c r="B1411" s="7"/>
      <c r="C1411" s="1"/>
      <c r="D1411" s="1"/>
      <c r="E1411" s="4"/>
      <c r="F1411" s="4"/>
      <c r="G1411" s="4"/>
      <c r="J1411" s="4"/>
      <c r="K1411" s="1"/>
    </row>
    <row r="1412" spans="1:11">
      <c r="A1412" s="1"/>
      <c r="B1412" s="7"/>
      <c r="C1412" s="1"/>
      <c r="D1412" s="1"/>
      <c r="E1412" s="4"/>
      <c r="F1412" s="4"/>
      <c r="G1412" s="4"/>
      <c r="J1412" s="4"/>
      <c r="K1412" s="1"/>
    </row>
    <row r="1413" spans="1:11">
      <c r="A1413" s="1"/>
      <c r="B1413" s="7"/>
      <c r="C1413" s="1"/>
      <c r="D1413" s="1"/>
      <c r="E1413" s="4"/>
      <c r="F1413" s="4"/>
      <c r="G1413" s="4"/>
      <c r="J1413" s="4"/>
      <c r="K1413" s="1"/>
    </row>
    <row r="1414" spans="1:11">
      <c r="A1414" s="1"/>
      <c r="B1414" s="7"/>
      <c r="C1414" s="1"/>
      <c r="D1414" s="1"/>
      <c r="E1414" s="4"/>
      <c r="F1414" s="4"/>
      <c r="G1414" s="4"/>
      <c r="J1414" s="4"/>
      <c r="K1414" s="1"/>
    </row>
    <row r="1415" spans="1:11">
      <c r="A1415" s="1"/>
      <c r="B1415" s="7"/>
      <c r="C1415" s="1"/>
      <c r="D1415" s="1"/>
      <c r="E1415" s="4"/>
      <c r="F1415" s="4"/>
      <c r="G1415" s="4"/>
      <c r="J1415" s="4"/>
      <c r="K1415" s="1"/>
    </row>
    <row r="1416" spans="1:11">
      <c r="A1416" s="1"/>
      <c r="B1416" s="7"/>
      <c r="C1416" s="1"/>
      <c r="D1416" s="1"/>
      <c r="E1416" s="4"/>
      <c r="F1416" s="4"/>
      <c r="G1416" s="4"/>
      <c r="J1416" s="4"/>
      <c r="K1416" s="1"/>
    </row>
    <row r="1417" spans="1:11">
      <c r="A1417" s="1"/>
      <c r="B1417" s="7"/>
      <c r="C1417" s="1"/>
      <c r="D1417" s="1"/>
      <c r="E1417" s="4"/>
      <c r="F1417" s="4"/>
      <c r="G1417" s="4"/>
      <c r="J1417" s="4"/>
      <c r="K1417" s="1"/>
    </row>
    <row r="1418" spans="1:11">
      <c r="A1418" s="1"/>
      <c r="B1418" s="7"/>
      <c r="C1418" s="1"/>
      <c r="D1418" s="1"/>
      <c r="E1418" s="4"/>
      <c r="F1418" s="4"/>
      <c r="G1418" s="4"/>
      <c r="J1418" s="4"/>
      <c r="K1418" s="1"/>
    </row>
    <row r="1419" spans="1:11">
      <c r="A1419" s="1"/>
      <c r="B1419" s="7"/>
      <c r="C1419" s="1"/>
      <c r="D1419" s="1"/>
      <c r="E1419" s="4"/>
      <c r="F1419" s="4"/>
      <c r="G1419" s="4"/>
      <c r="J1419" s="4"/>
      <c r="K1419" s="1"/>
    </row>
    <row r="1420" spans="1:11">
      <c r="A1420" s="1"/>
      <c r="B1420" s="7"/>
      <c r="C1420" s="1"/>
      <c r="D1420" s="1"/>
      <c r="E1420" s="4"/>
      <c r="F1420" s="4"/>
      <c r="G1420" s="4"/>
      <c r="J1420" s="4"/>
      <c r="K1420" s="1"/>
    </row>
    <row r="1421" spans="1:11">
      <c r="A1421" s="1"/>
      <c r="B1421" s="7"/>
      <c r="C1421" s="1"/>
      <c r="D1421" s="1"/>
      <c r="E1421" s="4"/>
      <c r="F1421" s="4"/>
      <c r="G1421" s="4"/>
      <c r="J1421" s="4"/>
      <c r="K1421" s="1"/>
    </row>
    <row r="1422" spans="1:11">
      <c r="A1422" s="1"/>
      <c r="B1422" s="7"/>
      <c r="C1422" s="1"/>
      <c r="D1422" s="1"/>
      <c r="E1422" s="4"/>
      <c r="F1422" s="4"/>
      <c r="G1422" s="4"/>
      <c r="J1422" s="4"/>
      <c r="K1422" s="1"/>
    </row>
    <row r="1423" spans="1:11">
      <c r="A1423" s="1"/>
      <c r="B1423" s="7"/>
      <c r="C1423" s="1"/>
      <c r="D1423" s="1"/>
      <c r="E1423" s="4"/>
      <c r="F1423" s="4"/>
      <c r="G1423" s="4"/>
      <c r="J1423" s="4"/>
      <c r="K1423" s="1"/>
    </row>
    <row r="1424" spans="1:11">
      <c r="A1424" s="1"/>
      <c r="B1424" s="7"/>
      <c r="C1424" s="1"/>
      <c r="D1424" s="1"/>
      <c r="E1424" s="4"/>
      <c r="F1424" s="4"/>
      <c r="G1424" s="4"/>
      <c r="J1424" s="4"/>
      <c r="K1424" s="1"/>
    </row>
    <row r="1425" spans="1:11">
      <c r="A1425" s="1"/>
      <c r="B1425" s="7"/>
      <c r="C1425" s="1"/>
      <c r="D1425" s="1"/>
      <c r="E1425" s="4"/>
      <c r="F1425" s="4"/>
      <c r="G1425" s="4"/>
      <c r="J1425" s="4"/>
      <c r="K1425" s="1"/>
    </row>
    <row r="1426" spans="1:11">
      <c r="A1426" s="1"/>
      <c r="B1426" s="7"/>
      <c r="C1426" s="1"/>
      <c r="D1426" s="1"/>
      <c r="E1426" s="4"/>
      <c r="F1426" s="4"/>
      <c r="G1426" s="4"/>
      <c r="J1426" s="4"/>
      <c r="K1426" s="1"/>
    </row>
    <row r="1427" spans="1:11">
      <c r="A1427" s="1"/>
      <c r="B1427" s="7"/>
      <c r="C1427" s="1"/>
      <c r="D1427" s="1"/>
      <c r="E1427" s="4"/>
      <c r="F1427" s="4"/>
      <c r="G1427" s="4"/>
      <c r="J1427" s="4"/>
      <c r="K1427" s="1"/>
    </row>
    <row r="1428" spans="1:11">
      <c r="A1428" s="1"/>
      <c r="B1428" s="7"/>
      <c r="C1428" s="1"/>
      <c r="D1428" s="1"/>
      <c r="E1428" s="4"/>
      <c r="F1428" s="4"/>
      <c r="G1428" s="4"/>
      <c r="J1428" s="4"/>
      <c r="K1428" s="1"/>
    </row>
    <row r="1429" spans="1:11">
      <c r="A1429" s="1"/>
      <c r="B1429" s="7"/>
      <c r="C1429" s="1"/>
      <c r="D1429" s="1"/>
      <c r="E1429" s="4"/>
      <c r="F1429" s="4"/>
      <c r="G1429" s="4"/>
      <c r="J1429" s="4"/>
      <c r="K1429" s="1"/>
    </row>
    <row r="1430" spans="1:11">
      <c r="A1430" s="1"/>
      <c r="B1430" s="7"/>
      <c r="C1430" s="1"/>
      <c r="D1430" s="1"/>
      <c r="E1430" s="4"/>
      <c r="F1430" s="4"/>
      <c r="G1430" s="4"/>
      <c r="J1430" s="4"/>
      <c r="K1430" s="1"/>
    </row>
    <row r="1431" spans="1:11">
      <c r="A1431" s="1"/>
      <c r="B1431" s="7"/>
      <c r="C1431" s="1"/>
      <c r="D1431" s="1"/>
      <c r="E1431" s="4"/>
      <c r="F1431" s="4"/>
      <c r="G1431" s="4"/>
      <c r="J1431" s="4"/>
      <c r="K1431" s="1"/>
    </row>
    <row r="1432" spans="1:11">
      <c r="A1432" s="1"/>
      <c r="B1432" s="7"/>
      <c r="C1432" s="1"/>
      <c r="D1432" s="1"/>
      <c r="E1432" s="4"/>
      <c r="F1432" s="4"/>
      <c r="G1432" s="4"/>
      <c r="J1432" s="4"/>
      <c r="K1432" s="1"/>
    </row>
    <row r="1433" spans="1:11">
      <c r="A1433" s="1"/>
      <c r="B1433" s="7"/>
      <c r="C1433" s="1"/>
      <c r="D1433" s="1"/>
      <c r="E1433" s="4"/>
      <c r="F1433" s="4"/>
      <c r="G1433" s="4"/>
      <c r="J1433" s="4"/>
      <c r="K1433" s="1"/>
    </row>
    <row r="1434" spans="1:11">
      <c r="A1434" s="1"/>
      <c r="B1434" s="7"/>
      <c r="C1434" s="1"/>
      <c r="D1434" s="1"/>
      <c r="E1434" s="4"/>
      <c r="F1434" s="4"/>
      <c r="G1434" s="4"/>
      <c r="J1434" s="4"/>
      <c r="K1434" s="1"/>
    </row>
    <row r="1435" spans="1:11">
      <c r="A1435" s="1"/>
      <c r="B1435" s="7"/>
      <c r="C1435" s="1"/>
      <c r="D1435" s="1"/>
      <c r="E1435" s="4"/>
      <c r="F1435" s="4"/>
      <c r="G1435" s="4"/>
      <c r="J1435" s="4"/>
      <c r="K1435" s="1"/>
    </row>
    <row r="1436" spans="1:11">
      <c r="A1436" s="1"/>
      <c r="B1436" s="7"/>
      <c r="C1436" s="1"/>
      <c r="D1436" s="1"/>
      <c r="E1436" s="4"/>
      <c r="F1436" s="4"/>
      <c r="G1436" s="4"/>
      <c r="J1436" s="4"/>
      <c r="K1436" s="1"/>
    </row>
    <row r="1437" spans="1:11">
      <c r="A1437" s="1"/>
      <c r="B1437" s="7"/>
      <c r="C1437" s="1"/>
      <c r="D1437" s="1"/>
      <c r="E1437" s="4"/>
      <c r="F1437" s="4"/>
      <c r="G1437" s="4"/>
      <c r="J1437" s="4"/>
      <c r="K1437" s="1"/>
    </row>
    <row r="1438" spans="1:11">
      <c r="A1438" s="1"/>
      <c r="B1438" s="7"/>
      <c r="C1438" s="1"/>
      <c r="D1438" s="1"/>
      <c r="E1438" s="4"/>
      <c r="F1438" s="4"/>
      <c r="G1438" s="4"/>
      <c r="J1438" s="4"/>
      <c r="K1438" s="1"/>
    </row>
    <row r="1439" spans="1:11">
      <c r="A1439" s="1"/>
      <c r="B1439" s="7"/>
      <c r="C1439" s="1"/>
      <c r="D1439" s="1"/>
      <c r="E1439" s="4"/>
      <c r="F1439" s="4"/>
      <c r="G1439" s="4"/>
      <c r="J1439" s="4"/>
      <c r="K1439" s="1"/>
    </row>
    <row r="1440" spans="1:11">
      <c r="A1440" s="1"/>
      <c r="B1440" s="7"/>
      <c r="C1440" s="1"/>
      <c r="D1440" s="1"/>
      <c r="E1440" s="4"/>
      <c r="F1440" s="4"/>
      <c r="G1440" s="4"/>
      <c r="J1440" s="4"/>
      <c r="K1440" s="1"/>
    </row>
    <row r="1441" spans="1:11">
      <c r="A1441" s="1"/>
      <c r="B1441" s="7"/>
      <c r="C1441" s="1"/>
      <c r="D1441" s="1"/>
      <c r="E1441" s="4"/>
      <c r="F1441" s="4"/>
      <c r="G1441" s="4"/>
      <c r="J1441" s="4"/>
      <c r="K1441" s="1"/>
    </row>
    <row r="1442" spans="1:11">
      <c r="A1442" s="1"/>
      <c r="B1442" s="7"/>
      <c r="C1442" s="1"/>
      <c r="D1442" s="1"/>
      <c r="E1442" s="4"/>
      <c r="F1442" s="4"/>
      <c r="G1442" s="4"/>
      <c r="J1442" s="4"/>
      <c r="K1442" s="1"/>
    </row>
    <row r="1443" spans="1:11">
      <c r="A1443" s="1"/>
      <c r="B1443" s="7"/>
      <c r="C1443" s="1"/>
      <c r="D1443" s="1"/>
      <c r="E1443" s="4"/>
      <c r="F1443" s="4"/>
      <c r="G1443" s="4"/>
      <c r="J1443" s="4"/>
      <c r="K1443" s="1"/>
    </row>
    <row r="1444" spans="1:11">
      <c r="A1444" s="1"/>
      <c r="B1444" s="7"/>
      <c r="C1444" s="1"/>
      <c r="D1444" s="1"/>
      <c r="E1444" s="4"/>
      <c r="F1444" s="4"/>
      <c r="G1444" s="4"/>
      <c r="J1444" s="4"/>
      <c r="K1444" s="1"/>
    </row>
    <row r="1445" spans="1:11">
      <c r="A1445" s="1"/>
      <c r="B1445" s="7"/>
      <c r="C1445" s="1"/>
      <c r="D1445" s="1"/>
      <c r="E1445" s="4"/>
      <c r="F1445" s="4"/>
      <c r="G1445" s="4"/>
      <c r="J1445" s="4"/>
      <c r="K1445" s="1"/>
    </row>
    <row r="1446" spans="1:11">
      <c r="A1446" s="1"/>
      <c r="B1446" s="7"/>
      <c r="C1446" s="1"/>
      <c r="D1446" s="1"/>
      <c r="E1446" s="4"/>
      <c r="F1446" s="4"/>
      <c r="G1446" s="4"/>
      <c r="J1446" s="4"/>
      <c r="K1446" s="1"/>
    </row>
    <row r="1447" spans="1:11">
      <c r="A1447" s="1"/>
      <c r="B1447" s="7"/>
      <c r="C1447" s="1"/>
      <c r="D1447" s="1"/>
      <c r="E1447" s="4"/>
      <c r="F1447" s="4"/>
      <c r="G1447" s="4"/>
      <c r="J1447" s="4"/>
      <c r="K1447" s="1"/>
    </row>
    <row r="1448" spans="1:11">
      <c r="A1448" s="1"/>
      <c r="B1448" s="7"/>
      <c r="C1448" s="1"/>
      <c r="D1448" s="1"/>
      <c r="E1448" s="4"/>
      <c r="F1448" s="4"/>
      <c r="G1448" s="4"/>
      <c r="J1448" s="4"/>
      <c r="K1448" s="1"/>
    </row>
    <row r="1449" spans="1:11">
      <c r="A1449" s="1"/>
      <c r="B1449" s="7"/>
      <c r="C1449" s="1"/>
      <c r="D1449" s="1"/>
      <c r="E1449" s="4"/>
      <c r="F1449" s="4"/>
      <c r="G1449" s="4"/>
      <c r="J1449" s="4"/>
      <c r="K1449" s="1"/>
    </row>
    <row r="1450" spans="1:11">
      <c r="A1450" s="1"/>
      <c r="B1450" s="7"/>
      <c r="C1450" s="1"/>
      <c r="D1450" s="1"/>
      <c r="E1450" s="4"/>
      <c r="F1450" s="4"/>
      <c r="G1450" s="4"/>
      <c r="J1450" s="4"/>
      <c r="K1450" s="1"/>
    </row>
    <row r="1451" spans="1:11">
      <c r="A1451" s="1"/>
      <c r="B1451" s="7"/>
      <c r="C1451" s="1"/>
      <c r="D1451" s="1"/>
      <c r="E1451" s="4"/>
      <c r="F1451" s="4"/>
      <c r="G1451" s="4"/>
      <c r="J1451" s="4"/>
      <c r="K1451" s="1"/>
    </row>
    <row r="1452" spans="1:11">
      <c r="A1452" s="1"/>
      <c r="B1452" s="7"/>
      <c r="C1452" s="1"/>
      <c r="D1452" s="1"/>
      <c r="E1452" s="4"/>
      <c r="F1452" s="4"/>
      <c r="G1452" s="4"/>
      <c r="J1452" s="4"/>
      <c r="K1452" s="1"/>
    </row>
    <row r="1453" spans="1:11">
      <c r="A1453" s="1"/>
      <c r="B1453" s="7"/>
      <c r="C1453" s="1"/>
      <c r="D1453" s="1"/>
      <c r="E1453" s="4"/>
      <c r="F1453" s="4"/>
      <c r="G1453" s="4"/>
      <c r="J1453" s="4"/>
      <c r="K1453" s="1"/>
    </row>
    <row r="1454" spans="1:11">
      <c r="A1454" s="1"/>
      <c r="B1454" s="7"/>
      <c r="C1454" s="1"/>
      <c r="D1454" s="1"/>
      <c r="E1454" s="4"/>
      <c r="F1454" s="4"/>
      <c r="G1454" s="4"/>
      <c r="J1454" s="4"/>
      <c r="K1454" s="1"/>
    </row>
    <row r="1455" spans="1:11">
      <c r="A1455" s="1"/>
      <c r="B1455" s="7"/>
      <c r="C1455" s="1"/>
      <c r="D1455" s="1"/>
      <c r="E1455" s="4"/>
      <c r="F1455" s="4"/>
      <c r="G1455" s="4"/>
      <c r="J1455" s="4"/>
      <c r="K1455" s="1"/>
    </row>
    <row r="1456" spans="1:11">
      <c r="A1456" s="1"/>
      <c r="B1456" s="7"/>
      <c r="C1456" s="1"/>
      <c r="D1456" s="1"/>
      <c r="E1456" s="4"/>
      <c r="F1456" s="4"/>
      <c r="G1456" s="4"/>
      <c r="J1456" s="4"/>
      <c r="K1456" s="1"/>
    </row>
    <row r="1457" spans="1:11">
      <c r="A1457" s="1"/>
      <c r="B1457" s="7"/>
      <c r="C1457" s="1"/>
      <c r="D1457" s="1"/>
      <c r="E1457" s="4"/>
      <c r="F1457" s="4"/>
      <c r="G1457" s="4"/>
      <c r="J1457" s="4"/>
      <c r="K1457" s="1"/>
    </row>
    <row r="1458" spans="1:11">
      <c r="A1458" s="1"/>
      <c r="B1458" s="7"/>
      <c r="C1458" s="1"/>
      <c r="D1458" s="1"/>
      <c r="E1458" s="4"/>
      <c r="F1458" s="4"/>
      <c r="G1458" s="4"/>
      <c r="J1458" s="4"/>
      <c r="K1458" s="1"/>
    </row>
    <row r="1459" spans="1:11">
      <c r="A1459" s="1"/>
      <c r="B1459" s="7"/>
      <c r="C1459" s="1"/>
      <c r="D1459" s="1"/>
      <c r="E1459" s="4"/>
      <c r="F1459" s="4"/>
      <c r="G1459" s="4"/>
      <c r="J1459" s="4"/>
      <c r="K1459" s="1"/>
    </row>
    <row r="1460" spans="1:11">
      <c r="A1460" s="1"/>
      <c r="B1460" s="7"/>
      <c r="C1460" s="1"/>
      <c r="D1460" s="1"/>
      <c r="E1460" s="4"/>
      <c r="F1460" s="4"/>
      <c r="G1460" s="4"/>
      <c r="J1460" s="4"/>
      <c r="K1460" s="1"/>
    </row>
    <row r="1461" spans="1:11">
      <c r="A1461" s="1"/>
      <c r="B1461" s="7"/>
      <c r="C1461" s="1"/>
      <c r="D1461" s="1"/>
      <c r="E1461" s="4"/>
      <c r="F1461" s="4"/>
      <c r="G1461" s="4"/>
      <c r="J1461" s="4"/>
      <c r="K1461" s="1"/>
    </row>
    <row r="1462" spans="1:11">
      <c r="A1462" s="1"/>
      <c r="B1462" s="7"/>
      <c r="C1462" s="1"/>
      <c r="D1462" s="1"/>
      <c r="E1462" s="4"/>
      <c r="F1462" s="4"/>
      <c r="G1462" s="4"/>
      <c r="J1462" s="4"/>
      <c r="K1462" s="1"/>
    </row>
    <row r="1463" spans="1:11">
      <c r="A1463" s="1"/>
      <c r="B1463" s="7"/>
      <c r="C1463" s="1"/>
      <c r="D1463" s="1"/>
      <c r="E1463" s="4"/>
      <c r="F1463" s="4"/>
      <c r="G1463" s="4"/>
      <c r="J1463" s="4"/>
      <c r="K1463" s="1"/>
    </row>
    <row r="1464" spans="1:11">
      <c r="A1464" s="1"/>
      <c r="B1464" s="7"/>
      <c r="C1464" s="1"/>
      <c r="D1464" s="1"/>
      <c r="E1464" s="4"/>
      <c r="F1464" s="4"/>
      <c r="G1464" s="4"/>
      <c r="J1464" s="4"/>
      <c r="K1464" s="1"/>
    </row>
    <row r="1465" spans="1:11">
      <c r="A1465" s="1"/>
      <c r="B1465" s="7"/>
      <c r="C1465" s="1"/>
      <c r="D1465" s="1"/>
      <c r="E1465" s="4"/>
      <c r="F1465" s="4"/>
      <c r="G1465" s="4"/>
      <c r="J1465" s="4"/>
      <c r="K1465" s="1"/>
    </row>
    <row r="1466" spans="1:11">
      <c r="A1466" s="1"/>
      <c r="B1466" s="7"/>
      <c r="C1466" s="1"/>
      <c r="D1466" s="1"/>
      <c r="E1466" s="4"/>
      <c r="F1466" s="4"/>
      <c r="G1466" s="4"/>
      <c r="J1466" s="4"/>
      <c r="K1466" s="1"/>
    </row>
    <row r="1467" spans="1:11">
      <c r="A1467" s="1"/>
      <c r="B1467" s="7"/>
      <c r="C1467" s="1"/>
      <c r="D1467" s="1"/>
      <c r="E1467" s="4"/>
      <c r="F1467" s="4"/>
      <c r="G1467" s="4"/>
      <c r="J1467" s="4"/>
      <c r="K1467" s="1"/>
    </row>
    <row r="1468" spans="1:11">
      <c r="A1468" s="1"/>
      <c r="B1468" s="7"/>
      <c r="C1468" s="1"/>
      <c r="D1468" s="1"/>
      <c r="E1468" s="4"/>
      <c r="F1468" s="4"/>
      <c r="G1468" s="4"/>
      <c r="J1468" s="4"/>
      <c r="K1468" s="1"/>
    </row>
    <row r="1469" spans="1:11">
      <c r="A1469" s="1"/>
      <c r="B1469" s="7"/>
      <c r="C1469" s="1"/>
      <c r="D1469" s="1"/>
      <c r="E1469" s="4"/>
      <c r="F1469" s="4"/>
      <c r="G1469" s="4"/>
      <c r="J1469" s="4"/>
      <c r="K1469" s="1"/>
    </row>
    <row r="1470" spans="1:11">
      <c r="A1470" s="1"/>
      <c r="B1470" s="7"/>
      <c r="C1470" s="1"/>
      <c r="D1470" s="1"/>
      <c r="E1470" s="4"/>
      <c r="F1470" s="4"/>
      <c r="G1470" s="4"/>
      <c r="J1470" s="4"/>
      <c r="K1470" s="1"/>
    </row>
    <row r="1471" spans="1:11">
      <c r="A1471" s="1"/>
      <c r="B1471" s="7"/>
      <c r="C1471" s="1"/>
      <c r="D1471" s="1"/>
      <c r="E1471" s="4"/>
      <c r="F1471" s="4"/>
      <c r="G1471" s="4"/>
      <c r="J1471" s="4"/>
      <c r="K1471" s="1"/>
    </row>
    <row r="1472" spans="1:11">
      <c r="A1472" s="1"/>
      <c r="B1472" s="7"/>
      <c r="C1472" s="1"/>
      <c r="D1472" s="1"/>
      <c r="E1472" s="4"/>
      <c r="F1472" s="4"/>
      <c r="G1472" s="4"/>
      <c r="J1472" s="4"/>
      <c r="K1472" s="1"/>
    </row>
    <row r="1473" spans="1:11">
      <c r="A1473" s="1"/>
      <c r="B1473" s="7"/>
      <c r="C1473" s="1"/>
      <c r="D1473" s="1"/>
      <c r="E1473" s="4"/>
      <c r="F1473" s="4"/>
      <c r="G1473" s="4"/>
      <c r="J1473" s="4"/>
      <c r="K1473" s="1"/>
    </row>
    <row r="1474" spans="1:11">
      <c r="A1474" s="1"/>
      <c r="B1474" s="7"/>
      <c r="C1474" s="1"/>
      <c r="D1474" s="1"/>
      <c r="E1474" s="4"/>
      <c r="F1474" s="4"/>
      <c r="G1474" s="4"/>
      <c r="J1474" s="4"/>
      <c r="K1474" s="1"/>
    </row>
    <row r="1475" spans="1:11">
      <c r="A1475" s="1"/>
      <c r="B1475" s="7"/>
      <c r="C1475" s="1"/>
      <c r="D1475" s="1"/>
      <c r="E1475" s="4"/>
      <c r="F1475" s="4"/>
      <c r="G1475" s="4"/>
      <c r="J1475" s="4"/>
      <c r="K1475" s="1"/>
    </row>
    <row r="1476" spans="1:11">
      <c r="A1476" s="1"/>
      <c r="B1476" s="7"/>
      <c r="C1476" s="1"/>
      <c r="D1476" s="1"/>
      <c r="E1476" s="4"/>
      <c r="F1476" s="4"/>
      <c r="G1476" s="4"/>
      <c r="J1476" s="4"/>
      <c r="K1476" s="1"/>
    </row>
    <row r="1477" spans="1:11">
      <c r="A1477" s="1"/>
      <c r="B1477" s="7"/>
      <c r="C1477" s="1"/>
      <c r="D1477" s="1"/>
      <c r="E1477" s="4"/>
      <c r="F1477" s="4"/>
      <c r="G1477" s="4"/>
      <c r="J1477" s="4"/>
      <c r="K1477" s="1"/>
    </row>
    <row r="1478" spans="1:11">
      <c r="A1478" s="1"/>
      <c r="B1478" s="7"/>
      <c r="C1478" s="1"/>
      <c r="D1478" s="1"/>
      <c r="E1478" s="4"/>
      <c r="F1478" s="4"/>
      <c r="G1478" s="4"/>
      <c r="J1478" s="4"/>
      <c r="K1478" s="1"/>
    </row>
    <row r="1479" spans="1:11">
      <c r="A1479" s="1"/>
      <c r="B1479" s="7"/>
      <c r="C1479" s="1"/>
      <c r="D1479" s="1"/>
      <c r="E1479" s="4"/>
      <c r="F1479" s="4"/>
      <c r="G1479" s="4"/>
      <c r="J1479" s="4"/>
      <c r="K1479" s="1"/>
    </row>
    <row r="1480" spans="1:11">
      <c r="A1480" s="1"/>
      <c r="B1480" s="7"/>
      <c r="C1480" s="1"/>
      <c r="D1480" s="1"/>
      <c r="E1480" s="4"/>
      <c r="F1480" s="4"/>
      <c r="G1480" s="4"/>
      <c r="J1480" s="4"/>
      <c r="K1480" s="1"/>
    </row>
    <row r="1481" spans="1:11">
      <c r="A1481" s="1"/>
      <c r="B1481" s="7"/>
      <c r="C1481" s="1"/>
      <c r="D1481" s="1"/>
      <c r="E1481" s="4"/>
      <c r="F1481" s="4"/>
      <c r="G1481" s="4"/>
      <c r="J1481" s="4"/>
      <c r="K1481" s="1"/>
    </row>
    <row r="1482" spans="1:11">
      <c r="A1482" s="1"/>
      <c r="B1482" s="7"/>
      <c r="C1482" s="1"/>
      <c r="D1482" s="1"/>
      <c r="E1482" s="4"/>
      <c r="F1482" s="4"/>
      <c r="G1482" s="4"/>
      <c r="J1482" s="4"/>
      <c r="K1482" s="1"/>
    </row>
    <row r="1483" spans="1:11">
      <c r="A1483" s="1"/>
      <c r="B1483" s="7"/>
      <c r="C1483" s="1"/>
      <c r="D1483" s="1"/>
      <c r="E1483" s="4"/>
      <c r="F1483" s="4"/>
      <c r="G1483" s="4"/>
      <c r="J1483" s="4"/>
      <c r="K1483" s="1"/>
    </row>
    <row r="1484" spans="1:11">
      <c r="A1484" s="1"/>
      <c r="B1484" s="7"/>
      <c r="C1484" s="1"/>
      <c r="D1484" s="1"/>
      <c r="E1484" s="4"/>
      <c r="F1484" s="4"/>
      <c r="G1484" s="4"/>
      <c r="J1484" s="4"/>
      <c r="K1484" s="1"/>
    </row>
    <row r="1485" spans="1:11">
      <c r="A1485" s="1"/>
      <c r="B1485" s="7"/>
      <c r="C1485" s="1"/>
      <c r="D1485" s="1"/>
      <c r="E1485" s="4"/>
      <c r="F1485" s="4"/>
      <c r="G1485" s="4"/>
      <c r="J1485" s="4"/>
      <c r="K1485" s="1"/>
    </row>
    <row r="1486" spans="1:11">
      <c r="A1486" s="1"/>
      <c r="B1486" s="7"/>
      <c r="C1486" s="1"/>
      <c r="D1486" s="1"/>
      <c r="E1486" s="4"/>
      <c r="F1486" s="4"/>
      <c r="G1486" s="4"/>
      <c r="J1486" s="4"/>
      <c r="K1486" s="1"/>
    </row>
    <row r="1487" spans="1:11">
      <c r="A1487" s="1"/>
      <c r="B1487" s="7"/>
      <c r="C1487" s="1"/>
      <c r="D1487" s="1"/>
      <c r="E1487" s="4"/>
      <c r="F1487" s="4"/>
      <c r="G1487" s="4"/>
      <c r="J1487" s="4"/>
      <c r="K1487" s="1"/>
    </row>
    <row r="1488" spans="1:11">
      <c r="A1488" s="1"/>
      <c r="B1488" s="7"/>
      <c r="C1488" s="1"/>
      <c r="D1488" s="1"/>
      <c r="E1488" s="4"/>
      <c r="F1488" s="4"/>
      <c r="G1488" s="4"/>
      <c r="J1488" s="4"/>
      <c r="K1488" s="1"/>
    </row>
    <row r="1489" spans="1:11">
      <c r="A1489" s="1"/>
      <c r="B1489" s="7"/>
      <c r="C1489" s="1"/>
      <c r="D1489" s="1"/>
      <c r="E1489" s="4"/>
      <c r="F1489" s="4"/>
      <c r="G1489" s="4"/>
      <c r="J1489" s="4"/>
      <c r="K1489" s="1"/>
    </row>
    <row r="1490" spans="1:11">
      <c r="A1490" s="1"/>
      <c r="B1490" s="7"/>
      <c r="C1490" s="1"/>
      <c r="D1490" s="1"/>
      <c r="E1490" s="4"/>
      <c r="F1490" s="4"/>
      <c r="G1490" s="4"/>
      <c r="J1490" s="4"/>
      <c r="K1490" s="1"/>
    </row>
    <row r="1491" spans="1:11">
      <c r="A1491" s="1"/>
      <c r="B1491" s="7"/>
      <c r="C1491" s="1"/>
      <c r="D1491" s="1"/>
      <c r="E1491" s="4"/>
      <c r="F1491" s="4"/>
      <c r="G1491" s="4"/>
      <c r="J1491" s="4"/>
      <c r="K1491" s="1"/>
    </row>
    <row r="1492" spans="1:11">
      <c r="A1492" s="1"/>
      <c r="B1492" s="7"/>
      <c r="C1492" s="1"/>
      <c r="D1492" s="1"/>
      <c r="E1492" s="4"/>
      <c r="F1492" s="4"/>
      <c r="G1492" s="4"/>
      <c r="J1492" s="4"/>
      <c r="K1492" s="1"/>
    </row>
    <row r="1493" spans="1:11">
      <c r="A1493" s="1"/>
      <c r="B1493" s="7"/>
      <c r="C1493" s="1"/>
      <c r="D1493" s="1"/>
      <c r="E1493" s="4"/>
      <c r="F1493" s="4"/>
      <c r="G1493" s="4"/>
      <c r="J1493" s="4"/>
      <c r="K1493" s="1"/>
    </row>
    <row r="1494" spans="1:11">
      <c r="A1494" s="1"/>
      <c r="B1494" s="7"/>
      <c r="C1494" s="1"/>
      <c r="D1494" s="1"/>
      <c r="E1494" s="4"/>
      <c r="F1494" s="4"/>
      <c r="G1494" s="4"/>
      <c r="J1494" s="4"/>
      <c r="K1494" s="1"/>
    </row>
    <row r="1495" spans="1:11">
      <c r="A1495" s="1"/>
      <c r="B1495" s="7"/>
      <c r="C1495" s="1"/>
      <c r="D1495" s="1"/>
      <c r="E1495" s="4"/>
      <c r="F1495" s="4"/>
      <c r="G1495" s="4"/>
      <c r="J1495" s="4"/>
      <c r="K1495" s="1"/>
    </row>
    <row r="1496" spans="1:11">
      <c r="A1496" s="1"/>
      <c r="B1496" s="7"/>
      <c r="C1496" s="1"/>
      <c r="D1496" s="1"/>
      <c r="E1496" s="4"/>
      <c r="F1496" s="4"/>
      <c r="G1496" s="4"/>
      <c r="J1496" s="4"/>
      <c r="K1496" s="1"/>
    </row>
    <row r="1497" spans="1:11">
      <c r="A1497" s="1"/>
      <c r="B1497" s="7"/>
      <c r="C1497" s="1"/>
      <c r="D1497" s="1"/>
      <c r="E1497" s="4"/>
      <c r="F1497" s="4"/>
      <c r="G1497" s="4"/>
      <c r="J1497" s="4"/>
      <c r="K1497" s="1"/>
    </row>
    <row r="1498" spans="1:11">
      <c r="A1498" s="1"/>
      <c r="B1498" s="7"/>
      <c r="C1498" s="1"/>
      <c r="D1498" s="1"/>
      <c r="E1498" s="4"/>
      <c r="F1498" s="4"/>
      <c r="G1498" s="4"/>
      <c r="J1498" s="4"/>
      <c r="K1498" s="1"/>
    </row>
    <row r="1499" spans="1:11">
      <c r="A1499" s="1"/>
      <c r="B1499" s="7"/>
      <c r="C1499" s="1"/>
      <c r="D1499" s="1"/>
      <c r="E1499" s="4"/>
      <c r="F1499" s="4"/>
      <c r="G1499" s="4"/>
      <c r="J1499" s="4"/>
      <c r="K1499" s="1"/>
    </row>
    <row r="1500" spans="1:11">
      <c r="A1500" s="1"/>
      <c r="B1500" s="7"/>
      <c r="C1500" s="1"/>
      <c r="D1500" s="1"/>
      <c r="E1500" s="4"/>
      <c r="F1500" s="4"/>
      <c r="G1500" s="4"/>
      <c r="J1500" s="4"/>
      <c r="K1500" s="1"/>
    </row>
    <row r="1501" spans="1:11">
      <c r="A1501" s="1"/>
      <c r="B1501" s="7"/>
      <c r="C1501" s="1"/>
      <c r="D1501" s="1"/>
      <c r="E1501" s="4"/>
      <c r="F1501" s="4"/>
      <c r="G1501" s="4"/>
      <c r="J1501" s="4"/>
      <c r="K1501" s="1"/>
    </row>
    <row r="1502" spans="1:11">
      <c r="A1502" s="1"/>
      <c r="B1502" s="7"/>
      <c r="C1502" s="1"/>
      <c r="D1502" s="1"/>
      <c r="E1502" s="4"/>
      <c r="F1502" s="4"/>
      <c r="G1502" s="4"/>
      <c r="J1502" s="4"/>
      <c r="K1502" s="1"/>
    </row>
    <row r="1503" spans="1:11">
      <c r="A1503" s="1"/>
      <c r="B1503" s="7"/>
      <c r="C1503" s="1"/>
      <c r="D1503" s="1"/>
      <c r="E1503" s="4"/>
      <c r="F1503" s="4"/>
      <c r="G1503" s="4"/>
      <c r="J1503" s="4"/>
      <c r="K1503" s="1"/>
    </row>
    <row r="1504" spans="1:11">
      <c r="A1504" s="1"/>
      <c r="B1504" s="7"/>
      <c r="C1504" s="1"/>
      <c r="D1504" s="1"/>
      <c r="E1504" s="4"/>
      <c r="F1504" s="4"/>
      <c r="G1504" s="4"/>
      <c r="J1504" s="4"/>
      <c r="K1504" s="1"/>
    </row>
    <row r="1505" spans="1:11">
      <c r="A1505" s="1"/>
      <c r="B1505" s="7"/>
      <c r="C1505" s="1"/>
      <c r="D1505" s="1"/>
      <c r="E1505" s="4"/>
      <c r="F1505" s="4"/>
      <c r="G1505" s="4"/>
      <c r="J1505" s="4"/>
      <c r="K1505" s="1"/>
    </row>
    <row r="1506" spans="1:11">
      <c r="A1506" s="1"/>
      <c r="B1506" s="7"/>
      <c r="C1506" s="1"/>
      <c r="D1506" s="1"/>
      <c r="E1506" s="4"/>
      <c r="F1506" s="4"/>
      <c r="G1506" s="4"/>
      <c r="J1506" s="4"/>
      <c r="K1506" s="1"/>
    </row>
    <row r="1507" spans="1:11">
      <c r="A1507" s="1"/>
      <c r="B1507" s="7"/>
      <c r="C1507" s="1"/>
      <c r="D1507" s="1"/>
      <c r="E1507" s="4"/>
      <c r="F1507" s="4"/>
      <c r="G1507" s="4"/>
      <c r="J1507" s="4"/>
      <c r="K1507" s="1"/>
    </row>
    <row r="1508" spans="1:11">
      <c r="A1508" s="1"/>
      <c r="B1508" s="7"/>
      <c r="C1508" s="1"/>
      <c r="D1508" s="1"/>
      <c r="E1508" s="4"/>
      <c r="F1508" s="4"/>
      <c r="G1508" s="4"/>
      <c r="J1508" s="4"/>
      <c r="K1508" s="1"/>
    </row>
    <row r="1509" spans="1:11">
      <c r="A1509" s="1"/>
      <c r="B1509" s="7"/>
      <c r="C1509" s="1"/>
      <c r="D1509" s="1"/>
      <c r="E1509" s="4"/>
      <c r="F1509" s="4"/>
      <c r="G1509" s="4"/>
      <c r="J1509" s="4"/>
      <c r="K1509" s="1"/>
    </row>
    <row r="1510" spans="1:11">
      <c r="A1510" s="1"/>
      <c r="B1510" s="7"/>
      <c r="C1510" s="1"/>
      <c r="D1510" s="1"/>
      <c r="E1510" s="4"/>
      <c r="F1510" s="4"/>
      <c r="G1510" s="4"/>
      <c r="J1510" s="4"/>
      <c r="K1510" s="1"/>
    </row>
    <row r="1511" spans="1:11">
      <c r="A1511" s="1"/>
      <c r="B1511" s="7"/>
      <c r="C1511" s="1"/>
      <c r="D1511" s="1"/>
      <c r="E1511" s="4"/>
      <c r="F1511" s="4"/>
      <c r="G1511" s="4"/>
      <c r="J1511" s="4"/>
      <c r="K1511" s="1"/>
    </row>
    <row r="1512" spans="1:11">
      <c r="A1512" s="1"/>
      <c r="B1512" s="7"/>
      <c r="C1512" s="1"/>
      <c r="D1512" s="1"/>
      <c r="E1512" s="4"/>
      <c r="F1512" s="4"/>
      <c r="G1512" s="4"/>
      <c r="J1512" s="4"/>
      <c r="K1512" s="1"/>
    </row>
    <row r="1513" spans="1:11">
      <c r="A1513" s="1"/>
      <c r="B1513" s="7"/>
      <c r="C1513" s="1"/>
      <c r="D1513" s="1"/>
      <c r="E1513" s="4"/>
      <c r="F1513" s="4"/>
      <c r="G1513" s="4"/>
      <c r="J1513" s="4"/>
      <c r="K1513" s="1"/>
    </row>
    <row r="1514" spans="1:11">
      <c r="A1514" s="1"/>
      <c r="B1514" s="7"/>
      <c r="C1514" s="1"/>
      <c r="D1514" s="1"/>
      <c r="E1514" s="4"/>
      <c r="F1514" s="4"/>
      <c r="G1514" s="4"/>
      <c r="J1514" s="4"/>
      <c r="K1514" s="1"/>
    </row>
    <row r="1515" spans="1:11">
      <c r="A1515" s="1"/>
      <c r="B1515" s="7"/>
      <c r="C1515" s="1"/>
      <c r="D1515" s="1"/>
      <c r="E1515" s="4"/>
      <c r="F1515" s="4"/>
      <c r="G1515" s="4"/>
      <c r="J1515" s="4"/>
      <c r="K1515" s="1"/>
    </row>
    <row r="1516" spans="1:11">
      <c r="A1516" s="1"/>
      <c r="B1516" s="7"/>
      <c r="C1516" s="1"/>
      <c r="D1516" s="1"/>
      <c r="E1516" s="4"/>
      <c r="F1516" s="4"/>
      <c r="G1516" s="4"/>
      <c r="J1516" s="4"/>
      <c r="K1516" s="1"/>
    </row>
    <row r="1517" spans="1:11">
      <c r="A1517" s="1"/>
      <c r="B1517" s="7"/>
      <c r="C1517" s="1"/>
      <c r="D1517" s="1"/>
      <c r="E1517" s="4"/>
      <c r="F1517" s="4"/>
      <c r="G1517" s="4"/>
      <c r="J1517" s="4"/>
      <c r="K1517" s="1"/>
    </row>
    <row r="1518" spans="1:11">
      <c r="A1518" s="1"/>
      <c r="B1518" s="7"/>
      <c r="C1518" s="1"/>
      <c r="D1518" s="1"/>
      <c r="E1518" s="4"/>
      <c r="F1518" s="4"/>
      <c r="G1518" s="4"/>
      <c r="J1518" s="4"/>
      <c r="K1518" s="1"/>
    </row>
    <row r="1519" spans="1:11">
      <c r="A1519" s="1"/>
      <c r="B1519" s="7"/>
      <c r="C1519" s="1"/>
      <c r="D1519" s="1"/>
      <c r="E1519" s="4"/>
      <c r="F1519" s="4"/>
      <c r="G1519" s="4"/>
      <c r="J1519" s="4"/>
      <c r="K1519" s="1"/>
    </row>
    <row r="1520" spans="1:11">
      <c r="A1520" s="1"/>
      <c r="B1520" s="7"/>
      <c r="C1520" s="1"/>
      <c r="D1520" s="1"/>
      <c r="E1520" s="4"/>
      <c r="F1520" s="4"/>
      <c r="G1520" s="4"/>
      <c r="J1520" s="4"/>
      <c r="K1520" s="1"/>
    </row>
    <row r="1521" spans="1:11">
      <c r="A1521" s="1"/>
      <c r="B1521" s="7"/>
      <c r="C1521" s="1"/>
      <c r="D1521" s="1"/>
      <c r="E1521" s="4"/>
      <c r="F1521" s="4"/>
      <c r="G1521" s="4"/>
      <c r="J1521" s="4"/>
      <c r="K1521" s="1"/>
    </row>
    <row r="1522" spans="1:11">
      <c r="A1522" s="1"/>
      <c r="B1522" s="7"/>
      <c r="C1522" s="1"/>
      <c r="D1522" s="1"/>
      <c r="E1522" s="4"/>
      <c r="F1522" s="4"/>
      <c r="G1522" s="4"/>
      <c r="J1522" s="4"/>
      <c r="K1522" s="1"/>
    </row>
    <row r="1523" spans="1:11">
      <c r="A1523" s="1"/>
      <c r="B1523" s="7"/>
      <c r="C1523" s="1"/>
      <c r="D1523" s="1"/>
      <c r="E1523" s="4"/>
      <c r="F1523" s="4"/>
      <c r="G1523" s="4"/>
      <c r="J1523" s="4"/>
      <c r="K1523" s="1"/>
    </row>
    <row r="1524" spans="1:11">
      <c r="A1524" s="1"/>
      <c r="B1524" s="7"/>
      <c r="C1524" s="1"/>
      <c r="D1524" s="1"/>
      <c r="E1524" s="4"/>
      <c r="F1524" s="4"/>
      <c r="G1524" s="4"/>
      <c r="J1524" s="4"/>
      <c r="K1524" s="1"/>
    </row>
    <row r="1525" spans="1:11">
      <c r="A1525" s="1"/>
      <c r="B1525" s="7"/>
      <c r="C1525" s="1"/>
      <c r="D1525" s="1"/>
      <c r="E1525" s="4"/>
      <c r="F1525" s="4"/>
      <c r="G1525" s="4"/>
      <c r="J1525" s="4"/>
      <c r="K1525" s="1"/>
    </row>
    <row r="1526" spans="1:11">
      <c r="A1526" s="1"/>
      <c r="B1526" s="7"/>
      <c r="C1526" s="1"/>
      <c r="D1526" s="1"/>
      <c r="E1526" s="4"/>
      <c r="F1526" s="4"/>
      <c r="G1526" s="4"/>
      <c r="J1526" s="4"/>
      <c r="K1526" s="1"/>
    </row>
    <row r="1527" spans="1:11">
      <c r="A1527" s="1"/>
      <c r="B1527" s="7"/>
      <c r="C1527" s="1"/>
      <c r="D1527" s="1"/>
      <c r="E1527" s="4"/>
      <c r="F1527" s="4"/>
      <c r="G1527" s="4"/>
      <c r="J1527" s="4"/>
      <c r="K1527" s="1"/>
    </row>
    <row r="1528" spans="1:11">
      <c r="A1528" s="1"/>
      <c r="B1528" s="7"/>
      <c r="C1528" s="1"/>
      <c r="D1528" s="1"/>
      <c r="E1528" s="4"/>
      <c r="F1528" s="4"/>
      <c r="G1528" s="4"/>
      <c r="J1528" s="4"/>
      <c r="K1528" s="1"/>
    </row>
    <row r="1529" spans="1:11">
      <c r="A1529" s="1"/>
      <c r="B1529" s="7"/>
      <c r="C1529" s="1"/>
      <c r="D1529" s="1"/>
      <c r="E1529" s="4"/>
      <c r="F1529" s="4"/>
      <c r="G1529" s="4"/>
      <c r="J1529" s="4"/>
      <c r="K1529" s="1"/>
    </row>
    <row r="1530" spans="1:11">
      <c r="A1530" s="1"/>
      <c r="B1530" s="7"/>
      <c r="C1530" s="1"/>
      <c r="D1530" s="1"/>
      <c r="E1530" s="4"/>
      <c r="F1530" s="4"/>
      <c r="G1530" s="4"/>
      <c r="J1530" s="4"/>
      <c r="K1530" s="1"/>
    </row>
    <row r="1531" spans="1:11">
      <c r="A1531" s="1"/>
      <c r="B1531" s="7"/>
      <c r="C1531" s="1"/>
      <c r="D1531" s="1"/>
      <c r="E1531" s="4"/>
      <c r="F1531" s="4"/>
      <c r="G1531" s="4"/>
      <c r="J1531" s="4"/>
      <c r="K1531" s="1"/>
    </row>
    <row r="1532" spans="1:11">
      <c r="A1532" s="1"/>
      <c r="B1532" s="7"/>
      <c r="C1532" s="1"/>
      <c r="D1532" s="1"/>
      <c r="E1532" s="4"/>
      <c r="F1532" s="4"/>
      <c r="G1532" s="4"/>
      <c r="J1532" s="4"/>
      <c r="K1532" s="1"/>
    </row>
    <row r="1533" spans="1:11">
      <c r="A1533" s="1"/>
      <c r="B1533" s="7"/>
      <c r="C1533" s="1"/>
      <c r="D1533" s="1"/>
      <c r="E1533" s="4"/>
      <c r="F1533" s="4"/>
      <c r="G1533" s="4"/>
      <c r="J1533" s="4"/>
      <c r="K1533" s="1"/>
    </row>
    <row r="1534" spans="1:11">
      <c r="A1534" s="1"/>
      <c r="B1534" s="7"/>
      <c r="C1534" s="1"/>
      <c r="D1534" s="1"/>
      <c r="E1534" s="4"/>
      <c r="F1534" s="4"/>
      <c r="G1534" s="4"/>
      <c r="J1534" s="4"/>
      <c r="K1534" s="1"/>
    </row>
    <row r="1535" spans="1:11">
      <c r="A1535" s="1"/>
      <c r="B1535" s="7"/>
      <c r="C1535" s="1"/>
      <c r="D1535" s="1"/>
      <c r="E1535" s="4"/>
      <c r="F1535" s="4"/>
      <c r="G1535" s="4"/>
      <c r="J1535" s="4"/>
      <c r="K1535" s="1"/>
    </row>
    <row r="1536" spans="1:11">
      <c r="A1536" s="1"/>
      <c r="B1536" s="7"/>
      <c r="C1536" s="1"/>
      <c r="D1536" s="1"/>
      <c r="E1536" s="4"/>
      <c r="F1536" s="4"/>
      <c r="G1536" s="4"/>
      <c r="J1536" s="4"/>
      <c r="K1536" s="1"/>
    </row>
    <row r="1537" spans="1:11">
      <c r="A1537" s="1"/>
      <c r="B1537" s="7"/>
      <c r="C1537" s="1"/>
      <c r="D1537" s="1"/>
      <c r="E1537" s="4"/>
      <c r="F1537" s="4"/>
      <c r="G1537" s="4"/>
      <c r="J1537" s="4"/>
      <c r="K1537" s="1"/>
    </row>
    <row r="1538" spans="1:11">
      <c r="A1538" s="1"/>
      <c r="B1538" s="7"/>
      <c r="C1538" s="1"/>
      <c r="D1538" s="1"/>
      <c r="E1538" s="4"/>
      <c r="F1538" s="4"/>
      <c r="G1538" s="4"/>
      <c r="J1538" s="4"/>
      <c r="K1538" s="1"/>
    </row>
    <row r="1539" spans="1:11">
      <c r="A1539" s="1"/>
      <c r="B1539" s="7"/>
      <c r="C1539" s="1"/>
      <c r="D1539" s="1"/>
      <c r="E1539" s="4"/>
      <c r="F1539" s="4"/>
      <c r="G1539" s="4"/>
      <c r="J1539" s="4"/>
      <c r="K1539" s="1"/>
    </row>
    <row r="1540" spans="1:11">
      <c r="A1540" s="1"/>
      <c r="B1540" s="7"/>
      <c r="C1540" s="1"/>
      <c r="D1540" s="1"/>
      <c r="E1540" s="4"/>
      <c r="F1540" s="4"/>
      <c r="G1540" s="4"/>
      <c r="J1540" s="4"/>
      <c r="K1540" s="1"/>
    </row>
    <row r="1541" spans="1:11">
      <c r="A1541" s="1"/>
      <c r="B1541" s="7"/>
      <c r="C1541" s="1"/>
      <c r="D1541" s="1"/>
      <c r="E1541" s="4"/>
      <c r="F1541" s="4"/>
      <c r="G1541" s="4"/>
      <c r="J1541" s="4"/>
      <c r="K1541" s="1"/>
    </row>
    <row r="1542" spans="1:11">
      <c r="A1542" s="1"/>
      <c r="B1542" s="7"/>
      <c r="C1542" s="1"/>
      <c r="D1542" s="1"/>
      <c r="E1542" s="4"/>
      <c r="F1542" s="4"/>
      <c r="G1542" s="4"/>
      <c r="J1542" s="4"/>
      <c r="K1542" s="1"/>
    </row>
    <row r="1543" spans="1:11">
      <c r="A1543" s="1"/>
      <c r="B1543" s="7"/>
      <c r="C1543" s="1"/>
      <c r="D1543" s="1"/>
      <c r="E1543" s="4"/>
      <c r="F1543" s="4"/>
      <c r="G1543" s="4"/>
      <c r="J1543" s="4"/>
      <c r="K1543" s="1"/>
    </row>
    <row r="1544" spans="1:11">
      <c r="A1544" s="1"/>
      <c r="B1544" s="7"/>
      <c r="C1544" s="1"/>
      <c r="D1544" s="1"/>
      <c r="E1544" s="4"/>
      <c r="F1544" s="4"/>
      <c r="G1544" s="4"/>
      <c r="J1544" s="4"/>
      <c r="K1544" s="1"/>
    </row>
    <row r="1545" spans="1:11">
      <c r="A1545" s="1"/>
      <c r="B1545" s="7"/>
      <c r="C1545" s="1"/>
      <c r="D1545" s="1"/>
      <c r="E1545" s="4"/>
      <c r="F1545" s="4"/>
      <c r="G1545" s="4"/>
      <c r="J1545" s="4"/>
      <c r="K1545" s="1"/>
    </row>
    <row r="1546" spans="1:11">
      <c r="A1546" s="1"/>
      <c r="B1546" s="7"/>
      <c r="C1546" s="1"/>
      <c r="D1546" s="1"/>
      <c r="E1546" s="4"/>
      <c r="F1546" s="4"/>
      <c r="G1546" s="4"/>
      <c r="J1546" s="4"/>
      <c r="K1546" s="1"/>
    </row>
    <row r="1547" spans="1:11">
      <c r="A1547" s="1"/>
      <c r="B1547" s="7"/>
      <c r="C1547" s="1"/>
      <c r="D1547" s="1"/>
      <c r="E1547" s="4"/>
      <c r="F1547" s="4"/>
      <c r="G1547" s="4"/>
      <c r="J1547" s="4"/>
      <c r="K1547" s="1"/>
    </row>
    <row r="1548" spans="1:11">
      <c r="A1548" s="1"/>
      <c r="B1548" s="7"/>
      <c r="C1548" s="1"/>
      <c r="D1548" s="1"/>
      <c r="E1548" s="4"/>
      <c r="F1548" s="4"/>
      <c r="G1548" s="4"/>
      <c r="J1548" s="4"/>
      <c r="K1548" s="1"/>
    </row>
    <row r="1549" spans="1:11">
      <c r="A1549" s="1"/>
      <c r="B1549" s="7"/>
      <c r="C1549" s="1"/>
      <c r="D1549" s="1"/>
      <c r="E1549" s="4"/>
      <c r="F1549" s="4"/>
      <c r="G1549" s="4"/>
      <c r="J1549" s="4"/>
      <c r="K1549" s="1"/>
    </row>
    <row r="1550" spans="1:11">
      <c r="A1550" s="1"/>
      <c r="B1550" s="7"/>
      <c r="C1550" s="1"/>
      <c r="D1550" s="1"/>
      <c r="E1550" s="4"/>
      <c r="F1550" s="4"/>
      <c r="G1550" s="4"/>
      <c r="J1550" s="4"/>
      <c r="K1550" s="1"/>
    </row>
    <row r="1551" spans="1:11">
      <c r="A1551" s="1"/>
      <c r="B1551" s="7"/>
      <c r="C1551" s="1"/>
      <c r="D1551" s="1"/>
      <c r="E1551" s="4"/>
      <c r="F1551" s="4"/>
      <c r="G1551" s="4"/>
      <c r="J1551" s="4"/>
      <c r="K1551" s="1"/>
    </row>
    <row r="1552" spans="1:11">
      <c r="A1552" s="1"/>
      <c r="B1552" s="7"/>
      <c r="C1552" s="1"/>
      <c r="D1552" s="1"/>
      <c r="E1552" s="4"/>
      <c r="F1552" s="4"/>
      <c r="G1552" s="4"/>
      <c r="J1552" s="4"/>
      <c r="K1552" s="1"/>
    </row>
    <row r="1553" spans="1:11">
      <c r="A1553" s="1"/>
      <c r="B1553" s="7"/>
      <c r="C1553" s="1"/>
      <c r="D1553" s="1"/>
      <c r="E1553" s="4"/>
      <c r="F1553" s="4"/>
      <c r="G1553" s="4"/>
      <c r="J1553" s="4"/>
      <c r="K1553" s="1"/>
    </row>
    <row r="1554" spans="1:11">
      <c r="A1554" s="1"/>
      <c r="B1554" s="7"/>
      <c r="C1554" s="1"/>
      <c r="D1554" s="1"/>
      <c r="E1554" s="4"/>
      <c r="F1554" s="4"/>
      <c r="G1554" s="4"/>
      <c r="J1554" s="4"/>
      <c r="K1554" s="1"/>
    </row>
    <row r="1555" spans="1:11">
      <c r="A1555" s="1"/>
      <c r="B1555" s="7"/>
      <c r="C1555" s="1"/>
      <c r="D1555" s="1"/>
      <c r="E1555" s="4"/>
      <c r="F1555" s="4"/>
      <c r="G1555" s="4"/>
      <c r="J1555" s="4"/>
      <c r="K1555" s="1"/>
    </row>
    <row r="1556" spans="1:11">
      <c r="A1556" s="1"/>
      <c r="B1556" s="7"/>
      <c r="C1556" s="1"/>
      <c r="D1556" s="1"/>
      <c r="E1556" s="4"/>
      <c r="F1556" s="4"/>
      <c r="G1556" s="4"/>
      <c r="J1556" s="4"/>
      <c r="K1556" s="1"/>
    </row>
    <row r="1557" spans="1:11">
      <c r="A1557" s="1"/>
      <c r="B1557" s="7"/>
      <c r="C1557" s="1"/>
      <c r="D1557" s="1"/>
      <c r="E1557" s="4"/>
      <c r="F1557" s="4"/>
      <c r="G1557" s="4"/>
      <c r="J1557" s="4"/>
      <c r="K1557" s="1"/>
    </row>
    <row r="1558" spans="1:11">
      <c r="A1558" s="1"/>
      <c r="B1558" s="7"/>
      <c r="C1558" s="1"/>
      <c r="D1558" s="1"/>
      <c r="E1558" s="4"/>
      <c r="F1558" s="4"/>
      <c r="G1558" s="4"/>
      <c r="J1558" s="4"/>
      <c r="K1558" s="1"/>
    </row>
    <row r="1559" spans="1:11">
      <c r="A1559" s="1"/>
      <c r="B1559" s="7"/>
      <c r="C1559" s="1"/>
      <c r="D1559" s="1"/>
      <c r="E1559" s="4"/>
      <c r="F1559" s="4"/>
      <c r="G1559" s="4"/>
      <c r="J1559" s="4"/>
      <c r="K1559" s="1"/>
    </row>
    <row r="1560" spans="1:11">
      <c r="A1560" s="1"/>
      <c r="B1560" s="7"/>
      <c r="C1560" s="1"/>
      <c r="D1560" s="1"/>
      <c r="E1560" s="4"/>
      <c r="F1560" s="4"/>
      <c r="G1560" s="4"/>
      <c r="J1560" s="4"/>
      <c r="K1560" s="1"/>
    </row>
    <row r="1561" spans="1:11">
      <c r="A1561" s="1"/>
      <c r="B1561" s="7"/>
      <c r="C1561" s="1"/>
      <c r="D1561" s="1"/>
      <c r="E1561" s="4"/>
      <c r="F1561" s="4"/>
      <c r="G1561" s="4"/>
      <c r="J1561" s="4"/>
      <c r="K1561" s="1"/>
    </row>
    <row r="1562" spans="1:11">
      <c r="A1562" s="1"/>
      <c r="B1562" s="7"/>
      <c r="C1562" s="1"/>
      <c r="D1562" s="1"/>
      <c r="E1562" s="4"/>
      <c r="F1562" s="4"/>
      <c r="G1562" s="4"/>
      <c r="J1562" s="4"/>
      <c r="K1562" s="1"/>
    </row>
    <row r="1563" spans="1:11">
      <c r="A1563" s="1"/>
      <c r="B1563" s="7"/>
      <c r="C1563" s="1"/>
      <c r="D1563" s="1"/>
      <c r="E1563" s="4"/>
      <c r="F1563" s="4"/>
      <c r="G1563" s="4"/>
      <c r="J1563" s="4"/>
      <c r="K1563" s="1"/>
    </row>
    <row r="1564" spans="1:11">
      <c r="A1564" s="1"/>
      <c r="B1564" s="7"/>
      <c r="C1564" s="1"/>
      <c r="D1564" s="1"/>
      <c r="E1564" s="4"/>
      <c r="F1564" s="4"/>
      <c r="G1564" s="4"/>
      <c r="J1564" s="4"/>
      <c r="K1564" s="1"/>
    </row>
    <row r="1565" spans="1:11">
      <c r="A1565" s="1"/>
      <c r="B1565" s="7"/>
      <c r="C1565" s="1"/>
      <c r="D1565" s="1"/>
      <c r="E1565" s="4"/>
      <c r="F1565" s="4"/>
      <c r="G1565" s="4"/>
      <c r="J1565" s="4"/>
      <c r="K1565" s="1"/>
    </row>
    <row r="1566" spans="1:11">
      <c r="A1566" s="1"/>
      <c r="B1566" s="7"/>
      <c r="C1566" s="1"/>
      <c r="D1566" s="1"/>
      <c r="E1566" s="4"/>
      <c r="F1566" s="4"/>
      <c r="G1566" s="4"/>
      <c r="J1566" s="4"/>
      <c r="K1566" s="1"/>
    </row>
    <row r="1567" spans="1:11">
      <c r="A1567" s="1"/>
      <c r="B1567" s="7"/>
      <c r="C1567" s="1"/>
      <c r="D1567" s="1"/>
      <c r="E1567" s="4"/>
      <c r="F1567" s="4"/>
      <c r="G1567" s="4"/>
      <c r="J1567" s="4"/>
      <c r="K1567" s="1"/>
    </row>
    <row r="1568" spans="1:11">
      <c r="A1568" s="1"/>
      <c r="B1568" s="7"/>
      <c r="C1568" s="1"/>
      <c r="D1568" s="1"/>
      <c r="E1568" s="4"/>
      <c r="F1568" s="4"/>
      <c r="G1568" s="4"/>
      <c r="J1568" s="4"/>
      <c r="K1568" s="1"/>
    </row>
    <row r="1569" spans="1:11">
      <c r="A1569" s="1"/>
      <c r="B1569" s="7"/>
      <c r="C1569" s="1"/>
      <c r="D1569" s="1"/>
      <c r="E1569" s="4"/>
      <c r="F1569" s="4"/>
      <c r="G1569" s="4"/>
      <c r="J1569" s="4"/>
      <c r="K1569" s="1"/>
    </row>
    <row r="1570" spans="1:11">
      <c r="A1570" s="1"/>
      <c r="B1570" s="7"/>
      <c r="C1570" s="1"/>
      <c r="D1570" s="1"/>
      <c r="E1570" s="4"/>
      <c r="F1570" s="4"/>
      <c r="G1570" s="4"/>
      <c r="J1570" s="4"/>
      <c r="K1570" s="1"/>
    </row>
    <row r="1571" spans="1:11">
      <c r="A1571" s="1"/>
      <c r="B1571" s="7"/>
      <c r="C1571" s="1"/>
      <c r="D1571" s="1"/>
      <c r="E1571" s="4"/>
      <c r="F1571" s="4"/>
      <c r="G1571" s="4"/>
      <c r="J1571" s="4"/>
      <c r="K1571" s="1"/>
    </row>
    <row r="1572" spans="1:11">
      <c r="A1572" s="1"/>
      <c r="B1572" s="7"/>
      <c r="C1572" s="1"/>
      <c r="D1572" s="1"/>
      <c r="E1572" s="4"/>
      <c r="F1572" s="4"/>
      <c r="G1572" s="4"/>
      <c r="J1572" s="4"/>
      <c r="K1572" s="1"/>
    </row>
    <row r="1573" spans="1:11">
      <c r="A1573" s="1"/>
      <c r="B1573" s="7"/>
      <c r="C1573" s="1"/>
      <c r="D1573" s="1"/>
      <c r="E1573" s="4"/>
      <c r="F1573" s="4"/>
      <c r="G1573" s="4"/>
      <c r="J1573" s="4"/>
      <c r="K1573" s="1"/>
    </row>
    <row r="1574" spans="1:11">
      <c r="A1574" s="1"/>
      <c r="B1574" s="7"/>
      <c r="C1574" s="1"/>
      <c r="D1574" s="1"/>
      <c r="E1574" s="4"/>
      <c r="F1574" s="4"/>
      <c r="G1574" s="4"/>
      <c r="J1574" s="4"/>
      <c r="K1574" s="1"/>
    </row>
    <row r="1575" spans="1:11">
      <c r="A1575" s="1"/>
      <c r="B1575" s="7"/>
      <c r="C1575" s="1"/>
      <c r="D1575" s="1"/>
      <c r="E1575" s="4"/>
      <c r="F1575" s="4"/>
      <c r="G1575" s="4"/>
      <c r="J1575" s="4"/>
      <c r="K1575" s="1"/>
    </row>
    <row r="1576" spans="1:11">
      <c r="A1576" s="1"/>
      <c r="B1576" s="7"/>
      <c r="C1576" s="1"/>
      <c r="D1576" s="1"/>
      <c r="E1576" s="4"/>
      <c r="F1576" s="4"/>
      <c r="G1576" s="4"/>
      <c r="J1576" s="4"/>
      <c r="K1576" s="1"/>
    </row>
    <row r="1577" spans="1:11">
      <c r="A1577" s="1"/>
      <c r="B1577" s="7"/>
      <c r="C1577" s="1"/>
      <c r="D1577" s="1"/>
      <c r="E1577" s="4"/>
      <c r="F1577" s="4"/>
      <c r="G1577" s="4"/>
      <c r="J1577" s="4"/>
      <c r="K1577" s="1"/>
    </row>
    <row r="1578" spans="1:11">
      <c r="A1578" s="1"/>
      <c r="B1578" s="7"/>
      <c r="C1578" s="1"/>
      <c r="D1578" s="1"/>
      <c r="E1578" s="4"/>
      <c r="F1578" s="4"/>
      <c r="G1578" s="4"/>
      <c r="J1578" s="4"/>
      <c r="K1578" s="1"/>
    </row>
    <row r="1579" spans="1:11">
      <c r="A1579" s="1"/>
      <c r="B1579" s="7"/>
      <c r="C1579" s="1"/>
      <c r="D1579" s="1"/>
      <c r="E1579" s="4"/>
      <c r="F1579" s="4"/>
      <c r="G1579" s="4"/>
      <c r="J1579" s="4"/>
      <c r="K1579" s="1"/>
    </row>
    <row r="1580" spans="1:11">
      <c r="A1580" s="1"/>
      <c r="B1580" s="7"/>
      <c r="C1580" s="1"/>
      <c r="D1580" s="1"/>
      <c r="E1580" s="4"/>
      <c r="F1580" s="4"/>
      <c r="G1580" s="4"/>
      <c r="J1580" s="4"/>
      <c r="K1580" s="1"/>
    </row>
    <row r="1581" spans="1:11">
      <c r="A1581" s="1"/>
      <c r="B1581" s="7"/>
      <c r="C1581" s="1"/>
      <c r="D1581" s="1"/>
      <c r="E1581" s="4"/>
      <c r="F1581" s="4"/>
      <c r="G1581" s="4"/>
      <c r="J1581" s="4"/>
      <c r="K1581" s="1"/>
    </row>
    <row r="1582" spans="1:11">
      <c r="A1582" s="1"/>
      <c r="B1582" s="7"/>
      <c r="C1582" s="1"/>
      <c r="D1582" s="1"/>
      <c r="E1582" s="4"/>
      <c r="F1582" s="4"/>
      <c r="G1582" s="4"/>
      <c r="J1582" s="4"/>
      <c r="K1582" s="1"/>
    </row>
    <row r="1583" spans="1:11">
      <c r="A1583" s="1"/>
      <c r="B1583" s="7"/>
      <c r="C1583" s="1"/>
      <c r="D1583" s="1"/>
      <c r="E1583" s="4"/>
      <c r="F1583" s="4"/>
      <c r="G1583" s="4"/>
      <c r="J1583" s="4"/>
      <c r="K1583" s="1"/>
    </row>
    <row r="1584" spans="1:11">
      <c r="A1584" s="1"/>
      <c r="B1584" s="7"/>
      <c r="C1584" s="1"/>
      <c r="D1584" s="1"/>
      <c r="E1584" s="4"/>
      <c r="F1584" s="4"/>
      <c r="G1584" s="4"/>
      <c r="J1584" s="4"/>
      <c r="K1584" s="1"/>
    </row>
    <row r="1585" spans="1:11">
      <c r="A1585" s="1"/>
      <c r="B1585" s="7"/>
      <c r="C1585" s="1"/>
      <c r="D1585" s="1"/>
      <c r="E1585" s="4"/>
      <c r="F1585" s="4"/>
      <c r="G1585" s="4"/>
      <c r="J1585" s="4"/>
      <c r="K1585" s="1"/>
    </row>
    <row r="1586" spans="1:11">
      <c r="A1586" s="1"/>
      <c r="B1586" s="7"/>
      <c r="C1586" s="1"/>
      <c r="D1586" s="1"/>
      <c r="E1586" s="4"/>
      <c r="F1586" s="4"/>
      <c r="G1586" s="4"/>
      <c r="J1586" s="4"/>
      <c r="K1586" s="1"/>
    </row>
    <row r="1587" spans="1:11">
      <c r="A1587" s="1"/>
      <c r="B1587" s="7"/>
      <c r="C1587" s="1"/>
      <c r="D1587" s="1"/>
      <c r="E1587" s="4"/>
      <c r="F1587" s="4"/>
      <c r="G1587" s="4"/>
      <c r="J1587" s="4"/>
      <c r="K1587" s="1"/>
    </row>
    <row r="1588" spans="1:11">
      <c r="A1588" s="1"/>
      <c r="B1588" s="7"/>
      <c r="C1588" s="1"/>
      <c r="D1588" s="1"/>
      <c r="E1588" s="4"/>
      <c r="F1588" s="4"/>
      <c r="G1588" s="4"/>
      <c r="J1588" s="4"/>
      <c r="K1588" s="1"/>
    </row>
    <row r="1589" spans="1:11">
      <c r="A1589" s="1"/>
      <c r="B1589" s="7"/>
      <c r="C1589" s="1"/>
      <c r="D1589" s="1"/>
      <c r="E1589" s="4"/>
      <c r="F1589" s="4"/>
      <c r="G1589" s="4"/>
      <c r="J1589" s="4"/>
      <c r="K1589" s="1"/>
    </row>
    <row r="1590" spans="1:11">
      <c r="A1590" s="1"/>
      <c r="B1590" s="7"/>
      <c r="C1590" s="1"/>
      <c r="D1590" s="1"/>
      <c r="E1590" s="4"/>
      <c r="F1590" s="4"/>
      <c r="G1590" s="4"/>
      <c r="J1590" s="4"/>
      <c r="K1590" s="1"/>
    </row>
    <row r="1591" spans="1:11">
      <c r="A1591" s="1"/>
      <c r="B1591" s="7"/>
      <c r="C1591" s="1"/>
      <c r="D1591" s="1"/>
      <c r="E1591" s="4"/>
      <c r="F1591" s="4"/>
      <c r="G1591" s="4"/>
      <c r="J1591" s="4"/>
      <c r="K1591" s="1"/>
    </row>
    <row r="1592" spans="1:11">
      <c r="A1592" s="1"/>
      <c r="B1592" s="7"/>
      <c r="C1592" s="1"/>
      <c r="D1592" s="1"/>
      <c r="E1592" s="4"/>
      <c r="F1592" s="4"/>
      <c r="G1592" s="4"/>
      <c r="J1592" s="4"/>
      <c r="K1592" s="1"/>
    </row>
    <row r="1593" spans="1:11">
      <c r="A1593" s="1"/>
      <c r="B1593" s="7"/>
      <c r="C1593" s="1"/>
      <c r="D1593" s="1"/>
      <c r="E1593" s="4"/>
      <c r="F1593" s="4"/>
      <c r="G1593" s="4"/>
      <c r="J1593" s="4"/>
      <c r="K1593" s="1"/>
    </row>
    <row r="1594" spans="1:11">
      <c r="A1594" s="1"/>
      <c r="B1594" s="7"/>
      <c r="C1594" s="1"/>
      <c r="D1594" s="1"/>
      <c r="E1594" s="4"/>
      <c r="F1594" s="4"/>
      <c r="G1594" s="4"/>
      <c r="J1594" s="4"/>
      <c r="K1594" s="1"/>
    </row>
    <row r="1595" spans="1:11">
      <c r="A1595" s="1"/>
      <c r="B1595" s="7"/>
      <c r="C1595" s="1"/>
      <c r="D1595" s="1"/>
      <c r="E1595" s="4"/>
      <c r="F1595" s="4"/>
      <c r="G1595" s="4"/>
      <c r="J1595" s="4"/>
      <c r="K1595" s="1"/>
    </row>
    <row r="1596" spans="1:11">
      <c r="A1596" s="1"/>
      <c r="B1596" s="7"/>
      <c r="C1596" s="1"/>
      <c r="D1596" s="1"/>
      <c r="E1596" s="4"/>
      <c r="F1596" s="4"/>
      <c r="G1596" s="4"/>
      <c r="J1596" s="4"/>
      <c r="K1596" s="1"/>
    </row>
    <row r="1597" spans="1:11">
      <c r="A1597" s="1"/>
      <c r="B1597" s="7"/>
      <c r="C1597" s="1"/>
      <c r="D1597" s="1"/>
      <c r="E1597" s="4"/>
      <c r="F1597" s="4"/>
      <c r="G1597" s="4"/>
      <c r="J1597" s="4"/>
      <c r="K1597" s="1"/>
    </row>
    <row r="1598" spans="1:11">
      <c r="A1598" s="1"/>
      <c r="B1598" s="7"/>
      <c r="C1598" s="1"/>
      <c r="D1598" s="1"/>
      <c r="E1598" s="4"/>
      <c r="F1598" s="4"/>
      <c r="G1598" s="4"/>
      <c r="J1598" s="4"/>
      <c r="K1598" s="1"/>
    </row>
    <row r="1599" spans="1:11">
      <c r="A1599" s="1"/>
      <c r="B1599" s="7"/>
      <c r="C1599" s="1"/>
      <c r="D1599" s="1"/>
      <c r="E1599" s="4"/>
      <c r="F1599" s="4"/>
      <c r="G1599" s="4"/>
      <c r="J1599" s="4"/>
      <c r="K1599" s="1"/>
    </row>
    <row r="1600" spans="1:11">
      <c r="A1600" s="1"/>
      <c r="B1600" s="7"/>
      <c r="C1600" s="1"/>
      <c r="D1600" s="1"/>
      <c r="E1600" s="4"/>
      <c r="F1600" s="4"/>
      <c r="G1600" s="4"/>
      <c r="J1600" s="4"/>
      <c r="K1600" s="1"/>
    </row>
    <row r="1601" spans="1:11">
      <c r="A1601" s="1"/>
      <c r="B1601" s="7"/>
      <c r="C1601" s="1"/>
      <c r="D1601" s="1"/>
      <c r="E1601" s="4"/>
      <c r="F1601" s="4"/>
      <c r="G1601" s="4"/>
      <c r="J1601" s="4"/>
      <c r="K1601" s="1"/>
    </row>
    <row r="1602" spans="1:11">
      <c r="A1602" s="1"/>
      <c r="B1602" s="7"/>
      <c r="C1602" s="1"/>
      <c r="D1602" s="1"/>
      <c r="E1602" s="4"/>
      <c r="F1602" s="4"/>
      <c r="G1602" s="4"/>
      <c r="J1602" s="4"/>
      <c r="K1602" s="1"/>
    </row>
    <row r="1603" spans="1:11">
      <c r="A1603" s="1"/>
      <c r="B1603" s="7"/>
      <c r="C1603" s="1"/>
      <c r="D1603" s="1"/>
      <c r="E1603" s="4"/>
      <c r="F1603" s="4"/>
      <c r="G1603" s="4"/>
      <c r="J1603" s="4"/>
      <c r="K1603" s="1"/>
    </row>
    <row r="1604" spans="1:11">
      <c r="A1604" s="1"/>
      <c r="B1604" s="7"/>
      <c r="C1604" s="1"/>
      <c r="D1604" s="1"/>
      <c r="E1604" s="4"/>
      <c r="F1604" s="4"/>
      <c r="G1604" s="4"/>
      <c r="J1604" s="4"/>
      <c r="K1604" s="1"/>
    </row>
    <row r="1605" spans="1:11">
      <c r="A1605" s="1"/>
      <c r="B1605" s="7"/>
      <c r="C1605" s="1"/>
      <c r="D1605" s="1"/>
      <c r="E1605" s="4"/>
      <c r="F1605" s="4"/>
      <c r="G1605" s="4"/>
      <c r="J1605" s="4"/>
      <c r="K1605" s="1"/>
    </row>
    <row r="1606" spans="1:11">
      <c r="A1606" s="1"/>
      <c r="B1606" s="7"/>
      <c r="C1606" s="1"/>
      <c r="D1606" s="1"/>
      <c r="E1606" s="4"/>
      <c r="F1606" s="4"/>
      <c r="G1606" s="4"/>
      <c r="J1606" s="4"/>
      <c r="K1606" s="1"/>
    </row>
    <row r="1607" spans="1:11">
      <c r="A1607" s="1"/>
      <c r="B1607" s="7"/>
      <c r="C1607" s="1"/>
      <c r="D1607" s="1"/>
      <c r="E1607" s="4"/>
      <c r="F1607" s="4"/>
      <c r="G1607" s="4"/>
      <c r="J1607" s="4"/>
      <c r="K1607" s="1"/>
    </row>
    <row r="1608" spans="1:11">
      <c r="A1608" s="1"/>
      <c r="B1608" s="7"/>
      <c r="C1608" s="1"/>
      <c r="D1608" s="1"/>
      <c r="E1608" s="4"/>
      <c r="F1608" s="4"/>
      <c r="G1608" s="4"/>
      <c r="J1608" s="4"/>
      <c r="K1608" s="1"/>
    </row>
    <row r="1609" spans="1:11">
      <c r="A1609" s="1"/>
      <c r="B1609" s="7"/>
      <c r="C1609" s="1"/>
      <c r="D1609" s="1"/>
      <c r="E1609" s="4"/>
      <c r="F1609" s="4"/>
      <c r="G1609" s="4"/>
      <c r="J1609" s="4"/>
      <c r="K1609" s="1"/>
    </row>
    <row r="1610" spans="1:11">
      <c r="A1610" s="1"/>
      <c r="B1610" s="7"/>
      <c r="C1610" s="1"/>
      <c r="D1610" s="1"/>
      <c r="E1610" s="4"/>
      <c r="F1610" s="4"/>
      <c r="G1610" s="4"/>
      <c r="J1610" s="4"/>
      <c r="K1610" s="1"/>
    </row>
    <row r="1611" spans="1:11">
      <c r="A1611" s="1"/>
      <c r="B1611" s="7"/>
      <c r="C1611" s="1"/>
      <c r="D1611" s="1"/>
      <c r="E1611" s="4"/>
      <c r="F1611" s="4"/>
      <c r="G1611" s="4"/>
      <c r="J1611" s="4"/>
      <c r="K1611" s="1"/>
    </row>
    <row r="1612" spans="1:11">
      <c r="A1612" s="1"/>
      <c r="B1612" s="7"/>
      <c r="C1612" s="1"/>
      <c r="D1612" s="1"/>
      <c r="E1612" s="4"/>
      <c r="F1612" s="4"/>
      <c r="G1612" s="4"/>
      <c r="J1612" s="4"/>
      <c r="K1612" s="1"/>
    </row>
    <row r="1613" spans="1:11">
      <c r="A1613" s="1"/>
      <c r="B1613" s="7"/>
      <c r="C1613" s="1"/>
      <c r="D1613" s="1"/>
      <c r="E1613" s="4"/>
      <c r="F1613" s="4"/>
      <c r="G1613" s="4"/>
      <c r="J1613" s="4"/>
      <c r="K1613" s="1"/>
    </row>
    <row r="1614" spans="1:11">
      <c r="A1614" s="1"/>
      <c r="B1614" s="7"/>
      <c r="C1614" s="1"/>
      <c r="D1614" s="1"/>
      <c r="E1614" s="4"/>
      <c r="F1614" s="4"/>
      <c r="G1614" s="4"/>
      <c r="J1614" s="4"/>
      <c r="K1614" s="1"/>
    </row>
    <row r="1615" spans="1:11">
      <c r="A1615" s="1"/>
      <c r="B1615" s="7"/>
      <c r="C1615" s="1"/>
      <c r="D1615" s="1"/>
      <c r="E1615" s="4"/>
      <c r="F1615" s="4"/>
      <c r="G1615" s="4"/>
      <c r="J1615" s="4"/>
      <c r="K1615" s="1"/>
    </row>
    <row r="1616" spans="1:11">
      <c r="A1616" s="1"/>
      <c r="B1616" s="7"/>
      <c r="C1616" s="1"/>
      <c r="D1616" s="1"/>
      <c r="E1616" s="4"/>
      <c r="F1616" s="4"/>
      <c r="G1616" s="4"/>
      <c r="J1616" s="4"/>
      <c r="K1616" s="1"/>
    </row>
    <row r="1617" spans="1:11">
      <c r="A1617" s="1"/>
      <c r="B1617" s="7"/>
      <c r="C1617" s="1"/>
      <c r="D1617" s="1"/>
      <c r="E1617" s="4"/>
      <c r="F1617" s="4"/>
      <c r="G1617" s="4"/>
      <c r="J1617" s="4"/>
      <c r="K1617" s="1"/>
    </row>
    <row r="1618" spans="1:11">
      <c r="A1618" s="1"/>
      <c r="B1618" s="7"/>
      <c r="C1618" s="1"/>
      <c r="D1618" s="1"/>
      <c r="E1618" s="4"/>
      <c r="F1618" s="4"/>
      <c r="G1618" s="4"/>
      <c r="J1618" s="4"/>
      <c r="K1618" s="1"/>
    </row>
    <row r="1619" spans="1:11">
      <c r="A1619" s="1"/>
      <c r="B1619" s="7"/>
      <c r="C1619" s="1"/>
      <c r="D1619" s="1"/>
      <c r="E1619" s="4"/>
      <c r="F1619" s="4"/>
      <c r="G1619" s="4"/>
      <c r="J1619" s="4"/>
      <c r="K1619" s="1"/>
    </row>
    <row r="1620" spans="1:11">
      <c r="A1620" s="1"/>
      <c r="B1620" s="7"/>
      <c r="C1620" s="1"/>
      <c r="D1620" s="1"/>
      <c r="E1620" s="4"/>
      <c r="F1620" s="4"/>
      <c r="G1620" s="4"/>
      <c r="J1620" s="4"/>
      <c r="K1620" s="1"/>
    </row>
    <row r="1621" spans="1:11">
      <c r="A1621" s="1"/>
      <c r="B1621" s="7"/>
      <c r="C1621" s="1"/>
      <c r="D1621" s="1"/>
      <c r="E1621" s="4"/>
      <c r="F1621" s="4"/>
      <c r="G1621" s="4"/>
      <c r="J1621" s="4"/>
      <c r="K1621" s="1"/>
    </row>
    <row r="1622" spans="1:11">
      <c r="A1622" s="1"/>
      <c r="B1622" s="7"/>
      <c r="C1622" s="1"/>
      <c r="D1622" s="1"/>
      <c r="E1622" s="4"/>
      <c r="F1622" s="4"/>
      <c r="G1622" s="4"/>
      <c r="J1622" s="4"/>
      <c r="K1622" s="1"/>
    </row>
    <row r="1623" spans="1:11">
      <c r="A1623" s="1"/>
      <c r="B1623" s="7"/>
      <c r="C1623" s="1"/>
      <c r="D1623" s="1"/>
      <c r="E1623" s="4"/>
      <c r="F1623" s="4"/>
      <c r="G1623" s="4"/>
      <c r="J1623" s="4"/>
      <c r="K1623" s="1"/>
    </row>
    <row r="1624" spans="1:11">
      <c r="A1624" s="1"/>
      <c r="B1624" s="7"/>
      <c r="C1624" s="1"/>
      <c r="D1624" s="1"/>
      <c r="E1624" s="4"/>
      <c r="F1624" s="4"/>
      <c r="G1624" s="4"/>
      <c r="J1624" s="4"/>
      <c r="K1624" s="1"/>
    </row>
    <row r="1625" spans="1:11">
      <c r="A1625" s="1"/>
      <c r="B1625" s="7"/>
      <c r="C1625" s="1"/>
      <c r="D1625" s="1"/>
      <c r="E1625" s="4"/>
      <c r="F1625" s="4"/>
      <c r="G1625" s="4"/>
      <c r="J1625" s="4"/>
      <c r="K1625" s="1"/>
    </row>
    <row r="1626" spans="1:11">
      <c r="A1626" s="1"/>
      <c r="B1626" s="7"/>
      <c r="C1626" s="1"/>
      <c r="D1626" s="1"/>
      <c r="E1626" s="4"/>
      <c r="F1626" s="4"/>
      <c r="G1626" s="4"/>
      <c r="J1626" s="4"/>
      <c r="K1626" s="1"/>
    </row>
    <row r="1627" spans="1:11">
      <c r="A1627" s="1"/>
      <c r="B1627" s="7"/>
      <c r="C1627" s="1"/>
      <c r="D1627" s="1"/>
      <c r="E1627" s="4"/>
      <c r="F1627" s="4"/>
      <c r="G1627" s="4"/>
      <c r="J1627" s="4"/>
      <c r="K1627" s="1"/>
    </row>
    <row r="1628" spans="1:11">
      <c r="A1628" s="1"/>
      <c r="B1628" s="7"/>
      <c r="C1628" s="1"/>
      <c r="D1628" s="1"/>
      <c r="E1628" s="4"/>
      <c r="F1628" s="4"/>
      <c r="G1628" s="4"/>
      <c r="J1628" s="4"/>
      <c r="K1628" s="1"/>
    </row>
    <row r="1629" spans="1:11">
      <c r="A1629" s="1"/>
      <c r="B1629" s="7"/>
      <c r="C1629" s="1"/>
      <c r="D1629" s="1"/>
      <c r="E1629" s="4"/>
      <c r="F1629" s="4"/>
      <c r="G1629" s="4"/>
      <c r="J1629" s="4"/>
      <c r="K1629" s="1"/>
    </row>
    <row r="1630" spans="1:11">
      <c r="A1630" s="1"/>
      <c r="B1630" s="7"/>
      <c r="C1630" s="1"/>
      <c r="D1630" s="1"/>
      <c r="E1630" s="4"/>
      <c r="F1630" s="4"/>
      <c r="G1630" s="4"/>
      <c r="J1630" s="4"/>
      <c r="K1630" s="1"/>
    </row>
    <row r="1631" spans="1:11">
      <c r="A1631" s="1"/>
      <c r="B1631" s="7"/>
      <c r="C1631" s="1"/>
      <c r="D1631" s="1"/>
      <c r="E1631" s="4"/>
      <c r="F1631" s="4"/>
      <c r="G1631" s="4"/>
      <c r="J1631" s="4"/>
      <c r="K1631" s="1"/>
    </row>
    <row r="1632" spans="1:11">
      <c r="A1632" s="1"/>
      <c r="B1632" s="7"/>
      <c r="C1632" s="1"/>
      <c r="D1632" s="1"/>
      <c r="E1632" s="4"/>
      <c r="F1632" s="4"/>
      <c r="G1632" s="4"/>
      <c r="J1632" s="4"/>
      <c r="K1632" s="1"/>
    </row>
    <row r="1633" spans="1:11">
      <c r="A1633" s="1"/>
      <c r="B1633" s="7"/>
      <c r="C1633" s="1"/>
      <c r="D1633" s="1"/>
      <c r="E1633" s="4"/>
      <c r="F1633" s="4"/>
      <c r="G1633" s="4"/>
      <c r="J1633" s="4"/>
      <c r="K1633" s="1"/>
    </row>
    <row r="1634" spans="1:11">
      <c r="A1634" s="1"/>
      <c r="B1634" s="7"/>
      <c r="C1634" s="1"/>
      <c r="D1634" s="1"/>
      <c r="E1634" s="4"/>
      <c r="F1634" s="4"/>
      <c r="G1634" s="4"/>
      <c r="J1634" s="4"/>
      <c r="K1634" s="1"/>
    </row>
    <row r="1635" spans="1:11">
      <c r="A1635" s="1"/>
      <c r="B1635" s="7"/>
      <c r="C1635" s="1"/>
      <c r="D1635" s="1"/>
      <c r="E1635" s="4"/>
      <c r="F1635" s="4"/>
      <c r="G1635" s="4"/>
      <c r="J1635" s="4"/>
      <c r="K1635" s="1"/>
    </row>
    <row r="1636" spans="1:11">
      <c r="A1636" s="1"/>
      <c r="B1636" s="7"/>
      <c r="C1636" s="1"/>
      <c r="D1636" s="1"/>
      <c r="E1636" s="4"/>
      <c r="F1636" s="4"/>
      <c r="G1636" s="4"/>
      <c r="J1636" s="4"/>
      <c r="K1636" s="1"/>
    </row>
    <row r="1637" spans="1:11">
      <c r="A1637" s="1"/>
      <c r="B1637" s="7"/>
      <c r="C1637" s="1"/>
      <c r="D1637" s="1"/>
      <c r="E1637" s="4"/>
      <c r="F1637" s="4"/>
      <c r="G1637" s="4"/>
      <c r="J1637" s="4"/>
      <c r="K1637" s="1"/>
    </row>
    <row r="1638" spans="1:11">
      <c r="A1638" s="1"/>
      <c r="B1638" s="7"/>
      <c r="C1638" s="1"/>
      <c r="D1638" s="1"/>
      <c r="E1638" s="4"/>
      <c r="F1638" s="4"/>
      <c r="G1638" s="4"/>
      <c r="J1638" s="4"/>
      <c r="K1638" s="1"/>
    </row>
    <row r="1639" spans="1:11">
      <c r="A1639" s="1"/>
      <c r="B1639" s="7"/>
      <c r="C1639" s="1"/>
      <c r="D1639" s="1"/>
      <c r="E1639" s="4"/>
      <c r="F1639" s="4"/>
      <c r="G1639" s="4"/>
      <c r="J1639" s="4"/>
      <c r="K1639" s="1"/>
    </row>
    <row r="1640" spans="1:11">
      <c r="A1640" s="1"/>
      <c r="B1640" s="7"/>
      <c r="C1640" s="1"/>
      <c r="D1640" s="1"/>
      <c r="E1640" s="4"/>
      <c r="F1640" s="4"/>
      <c r="G1640" s="4"/>
      <c r="J1640" s="4"/>
      <c r="K1640" s="1"/>
    </row>
    <row r="1641" spans="1:11">
      <c r="A1641" s="1"/>
      <c r="B1641" s="7"/>
      <c r="C1641" s="1"/>
      <c r="D1641" s="1"/>
      <c r="E1641" s="4"/>
      <c r="F1641" s="4"/>
      <c r="G1641" s="4"/>
      <c r="J1641" s="4"/>
      <c r="K1641" s="1"/>
    </row>
    <row r="1642" spans="1:11">
      <c r="A1642" s="1"/>
      <c r="B1642" s="7"/>
      <c r="C1642" s="1"/>
      <c r="D1642" s="1"/>
      <c r="E1642" s="4"/>
      <c r="F1642" s="4"/>
      <c r="G1642" s="4"/>
      <c r="J1642" s="4"/>
      <c r="K1642" s="1"/>
    </row>
    <row r="1643" spans="1:11">
      <c r="A1643" s="1"/>
      <c r="B1643" s="7"/>
      <c r="C1643" s="1"/>
      <c r="D1643" s="1"/>
      <c r="E1643" s="4"/>
      <c r="F1643" s="4"/>
      <c r="G1643" s="4"/>
      <c r="J1643" s="4"/>
      <c r="K1643" s="1"/>
    </row>
    <row r="1644" spans="1:11">
      <c r="A1644" s="1"/>
      <c r="B1644" s="7"/>
      <c r="C1644" s="1"/>
      <c r="D1644" s="1"/>
      <c r="E1644" s="4"/>
      <c r="F1644" s="4"/>
      <c r="G1644" s="4"/>
      <c r="J1644" s="4"/>
      <c r="K1644" s="1"/>
    </row>
    <row r="1645" spans="1:11">
      <c r="A1645" s="1"/>
      <c r="B1645" s="7"/>
      <c r="C1645" s="1"/>
      <c r="D1645" s="1"/>
      <c r="E1645" s="4"/>
      <c r="F1645" s="4"/>
      <c r="G1645" s="4"/>
      <c r="J1645" s="4"/>
      <c r="K1645" s="1"/>
    </row>
    <row r="1646" spans="1:11">
      <c r="A1646" s="1"/>
      <c r="B1646" s="7"/>
      <c r="C1646" s="1"/>
      <c r="D1646" s="1"/>
      <c r="E1646" s="4"/>
      <c r="F1646" s="4"/>
      <c r="G1646" s="4"/>
      <c r="J1646" s="4"/>
      <c r="K1646" s="1"/>
    </row>
    <row r="1647" spans="1:11">
      <c r="A1647" s="1"/>
      <c r="B1647" s="7"/>
      <c r="C1647" s="1"/>
      <c r="D1647" s="1"/>
      <c r="E1647" s="4"/>
      <c r="F1647" s="4"/>
      <c r="G1647" s="4"/>
      <c r="J1647" s="4"/>
      <c r="K1647" s="1"/>
    </row>
    <row r="1648" spans="1:11">
      <c r="A1648" s="1"/>
      <c r="B1648" s="7"/>
      <c r="C1648" s="1"/>
      <c r="D1648" s="1"/>
      <c r="E1648" s="4"/>
      <c r="F1648" s="4"/>
      <c r="G1648" s="4"/>
      <c r="J1648" s="4"/>
      <c r="K1648" s="1"/>
    </row>
    <row r="1649" spans="1:11">
      <c r="A1649" s="1"/>
      <c r="B1649" s="7"/>
      <c r="C1649" s="1"/>
      <c r="D1649" s="1"/>
      <c r="E1649" s="4"/>
      <c r="F1649" s="4"/>
      <c r="G1649" s="4"/>
      <c r="J1649" s="4"/>
      <c r="K1649" s="1"/>
    </row>
    <row r="1650" spans="1:11">
      <c r="A1650" s="1"/>
      <c r="B1650" s="7"/>
      <c r="C1650" s="1"/>
      <c r="D1650" s="1"/>
      <c r="E1650" s="4"/>
      <c r="F1650" s="4"/>
      <c r="G1650" s="4"/>
      <c r="J1650" s="4"/>
      <c r="K1650" s="1"/>
    </row>
    <row r="1651" spans="1:11">
      <c r="A1651" s="1"/>
      <c r="B1651" s="7"/>
      <c r="C1651" s="1"/>
      <c r="D1651" s="1"/>
      <c r="E1651" s="4"/>
      <c r="F1651" s="4"/>
      <c r="G1651" s="4"/>
      <c r="J1651" s="4"/>
      <c r="K1651" s="1"/>
    </row>
    <row r="1652" spans="1:11">
      <c r="A1652" s="1"/>
      <c r="B1652" s="7"/>
      <c r="C1652" s="1"/>
      <c r="D1652" s="1"/>
      <c r="E1652" s="4"/>
      <c r="F1652" s="4"/>
      <c r="G1652" s="4"/>
      <c r="J1652" s="4"/>
      <c r="K1652" s="1"/>
    </row>
    <row r="1653" spans="1:11">
      <c r="A1653" s="1"/>
      <c r="B1653" s="7"/>
      <c r="C1653" s="1"/>
      <c r="D1653" s="1"/>
      <c r="E1653" s="4"/>
      <c r="F1653" s="4"/>
      <c r="G1653" s="4"/>
      <c r="J1653" s="4"/>
      <c r="K1653" s="1"/>
    </row>
    <row r="1654" spans="1:11">
      <c r="A1654" s="1"/>
      <c r="B1654" s="7"/>
      <c r="C1654" s="1"/>
      <c r="D1654" s="1"/>
      <c r="E1654" s="4"/>
      <c r="F1654" s="4"/>
      <c r="G1654" s="4"/>
      <c r="J1654" s="4"/>
      <c r="K1654" s="1"/>
    </row>
    <row r="1655" spans="1:11">
      <c r="A1655" s="1"/>
      <c r="B1655" s="7"/>
      <c r="C1655" s="1"/>
      <c r="D1655" s="1"/>
      <c r="E1655" s="4"/>
      <c r="F1655" s="4"/>
      <c r="G1655" s="4"/>
      <c r="J1655" s="4"/>
      <c r="K1655" s="1"/>
    </row>
    <row r="1656" spans="1:11">
      <c r="A1656" s="1"/>
      <c r="B1656" s="7"/>
      <c r="C1656" s="1"/>
      <c r="D1656" s="1"/>
      <c r="E1656" s="4"/>
      <c r="F1656" s="4"/>
      <c r="G1656" s="4"/>
      <c r="J1656" s="4"/>
      <c r="K1656" s="1"/>
    </row>
    <row r="1657" spans="1:11">
      <c r="A1657" s="1"/>
      <c r="B1657" s="7"/>
      <c r="C1657" s="1"/>
      <c r="D1657" s="1"/>
      <c r="E1657" s="4"/>
      <c r="F1657" s="4"/>
      <c r="G1657" s="4"/>
      <c r="J1657" s="4"/>
      <c r="K1657" s="1"/>
    </row>
    <row r="1658" spans="1:11">
      <c r="A1658" s="1"/>
      <c r="B1658" s="7"/>
      <c r="C1658" s="1"/>
      <c r="D1658" s="1"/>
      <c r="E1658" s="4"/>
      <c r="F1658" s="4"/>
      <c r="G1658" s="4"/>
      <c r="J1658" s="4"/>
      <c r="K1658" s="1"/>
    </row>
    <row r="1659" spans="1:11">
      <c r="A1659" s="1"/>
      <c r="B1659" s="7"/>
      <c r="C1659" s="1"/>
      <c r="D1659" s="1"/>
      <c r="E1659" s="4"/>
      <c r="F1659" s="4"/>
      <c r="G1659" s="4"/>
      <c r="J1659" s="4"/>
      <c r="K1659" s="1"/>
    </row>
    <row r="1660" spans="1:11">
      <c r="A1660" s="1"/>
      <c r="B1660" s="7"/>
      <c r="C1660" s="1"/>
      <c r="D1660" s="1"/>
      <c r="E1660" s="4"/>
      <c r="F1660" s="4"/>
      <c r="G1660" s="4"/>
      <c r="J1660" s="4"/>
      <c r="K1660" s="1"/>
    </row>
    <row r="1661" spans="1:11">
      <c r="A1661" s="1"/>
      <c r="B1661" s="7"/>
      <c r="C1661" s="1"/>
      <c r="D1661" s="1"/>
      <c r="E1661" s="4"/>
      <c r="F1661" s="4"/>
      <c r="G1661" s="4"/>
      <c r="J1661" s="4"/>
      <c r="K1661" s="1"/>
    </row>
    <row r="1662" spans="1:11">
      <c r="A1662" s="1"/>
      <c r="B1662" s="7"/>
      <c r="C1662" s="1"/>
      <c r="D1662" s="1"/>
      <c r="E1662" s="4"/>
      <c r="F1662" s="4"/>
      <c r="G1662" s="4"/>
      <c r="J1662" s="4"/>
      <c r="K1662" s="1"/>
    </row>
    <row r="1663" spans="1:11">
      <c r="A1663" s="1"/>
      <c r="B1663" s="7"/>
      <c r="C1663" s="1"/>
      <c r="D1663" s="1"/>
      <c r="E1663" s="4"/>
      <c r="F1663" s="4"/>
      <c r="G1663" s="4"/>
      <c r="J1663" s="4"/>
      <c r="K1663" s="1"/>
    </row>
    <row r="1664" spans="1:11">
      <c r="A1664" s="1"/>
      <c r="B1664" s="7"/>
      <c r="C1664" s="1"/>
      <c r="D1664" s="1"/>
      <c r="E1664" s="4"/>
      <c r="F1664" s="4"/>
      <c r="G1664" s="4"/>
      <c r="J1664" s="4"/>
      <c r="K1664" s="1"/>
    </row>
    <row r="1665" spans="1:11">
      <c r="A1665" s="1"/>
      <c r="B1665" s="7"/>
      <c r="C1665" s="1"/>
      <c r="D1665" s="1"/>
      <c r="E1665" s="4"/>
      <c r="F1665" s="4"/>
      <c r="G1665" s="4"/>
      <c r="J1665" s="4"/>
      <c r="K1665" s="1"/>
    </row>
    <row r="1666" spans="1:11">
      <c r="A1666" s="1"/>
      <c r="B1666" s="7"/>
      <c r="C1666" s="1"/>
      <c r="D1666" s="1"/>
      <c r="E1666" s="4"/>
      <c r="F1666" s="4"/>
      <c r="G1666" s="4"/>
      <c r="J1666" s="4"/>
      <c r="K1666" s="1"/>
    </row>
    <row r="1667" spans="1:11">
      <c r="A1667" s="1"/>
      <c r="B1667" s="7"/>
      <c r="C1667" s="1"/>
      <c r="D1667" s="1"/>
      <c r="E1667" s="4"/>
      <c r="F1667" s="4"/>
      <c r="G1667" s="4"/>
      <c r="J1667" s="4"/>
      <c r="K1667" s="1"/>
    </row>
    <row r="1668" spans="1:11">
      <c r="A1668" s="1"/>
      <c r="B1668" s="7"/>
      <c r="C1668" s="1"/>
      <c r="D1668" s="1"/>
      <c r="E1668" s="4"/>
      <c r="F1668" s="4"/>
      <c r="G1668" s="4"/>
      <c r="J1668" s="4"/>
      <c r="K1668" s="1"/>
    </row>
    <row r="1669" spans="1:11">
      <c r="A1669" s="1"/>
      <c r="B1669" s="7"/>
      <c r="C1669" s="1"/>
      <c r="D1669" s="1"/>
      <c r="E1669" s="4"/>
      <c r="F1669" s="4"/>
      <c r="G1669" s="4"/>
      <c r="J1669" s="4"/>
      <c r="K1669" s="1"/>
    </row>
    <row r="1670" spans="1:11">
      <c r="A1670" s="1"/>
      <c r="B1670" s="7"/>
      <c r="C1670" s="1"/>
      <c r="D1670" s="1"/>
      <c r="E1670" s="4"/>
      <c r="F1670" s="4"/>
      <c r="G1670" s="4"/>
      <c r="J1670" s="4"/>
      <c r="K1670" s="1"/>
    </row>
    <row r="1671" spans="1:11">
      <c r="A1671" s="1"/>
      <c r="B1671" s="7"/>
      <c r="C1671" s="1"/>
      <c r="D1671" s="1"/>
      <c r="E1671" s="4"/>
      <c r="F1671" s="4"/>
      <c r="G1671" s="4"/>
      <c r="J1671" s="4"/>
      <c r="K1671" s="1"/>
    </row>
    <row r="1672" spans="1:11">
      <c r="A1672" s="1"/>
      <c r="B1672" s="7"/>
      <c r="C1672" s="1"/>
      <c r="D1672" s="1"/>
      <c r="E1672" s="4"/>
      <c r="F1672" s="4"/>
      <c r="G1672" s="4"/>
      <c r="J1672" s="4"/>
      <c r="K1672" s="1"/>
    </row>
    <row r="1673" spans="1:11">
      <c r="A1673" s="1"/>
      <c r="B1673" s="7"/>
      <c r="C1673" s="1"/>
      <c r="D1673" s="1"/>
      <c r="E1673" s="4"/>
      <c r="F1673" s="4"/>
      <c r="G1673" s="4"/>
      <c r="J1673" s="4"/>
      <c r="K1673" s="1"/>
    </row>
    <row r="1674" spans="1:11">
      <c r="A1674" s="1"/>
      <c r="B1674" s="7"/>
      <c r="C1674" s="1"/>
      <c r="D1674" s="1"/>
      <c r="E1674" s="4"/>
      <c r="F1674" s="4"/>
      <c r="G1674" s="4"/>
      <c r="J1674" s="4"/>
      <c r="K1674" s="1"/>
    </row>
    <row r="1675" spans="1:11">
      <c r="A1675" s="1"/>
      <c r="B1675" s="7"/>
      <c r="C1675" s="1"/>
      <c r="D1675" s="1"/>
      <c r="E1675" s="4"/>
      <c r="F1675" s="4"/>
      <c r="G1675" s="4"/>
      <c r="J1675" s="4"/>
      <c r="K1675" s="1"/>
    </row>
    <row r="1676" spans="1:11">
      <c r="A1676" s="1"/>
      <c r="B1676" s="7"/>
      <c r="C1676" s="1"/>
      <c r="D1676" s="1"/>
      <c r="E1676" s="4"/>
      <c r="F1676" s="4"/>
      <c r="G1676" s="4"/>
      <c r="J1676" s="4"/>
      <c r="K1676" s="1"/>
    </row>
    <row r="1677" spans="1:11">
      <c r="A1677" s="1"/>
      <c r="B1677" s="7"/>
      <c r="C1677" s="1"/>
      <c r="D1677" s="1"/>
      <c r="E1677" s="4"/>
      <c r="F1677" s="4"/>
      <c r="G1677" s="4"/>
      <c r="J1677" s="4"/>
      <c r="K1677" s="1"/>
    </row>
    <row r="1678" spans="1:11">
      <c r="A1678" s="1"/>
      <c r="B1678" s="7"/>
      <c r="C1678" s="1"/>
      <c r="D1678" s="1"/>
      <c r="E1678" s="4"/>
      <c r="F1678" s="4"/>
      <c r="G1678" s="4"/>
      <c r="J1678" s="4"/>
      <c r="K1678" s="1"/>
    </row>
    <row r="1679" spans="1:11">
      <c r="A1679" s="1"/>
      <c r="B1679" s="7"/>
      <c r="C1679" s="1"/>
      <c r="D1679" s="1"/>
      <c r="E1679" s="4"/>
      <c r="F1679" s="4"/>
      <c r="G1679" s="4"/>
      <c r="J1679" s="4"/>
      <c r="K1679" s="1"/>
    </row>
    <row r="1680" spans="1:11">
      <c r="A1680" s="1"/>
      <c r="B1680" s="7"/>
      <c r="C1680" s="1"/>
      <c r="D1680" s="1"/>
      <c r="E1680" s="4"/>
      <c r="F1680" s="4"/>
      <c r="G1680" s="4"/>
      <c r="J1680" s="4"/>
      <c r="K1680" s="1"/>
    </row>
    <row r="1681" spans="1:11">
      <c r="A1681" s="1"/>
      <c r="B1681" s="7"/>
      <c r="C1681" s="1"/>
      <c r="D1681" s="1"/>
      <c r="E1681" s="4"/>
      <c r="F1681" s="4"/>
      <c r="G1681" s="4"/>
      <c r="J1681" s="4"/>
      <c r="K1681" s="1"/>
    </row>
    <row r="1682" spans="1:11">
      <c r="A1682" s="1"/>
      <c r="B1682" s="7"/>
      <c r="C1682" s="1"/>
      <c r="D1682" s="1"/>
      <c r="E1682" s="4"/>
      <c r="F1682" s="4"/>
      <c r="G1682" s="4"/>
      <c r="J1682" s="4"/>
      <c r="K1682" s="1"/>
    </row>
    <row r="1683" spans="1:11">
      <c r="A1683" s="1"/>
      <c r="B1683" s="7"/>
      <c r="C1683" s="1"/>
      <c r="D1683" s="1"/>
      <c r="E1683" s="4"/>
      <c r="F1683" s="4"/>
      <c r="G1683" s="4"/>
      <c r="J1683" s="4"/>
      <c r="K1683" s="1"/>
    </row>
    <row r="1684" spans="1:11">
      <c r="A1684" s="1"/>
      <c r="B1684" s="7"/>
      <c r="C1684" s="1"/>
      <c r="D1684" s="1"/>
      <c r="E1684" s="4"/>
      <c r="F1684" s="4"/>
      <c r="G1684" s="4"/>
      <c r="J1684" s="4"/>
      <c r="K1684" s="1"/>
    </row>
    <row r="1685" spans="1:11">
      <c r="A1685" s="1"/>
      <c r="B1685" s="7"/>
      <c r="C1685" s="1"/>
      <c r="D1685" s="1"/>
      <c r="E1685" s="4"/>
      <c r="F1685" s="4"/>
      <c r="G1685" s="4"/>
      <c r="J1685" s="4"/>
      <c r="K1685" s="1"/>
    </row>
    <row r="1686" spans="1:11">
      <c r="A1686" s="1"/>
      <c r="B1686" s="7"/>
      <c r="C1686" s="1"/>
      <c r="D1686" s="1"/>
      <c r="E1686" s="4"/>
      <c r="F1686" s="4"/>
      <c r="G1686" s="4"/>
      <c r="J1686" s="4"/>
      <c r="K1686" s="1"/>
    </row>
    <row r="1687" spans="1:11">
      <c r="A1687" s="1"/>
      <c r="B1687" s="7"/>
      <c r="C1687" s="1"/>
      <c r="D1687" s="1"/>
      <c r="E1687" s="4"/>
      <c r="F1687" s="4"/>
      <c r="G1687" s="4"/>
      <c r="J1687" s="4"/>
      <c r="K1687" s="1"/>
    </row>
    <row r="1688" spans="1:11">
      <c r="A1688" s="1"/>
      <c r="B1688" s="7"/>
      <c r="C1688" s="1"/>
      <c r="D1688" s="1"/>
      <c r="E1688" s="4"/>
      <c r="F1688" s="4"/>
      <c r="G1688" s="4"/>
      <c r="J1688" s="4"/>
      <c r="K1688" s="1"/>
    </row>
    <row r="1689" spans="1:11">
      <c r="A1689" s="1"/>
      <c r="B1689" s="7"/>
      <c r="C1689" s="1"/>
      <c r="D1689" s="1"/>
      <c r="E1689" s="4"/>
      <c r="F1689" s="4"/>
      <c r="G1689" s="4"/>
      <c r="J1689" s="4"/>
      <c r="K1689" s="1"/>
    </row>
    <row r="1690" spans="1:11">
      <c r="A1690" s="1"/>
      <c r="B1690" s="7"/>
      <c r="C1690" s="1"/>
      <c r="D1690" s="1"/>
      <c r="E1690" s="4"/>
      <c r="F1690" s="4"/>
      <c r="G1690" s="4"/>
      <c r="J1690" s="4"/>
      <c r="K1690" s="1"/>
    </row>
    <row r="1691" spans="1:11">
      <c r="A1691" s="1"/>
      <c r="B1691" s="7"/>
      <c r="C1691" s="1"/>
      <c r="D1691" s="1"/>
      <c r="E1691" s="4"/>
      <c r="F1691" s="4"/>
      <c r="G1691" s="4"/>
      <c r="J1691" s="4"/>
      <c r="K1691" s="1"/>
    </row>
    <row r="1692" spans="1:11">
      <c r="A1692" s="1"/>
      <c r="B1692" s="7"/>
      <c r="C1692" s="1"/>
      <c r="D1692" s="1"/>
      <c r="E1692" s="4"/>
      <c r="F1692" s="4"/>
      <c r="G1692" s="4"/>
      <c r="J1692" s="4"/>
      <c r="K1692" s="1"/>
    </row>
    <row r="1693" spans="1:11">
      <c r="A1693" s="1"/>
      <c r="B1693" s="7"/>
      <c r="C1693" s="1"/>
      <c r="D1693" s="1"/>
      <c r="E1693" s="4"/>
      <c r="F1693" s="4"/>
      <c r="G1693" s="4"/>
      <c r="J1693" s="4"/>
      <c r="K1693" s="1"/>
    </row>
    <row r="1694" spans="1:11">
      <c r="A1694" s="1"/>
      <c r="B1694" s="7"/>
      <c r="C1694" s="1"/>
      <c r="D1694" s="1"/>
      <c r="E1694" s="4"/>
      <c r="F1694" s="4"/>
      <c r="G1694" s="4"/>
      <c r="J1694" s="4"/>
      <c r="K1694" s="1"/>
    </row>
    <row r="1695" spans="1:11">
      <c r="A1695" s="1"/>
      <c r="B1695" s="7"/>
      <c r="C1695" s="1"/>
      <c r="D1695" s="1"/>
      <c r="E1695" s="4"/>
      <c r="F1695" s="4"/>
      <c r="G1695" s="4"/>
      <c r="J1695" s="4"/>
      <c r="K1695" s="1"/>
    </row>
    <row r="1696" spans="1:11">
      <c r="A1696" s="1"/>
      <c r="B1696" s="7"/>
      <c r="C1696" s="1"/>
      <c r="D1696" s="1"/>
      <c r="E1696" s="4"/>
      <c r="F1696" s="4"/>
      <c r="G1696" s="4"/>
      <c r="J1696" s="4"/>
      <c r="K1696" s="1"/>
    </row>
    <row r="1697" spans="1:11">
      <c r="A1697" s="1"/>
      <c r="B1697" s="7"/>
      <c r="C1697" s="1"/>
      <c r="D1697" s="1"/>
      <c r="E1697" s="4"/>
      <c r="F1697" s="4"/>
      <c r="G1697" s="4"/>
      <c r="J1697" s="4"/>
      <c r="K1697" s="1"/>
    </row>
    <row r="1698" spans="1:11">
      <c r="A1698" s="1"/>
      <c r="B1698" s="7"/>
      <c r="C1698" s="1"/>
      <c r="D1698" s="1"/>
      <c r="E1698" s="4"/>
      <c r="F1698" s="4"/>
      <c r="G1698" s="4"/>
      <c r="J1698" s="4"/>
      <c r="K1698" s="1"/>
    </row>
    <row r="1699" spans="1:11">
      <c r="A1699" s="1"/>
      <c r="B1699" s="7"/>
      <c r="C1699" s="1"/>
      <c r="D1699" s="1"/>
      <c r="E1699" s="4"/>
      <c r="F1699" s="4"/>
      <c r="G1699" s="4"/>
      <c r="J1699" s="4"/>
      <c r="K1699" s="1"/>
    </row>
    <row r="1700" spans="1:11">
      <c r="A1700" s="1"/>
      <c r="B1700" s="7"/>
      <c r="C1700" s="1"/>
      <c r="D1700" s="1"/>
      <c r="E1700" s="4"/>
      <c r="F1700" s="4"/>
      <c r="G1700" s="4"/>
      <c r="J1700" s="4"/>
      <c r="K1700" s="1"/>
    </row>
    <row r="1701" spans="1:11">
      <c r="A1701" s="1"/>
      <c r="B1701" s="7"/>
      <c r="C1701" s="1"/>
      <c r="D1701" s="1"/>
      <c r="E1701" s="4"/>
      <c r="F1701" s="4"/>
      <c r="G1701" s="4"/>
      <c r="J1701" s="4"/>
      <c r="K1701" s="1"/>
    </row>
    <row r="1702" spans="1:11">
      <c r="A1702" s="1"/>
      <c r="B1702" s="7"/>
      <c r="C1702" s="1"/>
      <c r="D1702" s="1"/>
      <c r="E1702" s="4"/>
      <c r="F1702" s="4"/>
      <c r="G1702" s="4"/>
      <c r="J1702" s="4"/>
      <c r="K1702" s="1"/>
    </row>
    <row r="1703" spans="1:11">
      <c r="A1703" s="1"/>
      <c r="B1703" s="7"/>
      <c r="C1703" s="1"/>
      <c r="D1703" s="1"/>
      <c r="E1703" s="4"/>
      <c r="F1703" s="4"/>
      <c r="G1703" s="4"/>
      <c r="J1703" s="4"/>
      <c r="K1703" s="1"/>
    </row>
    <row r="1704" spans="1:11">
      <c r="A1704" s="1"/>
      <c r="B1704" s="7"/>
      <c r="C1704" s="1"/>
      <c r="D1704" s="1"/>
      <c r="E1704" s="4"/>
      <c r="F1704" s="4"/>
      <c r="G1704" s="4"/>
      <c r="J1704" s="4"/>
      <c r="K1704" s="1"/>
    </row>
    <row r="1705" spans="1:11">
      <c r="A1705" s="1"/>
      <c r="B1705" s="7"/>
      <c r="C1705" s="1"/>
      <c r="D1705" s="1"/>
      <c r="E1705" s="4"/>
      <c r="F1705" s="4"/>
      <c r="G1705" s="4"/>
      <c r="J1705" s="4"/>
      <c r="K1705" s="1"/>
    </row>
    <row r="1706" spans="1:11">
      <c r="A1706" s="1"/>
      <c r="B1706" s="7"/>
      <c r="C1706" s="1"/>
      <c r="D1706" s="1"/>
      <c r="E1706" s="4"/>
      <c r="F1706" s="4"/>
      <c r="G1706" s="4"/>
      <c r="J1706" s="4"/>
      <c r="K1706" s="1"/>
    </row>
    <row r="1707" spans="1:11">
      <c r="A1707" s="1"/>
      <c r="B1707" s="7"/>
      <c r="C1707" s="1"/>
      <c r="D1707" s="1"/>
      <c r="E1707" s="4"/>
      <c r="F1707" s="4"/>
      <c r="G1707" s="4"/>
      <c r="J1707" s="4"/>
      <c r="K1707" s="1"/>
    </row>
    <row r="1708" spans="1:11">
      <c r="A1708" s="1"/>
      <c r="B1708" s="7"/>
      <c r="C1708" s="1"/>
      <c r="D1708" s="1"/>
      <c r="E1708" s="4"/>
      <c r="F1708" s="4"/>
      <c r="G1708" s="4"/>
      <c r="J1708" s="4"/>
      <c r="K1708" s="1"/>
    </row>
    <row r="1709" spans="1:11">
      <c r="A1709" s="1"/>
      <c r="B1709" s="7"/>
      <c r="C1709" s="1"/>
      <c r="D1709" s="1"/>
      <c r="E1709" s="4"/>
      <c r="F1709" s="4"/>
      <c r="G1709" s="4"/>
      <c r="J1709" s="4"/>
      <c r="K1709" s="1"/>
    </row>
    <row r="1710" spans="1:11">
      <c r="A1710" s="1"/>
      <c r="B1710" s="7"/>
      <c r="C1710" s="1"/>
      <c r="D1710" s="1"/>
      <c r="E1710" s="4"/>
      <c r="F1710" s="4"/>
      <c r="G1710" s="4"/>
      <c r="J1710" s="4"/>
      <c r="K1710" s="1"/>
    </row>
    <row r="1711" spans="1:11">
      <c r="A1711" s="1"/>
      <c r="B1711" s="7"/>
      <c r="C1711" s="1"/>
      <c r="D1711" s="1"/>
      <c r="E1711" s="4"/>
      <c r="F1711" s="4"/>
      <c r="G1711" s="4"/>
      <c r="J1711" s="4"/>
      <c r="K1711" s="1"/>
    </row>
    <row r="1712" spans="1:11">
      <c r="A1712" s="1"/>
      <c r="B1712" s="7"/>
      <c r="C1712" s="1"/>
      <c r="D1712" s="1"/>
      <c r="E1712" s="4"/>
      <c r="F1712" s="4"/>
      <c r="G1712" s="4"/>
      <c r="J1712" s="4"/>
      <c r="K1712" s="1"/>
    </row>
    <row r="1713" spans="1:11">
      <c r="A1713" s="1"/>
      <c r="B1713" s="7"/>
      <c r="C1713" s="1"/>
      <c r="D1713" s="1"/>
      <c r="E1713" s="4"/>
      <c r="F1713" s="4"/>
      <c r="G1713" s="4"/>
      <c r="J1713" s="4"/>
      <c r="K1713" s="1"/>
    </row>
    <row r="1714" spans="1:11">
      <c r="A1714" s="1"/>
      <c r="B1714" s="7"/>
      <c r="C1714" s="1"/>
      <c r="D1714" s="1"/>
      <c r="E1714" s="4"/>
      <c r="F1714" s="4"/>
      <c r="G1714" s="4"/>
      <c r="J1714" s="4"/>
      <c r="K1714" s="1"/>
    </row>
    <row r="1715" spans="1:11">
      <c r="A1715" s="1"/>
      <c r="B1715" s="7"/>
      <c r="C1715" s="1"/>
      <c r="D1715" s="1"/>
      <c r="E1715" s="4"/>
      <c r="F1715" s="4"/>
      <c r="G1715" s="4"/>
      <c r="J1715" s="4"/>
      <c r="K1715" s="1"/>
    </row>
    <row r="1716" spans="1:11">
      <c r="A1716" s="1"/>
      <c r="B1716" s="7"/>
      <c r="C1716" s="1"/>
      <c r="D1716" s="1"/>
      <c r="E1716" s="4"/>
      <c r="F1716" s="4"/>
      <c r="G1716" s="4"/>
      <c r="J1716" s="4"/>
      <c r="K1716" s="1"/>
    </row>
    <row r="1717" spans="1:11">
      <c r="A1717" s="1"/>
      <c r="B1717" s="7"/>
      <c r="C1717" s="1"/>
      <c r="D1717" s="1"/>
      <c r="E1717" s="4"/>
      <c r="F1717" s="4"/>
      <c r="G1717" s="4"/>
      <c r="J1717" s="4"/>
      <c r="K1717" s="1"/>
    </row>
    <row r="1718" spans="1:11">
      <c r="A1718" s="1"/>
      <c r="B1718" s="7"/>
      <c r="C1718" s="1"/>
      <c r="D1718" s="1"/>
      <c r="E1718" s="4"/>
      <c r="F1718" s="4"/>
      <c r="G1718" s="4"/>
      <c r="J1718" s="4"/>
      <c r="K1718" s="1"/>
    </row>
    <row r="1719" spans="1:11">
      <c r="A1719" s="1"/>
      <c r="B1719" s="7"/>
      <c r="C1719" s="1"/>
      <c r="D1719" s="1"/>
      <c r="E1719" s="4"/>
      <c r="F1719" s="4"/>
      <c r="G1719" s="4"/>
      <c r="J1719" s="4"/>
      <c r="K1719" s="1"/>
    </row>
    <row r="1720" spans="1:11">
      <c r="A1720" s="1"/>
      <c r="B1720" s="7"/>
      <c r="C1720" s="1"/>
      <c r="D1720" s="1"/>
      <c r="E1720" s="4"/>
      <c r="F1720" s="4"/>
      <c r="G1720" s="4"/>
      <c r="J1720" s="4"/>
      <c r="K1720" s="1"/>
    </row>
    <row r="1721" spans="1:11">
      <c r="A1721" s="1"/>
      <c r="B1721" s="7"/>
      <c r="C1721" s="1"/>
      <c r="D1721" s="1"/>
      <c r="E1721" s="4"/>
      <c r="F1721" s="4"/>
      <c r="G1721" s="4"/>
      <c r="J1721" s="4"/>
      <c r="K1721" s="1"/>
    </row>
    <row r="1722" spans="1:11">
      <c r="A1722" s="1"/>
      <c r="B1722" s="7"/>
      <c r="C1722" s="1"/>
      <c r="D1722" s="1"/>
      <c r="E1722" s="4"/>
      <c r="F1722" s="4"/>
      <c r="G1722" s="4"/>
      <c r="J1722" s="4"/>
      <c r="K1722" s="1"/>
    </row>
    <row r="1723" spans="1:11">
      <c r="A1723" s="1"/>
      <c r="B1723" s="7"/>
      <c r="C1723" s="1"/>
      <c r="D1723" s="1"/>
      <c r="E1723" s="4"/>
      <c r="F1723" s="4"/>
      <c r="G1723" s="4"/>
      <c r="J1723" s="4"/>
      <c r="K1723" s="1"/>
    </row>
    <row r="1724" spans="1:11">
      <c r="A1724" s="1"/>
      <c r="B1724" s="7"/>
      <c r="C1724" s="1"/>
      <c r="D1724" s="1"/>
      <c r="E1724" s="4"/>
      <c r="F1724" s="4"/>
      <c r="G1724" s="4"/>
      <c r="J1724" s="4"/>
      <c r="K1724" s="1"/>
    </row>
    <row r="1725" spans="1:11">
      <c r="A1725" s="1"/>
      <c r="B1725" s="7"/>
      <c r="C1725" s="1"/>
      <c r="D1725" s="1"/>
      <c r="E1725" s="4"/>
      <c r="F1725" s="4"/>
      <c r="G1725" s="4"/>
      <c r="J1725" s="4"/>
      <c r="K1725" s="1"/>
    </row>
    <row r="1726" spans="1:11">
      <c r="A1726" s="1"/>
      <c r="B1726" s="7"/>
      <c r="C1726" s="1"/>
      <c r="D1726" s="1"/>
      <c r="E1726" s="4"/>
      <c r="F1726" s="4"/>
      <c r="G1726" s="4"/>
      <c r="J1726" s="4"/>
      <c r="K1726" s="1"/>
    </row>
    <row r="1727" spans="1:11">
      <c r="A1727" s="1"/>
      <c r="B1727" s="7"/>
      <c r="C1727" s="1"/>
      <c r="D1727" s="1"/>
      <c r="E1727" s="4"/>
      <c r="F1727" s="4"/>
      <c r="G1727" s="4"/>
      <c r="J1727" s="4"/>
      <c r="K1727" s="1"/>
    </row>
    <row r="1728" spans="1:11">
      <c r="A1728" s="1"/>
      <c r="B1728" s="7"/>
      <c r="C1728" s="1"/>
      <c r="D1728" s="1"/>
      <c r="E1728" s="4"/>
      <c r="F1728" s="4"/>
      <c r="G1728" s="4"/>
      <c r="J1728" s="4"/>
      <c r="K1728" s="1"/>
    </row>
    <row r="1729" spans="1:11">
      <c r="A1729" s="1"/>
      <c r="B1729" s="7"/>
      <c r="C1729" s="1"/>
      <c r="D1729" s="1"/>
      <c r="E1729" s="4"/>
      <c r="F1729" s="4"/>
      <c r="G1729" s="4"/>
      <c r="J1729" s="4"/>
      <c r="K1729" s="1"/>
    </row>
    <row r="1730" spans="1:11">
      <c r="A1730" s="1"/>
      <c r="B1730" s="7"/>
      <c r="C1730" s="1"/>
      <c r="D1730" s="1"/>
      <c r="E1730" s="4"/>
      <c r="F1730" s="4"/>
      <c r="G1730" s="4"/>
      <c r="J1730" s="4"/>
      <c r="K1730" s="1"/>
    </row>
    <row r="1731" spans="1:11">
      <c r="A1731" s="1"/>
      <c r="B1731" s="7"/>
      <c r="C1731" s="1"/>
      <c r="D1731" s="1"/>
      <c r="E1731" s="4"/>
      <c r="F1731" s="4"/>
      <c r="G1731" s="4"/>
      <c r="J1731" s="4"/>
      <c r="K1731" s="1"/>
    </row>
    <row r="1732" spans="1:11">
      <c r="A1732" s="1"/>
      <c r="B1732" s="7"/>
      <c r="C1732" s="1"/>
      <c r="D1732" s="1"/>
      <c r="E1732" s="4"/>
      <c r="F1732" s="4"/>
      <c r="G1732" s="4"/>
      <c r="J1732" s="4"/>
      <c r="K1732" s="1"/>
    </row>
    <row r="1733" spans="1:11">
      <c r="A1733" s="1"/>
      <c r="B1733" s="7"/>
      <c r="C1733" s="1"/>
      <c r="D1733" s="1"/>
      <c r="E1733" s="4"/>
      <c r="F1733" s="4"/>
      <c r="G1733" s="4"/>
      <c r="J1733" s="4"/>
      <c r="K1733" s="1"/>
    </row>
    <row r="1734" spans="1:11">
      <c r="A1734" s="1"/>
      <c r="B1734" s="7"/>
      <c r="C1734" s="1"/>
      <c r="D1734" s="1"/>
      <c r="E1734" s="4"/>
      <c r="F1734" s="4"/>
      <c r="G1734" s="4"/>
      <c r="J1734" s="4"/>
      <c r="K1734" s="1"/>
    </row>
    <row r="1735" spans="1:11">
      <c r="A1735" s="1"/>
      <c r="B1735" s="7"/>
      <c r="C1735" s="1"/>
      <c r="D1735" s="1"/>
      <c r="E1735" s="4"/>
      <c r="F1735" s="4"/>
      <c r="G1735" s="4"/>
      <c r="J1735" s="4"/>
      <c r="K1735" s="1"/>
    </row>
    <row r="1736" spans="1:11">
      <c r="A1736" s="1"/>
      <c r="B1736" s="7"/>
      <c r="C1736" s="1"/>
      <c r="D1736" s="1"/>
      <c r="E1736" s="4"/>
      <c r="F1736" s="4"/>
      <c r="G1736" s="4"/>
      <c r="J1736" s="4"/>
      <c r="K1736" s="1"/>
    </row>
    <row r="1737" spans="1:11">
      <c r="A1737" s="1"/>
      <c r="B1737" s="7"/>
      <c r="C1737" s="1"/>
      <c r="D1737" s="1"/>
      <c r="E1737" s="4"/>
      <c r="F1737" s="4"/>
      <c r="G1737" s="4"/>
      <c r="J1737" s="4"/>
      <c r="K1737" s="1"/>
    </row>
    <row r="1738" spans="1:11">
      <c r="A1738" s="1"/>
      <c r="B1738" s="7"/>
      <c r="C1738" s="1"/>
      <c r="D1738" s="1"/>
      <c r="E1738" s="4"/>
      <c r="F1738" s="4"/>
      <c r="G1738" s="4"/>
      <c r="J1738" s="4"/>
      <c r="K1738" s="1"/>
    </row>
    <row r="1739" spans="1:11">
      <c r="A1739" s="1"/>
      <c r="B1739" s="7"/>
      <c r="C1739" s="1"/>
      <c r="D1739" s="1"/>
      <c r="E1739" s="4"/>
      <c r="F1739" s="4"/>
      <c r="G1739" s="4"/>
      <c r="J1739" s="4"/>
      <c r="K1739" s="1"/>
    </row>
    <row r="1740" spans="1:11">
      <c r="A1740" s="1"/>
      <c r="B1740" s="7"/>
      <c r="C1740" s="1"/>
      <c r="D1740" s="1"/>
      <c r="E1740" s="4"/>
      <c r="F1740" s="4"/>
      <c r="G1740" s="4"/>
      <c r="J1740" s="4"/>
      <c r="K1740" s="1"/>
    </row>
    <row r="1741" spans="1:11">
      <c r="A1741" s="1"/>
      <c r="B1741" s="7"/>
      <c r="C1741" s="1"/>
      <c r="D1741" s="1"/>
      <c r="E1741" s="4"/>
      <c r="F1741" s="4"/>
      <c r="G1741" s="4"/>
      <c r="J1741" s="4"/>
      <c r="K1741" s="1"/>
    </row>
    <row r="1742" spans="1:11">
      <c r="A1742" s="1"/>
      <c r="B1742" s="7"/>
      <c r="C1742" s="1"/>
      <c r="D1742" s="1"/>
      <c r="E1742" s="4"/>
      <c r="F1742" s="4"/>
      <c r="G1742" s="4"/>
      <c r="J1742" s="4"/>
      <c r="K1742" s="1"/>
    </row>
    <row r="1743" spans="1:11">
      <c r="A1743" s="1"/>
      <c r="B1743" s="7"/>
      <c r="C1743" s="1"/>
      <c r="D1743" s="1"/>
      <c r="E1743" s="4"/>
      <c r="F1743" s="4"/>
      <c r="G1743" s="4"/>
      <c r="J1743" s="4"/>
      <c r="K1743" s="1"/>
    </row>
    <row r="1744" spans="1:11">
      <c r="A1744" s="1"/>
      <c r="B1744" s="7"/>
      <c r="C1744" s="1"/>
      <c r="D1744" s="1"/>
      <c r="E1744" s="4"/>
      <c r="F1744" s="4"/>
      <c r="G1744" s="4"/>
      <c r="J1744" s="4"/>
      <c r="K1744" s="1"/>
    </row>
    <row r="1745" spans="1:11">
      <c r="A1745" s="1"/>
      <c r="B1745" s="7"/>
      <c r="C1745" s="1"/>
      <c r="D1745" s="1"/>
      <c r="E1745" s="4"/>
      <c r="F1745" s="4"/>
      <c r="G1745" s="4"/>
      <c r="J1745" s="4"/>
      <c r="K1745" s="1"/>
    </row>
    <row r="1746" spans="1:11">
      <c r="A1746" s="1"/>
      <c r="B1746" s="7"/>
      <c r="C1746" s="1"/>
      <c r="D1746" s="1"/>
      <c r="E1746" s="4"/>
      <c r="F1746" s="4"/>
      <c r="G1746" s="4"/>
      <c r="J1746" s="4"/>
      <c r="K1746" s="1"/>
    </row>
    <row r="1747" spans="1:11">
      <c r="A1747" s="1"/>
      <c r="B1747" s="7"/>
      <c r="C1747" s="1"/>
      <c r="D1747" s="1"/>
      <c r="E1747" s="4"/>
      <c r="F1747" s="4"/>
      <c r="G1747" s="4"/>
      <c r="J1747" s="4"/>
      <c r="K1747" s="1"/>
    </row>
    <row r="1748" spans="1:11">
      <c r="A1748" s="1"/>
      <c r="B1748" s="7"/>
      <c r="C1748" s="1"/>
      <c r="D1748" s="1"/>
      <c r="E1748" s="4"/>
      <c r="F1748" s="4"/>
      <c r="G1748" s="4"/>
      <c r="J1748" s="4"/>
      <c r="K1748" s="1"/>
    </row>
    <row r="1749" spans="1:11">
      <c r="A1749" s="1"/>
      <c r="B1749" s="7"/>
      <c r="C1749" s="1"/>
      <c r="D1749" s="1"/>
      <c r="E1749" s="4"/>
      <c r="F1749" s="4"/>
      <c r="G1749" s="4"/>
      <c r="J1749" s="4"/>
      <c r="K1749" s="1"/>
    </row>
    <row r="1750" spans="1:11">
      <c r="A1750" s="1"/>
      <c r="B1750" s="7"/>
      <c r="C1750" s="1"/>
      <c r="D1750" s="1"/>
      <c r="E1750" s="4"/>
      <c r="F1750" s="4"/>
      <c r="G1750" s="4"/>
      <c r="J1750" s="4"/>
      <c r="K1750" s="1"/>
    </row>
    <row r="1751" spans="1:11">
      <c r="A1751" s="1"/>
      <c r="B1751" s="7"/>
      <c r="C1751" s="1"/>
      <c r="D1751" s="1"/>
      <c r="E1751" s="4"/>
      <c r="F1751" s="4"/>
      <c r="G1751" s="4"/>
      <c r="J1751" s="4"/>
      <c r="K1751" s="1"/>
    </row>
    <row r="1752" spans="1:11">
      <c r="A1752" s="1"/>
      <c r="B1752" s="7"/>
      <c r="C1752" s="1"/>
      <c r="D1752" s="1"/>
      <c r="E1752" s="4"/>
      <c r="F1752" s="4"/>
      <c r="G1752" s="4"/>
      <c r="J1752" s="4"/>
      <c r="K1752" s="1"/>
    </row>
    <row r="1753" spans="1:11">
      <c r="A1753" s="1"/>
      <c r="B1753" s="7"/>
      <c r="C1753" s="1"/>
      <c r="D1753" s="1"/>
      <c r="E1753" s="4"/>
      <c r="F1753" s="4"/>
      <c r="G1753" s="4"/>
      <c r="J1753" s="4"/>
      <c r="K1753" s="1"/>
    </row>
    <row r="1754" spans="1:11">
      <c r="A1754" s="1"/>
      <c r="B1754" s="7"/>
      <c r="C1754" s="1"/>
      <c r="D1754" s="1"/>
      <c r="E1754" s="4"/>
      <c r="F1754" s="4"/>
      <c r="G1754" s="4"/>
      <c r="J1754" s="4"/>
      <c r="K1754" s="1"/>
    </row>
    <row r="1755" spans="1:11">
      <c r="A1755" s="1"/>
      <c r="B1755" s="7"/>
      <c r="C1755" s="1"/>
      <c r="D1755" s="1"/>
      <c r="E1755" s="4"/>
      <c r="F1755" s="4"/>
      <c r="G1755" s="4"/>
      <c r="J1755" s="4"/>
      <c r="K1755" s="1"/>
    </row>
    <row r="1756" spans="1:11">
      <c r="A1756" s="1"/>
      <c r="B1756" s="7"/>
      <c r="C1756" s="1"/>
      <c r="D1756" s="1"/>
      <c r="E1756" s="4"/>
      <c r="F1756" s="4"/>
      <c r="G1756" s="4"/>
      <c r="J1756" s="4"/>
      <c r="K1756" s="1"/>
    </row>
    <row r="1757" spans="1:11">
      <c r="A1757" s="1"/>
      <c r="B1757" s="7"/>
      <c r="C1757" s="1"/>
      <c r="D1757" s="1"/>
      <c r="E1757" s="4"/>
      <c r="F1757" s="4"/>
      <c r="G1757" s="4"/>
      <c r="J1757" s="4"/>
      <c r="K1757" s="1"/>
    </row>
    <row r="1758" spans="1:11">
      <c r="A1758" s="1"/>
      <c r="B1758" s="7"/>
      <c r="C1758" s="1"/>
      <c r="D1758" s="1"/>
      <c r="E1758" s="4"/>
      <c r="F1758" s="4"/>
      <c r="G1758" s="4"/>
      <c r="J1758" s="4"/>
      <c r="K1758" s="1"/>
    </row>
    <row r="1759" spans="1:11">
      <c r="A1759" s="1"/>
      <c r="B1759" s="7"/>
      <c r="C1759" s="1"/>
      <c r="D1759" s="1"/>
      <c r="E1759" s="4"/>
      <c r="F1759" s="4"/>
      <c r="G1759" s="4"/>
      <c r="J1759" s="4"/>
      <c r="K1759" s="1"/>
    </row>
    <row r="1760" spans="1:11">
      <c r="A1760" s="1"/>
      <c r="B1760" s="7"/>
      <c r="C1760" s="1"/>
      <c r="D1760" s="1"/>
      <c r="E1760" s="4"/>
      <c r="F1760" s="4"/>
      <c r="G1760" s="4"/>
      <c r="J1760" s="4"/>
      <c r="K1760" s="1"/>
    </row>
    <row r="1761" spans="1:11">
      <c r="A1761" s="1"/>
      <c r="B1761" s="7"/>
      <c r="C1761" s="1"/>
      <c r="D1761" s="1"/>
      <c r="E1761" s="4"/>
      <c r="F1761" s="4"/>
      <c r="G1761" s="4"/>
      <c r="J1761" s="4"/>
      <c r="K1761" s="1"/>
    </row>
    <row r="1762" spans="1:11">
      <c r="A1762" s="1"/>
      <c r="B1762" s="7"/>
      <c r="C1762" s="1"/>
      <c r="D1762" s="1"/>
      <c r="E1762" s="4"/>
      <c r="F1762" s="4"/>
      <c r="G1762" s="4"/>
      <c r="J1762" s="4"/>
      <c r="K1762" s="1"/>
    </row>
    <row r="1763" spans="1:11">
      <c r="A1763" s="1"/>
      <c r="B1763" s="7"/>
      <c r="C1763" s="1"/>
      <c r="D1763" s="1"/>
      <c r="E1763" s="4"/>
      <c r="F1763" s="4"/>
      <c r="G1763" s="4"/>
      <c r="J1763" s="4"/>
      <c r="K1763" s="1"/>
    </row>
    <row r="1764" spans="1:11">
      <c r="A1764" s="1"/>
      <c r="B1764" s="7"/>
      <c r="C1764" s="1"/>
      <c r="D1764" s="1"/>
      <c r="E1764" s="4"/>
      <c r="F1764" s="4"/>
      <c r="G1764" s="4"/>
      <c r="J1764" s="4"/>
      <c r="K1764" s="1"/>
    </row>
    <row r="1765" spans="1:11">
      <c r="A1765" s="1"/>
      <c r="B1765" s="7"/>
      <c r="C1765" s="1"/>
      <c r="D1765" s="1"/>
      <c r="E1765" s="4"/>
      <c r="F1765" s="4"/>
      <c r="G1765" s="4"/>
      <c r="J1765" s="4"/>
      <c r="K1765" s="1"/>
    </row>
    <row r="1766" spans="1:11">
      <c r="A1766" s="1"/>
      <c r="B1766" s="7"/>
      <c r="C1766" s="1"/>
      <c r="D1766" s="1"/>
      <c r="E1766" s="4"/>
      <c r="F1766" s="4"/>
      <c r="G1766" s="4"/>
      <c r="J1766" s="4"/>
      <c r="K1766" s="1"/>
    </row>
    <row r="1767" spans="1:11">
      <c r="A1767" s="1"/>
      <c r="B1767" s="7"/>
      <c r="C1767" s="1"/>
      <c r="D1767" s="1"/>
      <c r="E1767" s="4"/>
      <c r="F1767" s="4"/>
      <c r="G1767" s="4"/>
      <c r="J1767" s="4"/>
      <c r="K1767" s="1"/>
    </row>
    <row r="1768" spans="1:11">
      <c r="A1768" s="1"/>
      <c r="B1768" s="7"/>
      <c r="C1768" s="1"/>
      <c r="D1768" s="1"/>
      <c r="E1768" s="4"/>
      <c r="F1768" s="4"/>
      <c r="G1768" s="4"/>
      <c r="J1768" s="4"/>
      <c r="K1768" s="1"/>
    </row>
    <row r="1769" spans="1:11">
      <c r="A1769" s="1"/>
      <c r="B1769" s="7"/>
      <c r="C1769" s="1"/>
      <c r="D1769" s="1"/>
      <c r="E1769" s="4"/>
      <c r="F1769" s="4"/>
      <c r="G1769" s="4"/>
      <c r="J1769" s="4"/>
      <c r="K1769" s="1"/>
    </row>
    <row r="1770" spans="1:11">
      <c r="A1770" s="1"/>
      <c r="B1770" s="7"/>
      <c r="C1770" s="1"/>
      <c r="D1770" s="1"/>
      <c r="E1770" s="4"/>
      <c r="F1770" s="4"/>
      <c r="G1770" s="4"/>
      <c r="J1770" s="4"/>
      <c r="K1770" s="1"/>
    </row>
    <row r="1771" spans="1:11">
      <c r="A1771" s="1"/>
      <c r="B1771" s="7"/>
      <c r="C1771" s="1"/>
      <c r="D1771" s="1"/>
      <c r="E1771" s="4"/>
      <c r="F1771" s="4"/>
      <c r="G1771" s="4"/>
      <c r="J1771" s="4"/>
      <c r="K1771" s="1"/>
    </row>
    <row r="1772" spans="1:11">
      <c r="A1772" s="1"/>
      <c r="B1772" s="7"/>
      <c r="C1772" s="1"/>
      <c r="D1772" s="1"/>
      <c r="E1772" s="4"/>
      <c r="F1772" s="4"/>
      <c r="G1772" s="4"/>
      <c r="J1772" s="4"/>
      <c r="K1772" s="1"/>
    </row>
    <row r="1773" spans="1:11">
      <c r="A1773" s="1"/>
      <c r="B1773" s="7"/>
      <c r="C1773" s="1"/>
      <c r="D1773" s="1"/>
      <c r="E1773" s="4"/>
      <c r="F1773" s="4"/>
      <c r="G1773" s="4"/>
      <c r="J1773" s="4"/>
      <c r="K1773" s="1"/>
    </row>
    <row r="1774" spans="1:11">
      <c r="A1774" s="1"/>
      <c r="B1774" s="7"/>
      <c r="C1774" s="1"/>
      <c r="D1774" s="1"/>
      <c r="E1774" s="4"/>
      <c r="F1774" s="4"/>
      <c r="G1774" s="4"/>
      <c r="J1774" s="4"/>
      <c r="K1774" s="1"/>
    </row>
    <row r="1775" spans="1:11">
      <c r="A1775" s="1"/>
      <c r="B1775" s="7"/>
      <c r="C1775" s="1"/>
      <c r="D1775" s="1"/>
      <c r="E1775" s="4"/>
      <c r="F1775" s="4"/>
      <c r="G1775" s="4"/>
      <c r="J1775" s="4"/>
      <c r="K1775" s="1"/>
    </row>
    <row r="1776" spans="1:11">
      <c r="A1776" s="1"/>
      <c r="B1776" s="7"/>
      <c r="C1776" s="1"/>
      <c r="D1776" s="1"/>
      <c r="E1776" s="4"/>
      <c r="F1776" s="4"/>
      <c r="G1776" s="4"/>
      <c r="J1776" s="4"/>
      <c r="K1776" s="1"/>
    </row>
    <row r="1777" spans="1:11">
      <c r="A1777" s="1"/>
      <c r="B1777" s="7"/>
      <c r="C1777" s="1"/>
      <c r="D1777" s="1"/>
      <c r="E1777" s="4"/>
      <c r="F1777" s="4"/>
      <c r="G1777" s="4"/>
      <c r="J1777" s="4"/>
      <c r="K1777" s="1"/>
    </row>
    <row r="1778" spans="1:11">
      <c r="A1778" s="1"/>
      <c r="B1778" s="7"/>
      <c r="C1778" s="1"/>
      <c r="D1778" s="1"/>
      <c r="E1778" s="4"/>
      <c r="F1778" s="4"/>
      <c r="G1778" s="4"/>
      <c r="J1778" s="4"/>
      <c r="K1778" s="1"/>
    </row>
    <row r="1779" spans="1:11">
      <c r="A1779" s="1"/>
      <c r="B1779" s="7"/>
      <c r="C1779" s="1"/>
      <c r="D1779" s="1"/>
      <c r="E1779" s="4"/>
      <c r="F1779" s="4"/>
      <c r="G1779" s="4"/>
      <c r="J1779" s="4"/>
      <c r="K1779" s="1"/>
    </row>
    <row r="1780" spans="1:11">
      <c r="A1780" s="1"/>
      <c r="B1780" s="7"/>
      <c r="C1780" s="1"/>
      <c r="D1780" s="1"/>
      <c r="E1780" s="4"/>
      <c r="F1780" s="4"/>
      <c r="G1780" s="4"/>
      <c r="J1780" s="4"/>
      <c r="K1780" s="1"/>
    </row>
    <row r="1781" spans="1:11">
      <c r="A1781" s="1"/>
      <c r="B1781" s="7"/>
      <c r="C1781" s="1"/>
      <c r="D1781" s="1"/>
      <c r="E1781" s="4"/>
      <c r="F1781" s="4"/>
      <c r="G1781" s="4"/>
      <c r="J1781" s="4"/>
      <c r="K1781" s="1"/>
    </row>
    <row r="1782" spans="1:11">
      <c r="A1782" s="1"/>
      <c r="B1782" s="7"/>
      <c r="C1782" s="1"/>
      <c r="D1782" s="1"/>
      <c r="E1782" s="4"/>
      <c r="F1782" s="4"/>
      <c r="G1782" s="4"/>
      <c r="J1782" s="4"/>
      <c r="K1782" s="1"/>
    </row>
    <row r="1783" spans="1:11">
      <c r="A1783" s="1"/>
      <c r="B1783" s="7"/>
      <c r="C1783" s="1"/>
      <c r="D1783" s="1"/>
      <c r="E1783" s="4"/>
      <c r="F1783" s="4"/>
      <c r="G1783" s="4"/>
      <c r="J1783" s="4"/>
      <c r="K1783" s="1"/>
    </row>
    <row r="1784" spans="1:11">
      <c r="A1784" s="1"/>
      <c r="B1784" s="7"/>
      <c r="C1784" s="1"/>
      <c r="D1784" s="1"/>
      <c r="E1784" s="4"/>
      <c r="F1784" s="4"/>
      <c r="G1784" s="4"/>
      <c r="J1784" s="4"/>
      <c r="K1784" s="1"/>
    </row>
    <row r="1785" spans="1:11">
      <c r="A1785" s="1"/>
      <c r="B1785" s="7"/>
      <c r="C1785" s="1"/>
      <c r="D1785" s="1"/>
      <c r="E1785" s="4"/>
      <c r="F1785" s="4"/>
      <c r="G1785" s="4"/>
      <c r="J1785" s="4"/>
      <c r="K1785" s="1"/>
    </row>
    <row r="1786" spans="1:11">
      <c r="A1786" s="1"/>
      <c r="B1786" s="7"/>
      <c r="C1786" s="1"/>
      <c r="D1786" s="1"/>
      <c r="E1786" s="4"/>
      <c r="F1786" s="4"/>
      <c r="G1786" s="4"/>
      <c r="J1786" s="4"/>
      <c r="K1786" s="1"/>
    </row>
    <row r="1787" spans="1:11">
      <c r="A1787" s="1"/>
      <c r="B1787" s="7"/>
      <c r="C1787" s="1"/>
      <c r="D1787" s="1"/>
      <c r="E1787" s="4"/>
      <c r="F1787" s="4"/>
      <c r="G1787" s="4"/>
      <c r="J1787" s="4"/>
      <c r="K1787" s="1"/>
    </row>
    <row r="1788" spans="1:11">
      <c r="A1788" s="1"/>
      <c r="B1788" s="7"/>
      <c r="C1788" s="1"/>
      <c r="D1788" s="1"/>
      <c r="E1788" s="4"/>
      <c r="F1788" s="4"/>
      <c r="G1788" s="4"/>
      <c r="J1788" s="4"/>
      <c r="K1788" s="1"/>
    </row>
    <row r="1789" spans="1:11">
      <c r="A1789" s="1"/>
      <c r="B1789" s="7"/>
      <c r="C1789" s="1"/>
      <c r="D1789" s="1"/>
      <c r="E1789" s="4"/>
      <c r="F1789" s="4"/>
      <c r="G1789" s="4"/>
      <c r="J1789" s="4"/>
      <c r="K1789" s="1"/>
    </row>
    <row r="1790" spans="1:11">
      <c r="A1790" s="1"/>
      <c r="B1790" s="7"/>
      <c r="C1790" s="1"/>
      <c r="D1790" s="1"/>
      <c r="E1790" s="4"/>
      <c r="F1790" s="4"/>
      <c r="G1790" s="4"/>
      <c r="J1790" s="4"/>
      <c r="K1790" s="1"/>
    </row>
    <row r="1791" spans="1:11">
      <c r="A1791" s="1"/>
      <c r="B1791" s="7"/>
      <c r="C1791" s="1"/>
      <c r="D1791" s="1"/>
      <c r="E1791" s="4"/>
      <c r="F1791" s="4"/>
      <c r="G1791" s="4"/>
      <c r="J1791" s="4"/>
      <c r="K1791" s="1"/>
    </row>
    <row r="1792" spans="1:11">
      <c r="A1792" s="1"/>
      <c r="B1792" s="7"/>
      <c r="C1792" s="1"/>
      <c r="D1792" s="1"/>
      <c r="E1792" s="4"/>
      <c r="F1792" s="4"/>
      <c r="G1792" s="4"/>
      <c r="J1792" s="4"/>
      <c r="K1792" s="1"/>
    </row>
    <row r="1793" spans="1:11">
      <c r="A1793" s="1"/>
      <c r="B1793" s="7"/>
      <c r="C1793" s="1"/>
      <c r="D1793" s="1"/>
      <c r="E1793" s="4"/>
      <c r="F1793" s="4"/>
      <c r="G1793" s="4"/>
      <c r="J1793" s="4"/>
      <c r="K1793" s="1"/>
    </row>
    <row r="1794" spans="1:11">
      <c r="A1794" s="1"/>
      <c r="B1794" s="7"/>
      <c r="C1794" s="1"/>
      <c r="D1794" s="1"/>
      <c r="E1794" s="4"/>
      <c r="F1794" s="4"/>
      <c r="G1794" s="4"/>
      <c r="J1794" s="4"/>
      <c r="K1794" s="1"/>
    </row>
    <row r="1795" spans="1:11">
      <c r="A1795" s="1"/>
      <c r="B1795" s="7"/>
      <c r="C1795" s="1"/>
      <c r="D1795" s="1"/>
      <c r="E1795" s="4"/>
      <c r="F1795" s="4"/>
      <c r="G1795" s="4"/>
      <c r="J1795" s="4"/>
      <c r="K1795" s="1"/>
    </row>
    <row r="1796" spans="1:11">
      <c r="A1796" s="1"/>
      <c r="B1796" s="7"/>
      <c r="C1796" s="1"/>
      <c r="D1796" s="1"/>
      <c r="E1796" s="4"/>
      <c r="F1796" s="4"/>
      <c r="G1796" s="4"/>
      <c r="J1796" s="4"/>
      <c r="K1796" s="1"/>
    </row>
    <row r="1797" spans="1:11">
      <c r="A1797" s="1"/>
      <c r="B1797" s="7"/>
      <c r="C1797" s="1"/>
      <c r="D1797" s="1"/>
      <c r="E1797" s="4"/>
      <c r="F1797" s="4"/>
      <c r="G1797" s="4"/>
      <c r="J1797" s="4"/>
      <c r="K1797" s="1"/>
    </row>
    <row r="1798" spans="1:11">
      <c r="A1798" s="1"/>
      <c r="B1798" s="7"/>
      <c r="C1798" s="1"/>
      <c r="D1798" s="1"/>
      <c r="E1798" s="4"/>
      <c r="F1798" s="4"/>
      <c r="G1798" s="4"/>
      <c r="J1798" s="4"/>
      <c r="K1798" s="1"/>
    </row>
    <row r="1799" spans="1:11">
      <c r="A1799" s="1"/>
      <c r="B1799" s="7"/>
      <c r="C1799" s="1"/>
      <c r="D1799" s="1"/>
      <c r="E1799" s="4"/>
      <c r="F1799" s="4"/>
      <c r="G1799" s="4"/>
      <c r="J1799" s="4"/>
      <c r="K1799" s="1"/>
    </row>
    <row r="1800" spans="1:11">
      <c r="A1800" s="1"/>
      <c r="B1800" s="7"/>
      <c r="C1800" s="1"/>
      <c r="D1800" s="1"/>
      <c r="E1800" s="4"/>
      <c r="F1800" s="4"/>
      <c r="G1800" s="4"/>
      <c r="J1800" s="4"/>
      <c r="K1800" s="1"/>
    </row>
    <row r="1801" spans="1:11">
      <c r="A1801" s="1"/>
      <c r="B1801" s="7"/>
      <c r="C1801" s="1"/>
      <c r="D1801" s="1"/>
      <c r="E1801" s="4"/>
      <c r="F1801" s="4"/>
      <c r="G1801" s="4"/>
      <c r="J1801" s="4"/>
      <c r="K1801" s="1"/>
    </row>
    <row r="1802" spans="1:11">
      <c r="A1802" s="1"/>
      <c r="B1802" s="7"/>
      <c r="C1802" s="1"/>
      <c r="D1802" s="1"/>
      <c r="E1802" s="4"/>
      <c r="F1802" s="4"/>
      <c r="G1802" s="4"/>
      <c r="J1802" s="4"/>
      <c r="K1802" s="1"/>
    </row>
    <row r="1803" spans="1:11">
      <c r="A1803" s="1"/>
      <c r="B1803" s="7"/>
      <c r="C1803" s="1"/>
      <c r="D1803" s="1"/>
      <c r="E1803" s="4"/>
      <c r="F1803" s="4"/>
      <c r="G1803" s="4"/>
      <c r="J1803" s="4"/>
      <c r="K1803" s="1"/>
    </row>
    <row r="1804" spans="1:11">
      <c r="A1804" s="1"/>
      <c r="B1804" s="7"/>
      <c r="C1804" s="1"/>
      <c r="D1804" s="1"/>
      <c r="E1804" s="4"/>
      <c r="F1804" s="4"/>
      <c r="G1804" s="4"/>
      <c r="J1804" s="4"/>
      <c r="K1804" s="1"/>
    </row>
    <row r="1805" spans="1:11">
      <c r="A1805" s="1"/>
      <c r="B1805" s="7"/>
      <c r="C1805" s="1"/>
      <c r="D1805" s="1"/>
      <c r="E1805" s="4"/>
      <c r="F1805" s="4"/>
      <c r="G1805" s="4"/>
      <c r="J1805" s="4"/>
      <c r="K1805" s="1"/>
    </row>
    <row r="1806" spans="1:11">
      <c r="A1806" s="1"/>
      <c r="B1806" s="7"/>
      <c r="C1806" s="1"/>
      <c r="D1806" s="1"/>
      <c r="E1806" s="4"/>
      <c r="F1806" s="4"/>
      <c r="G1806" s="4"/>
      <c r="J1806" s="4"/>
      <c r="K1806" s="1"/>
    </row>
    <row r="1807" spans="1:11">
      <c r="A1807" s="1"/>
      <c r="B1807" s="7"/>
      <c r="C1807" s="1"/>
      <c r="D1807" s="1"/>
      <c r="E1807" s="4"/>
      <c r="F1807" s="4"/>
      <c r="G1807" s="4"/>
      <c r="J1807" s="4"/>
      <c r="K1807" s="1"/>
    </row>
    <row r="1808" spans="1:11">
      <c r="A1808" s="1"/>
      <c r="B1808" s="7"/>
      <c r="C1808" s="1"/>
      <c r="D1808" s="1"/>
      <c r="E1808" s="4"/>
      <c r="F1808" s="4"/>
      <c r="G1808" s="4"/>
      <c r="J1808" s="4"/>
      <c r="K1808" s="1"/>
    </row>
    <row r="1809" spans="1:11">
      <c r="A1809" s="1"/>
      <c r="B1809" s="7"/>
      <c r="C1809" s="1"/>
      <c r="D1809" s="1"/>
      <c r="E1809" s="4"/>
      <c r="F1809" s="4"/>
      <c r="G1809" s="4"/>
      <c r="J1809" s="4"/>
      <c r="K1809" s="1"/>
    </row>
    <row r="1810" spans="1:11">
      <c r="A1810" s="1"/>
      <c r="B1810" s="7"/>
      <c r="C1810" s="1"/>
      <c r="D1810" s="1"/>
      <c r="E1810" s="4"/>
      <c r="F1810" s="4"/>
      <c r="G1810" s="4"/>
      <c r="J1810" s="4"/>
      <c r="K1810" s="1"/>
    </row>
    <row r="1811" spans="1:11">
      <c r="A1811" s="1"/>
      <c r="B1811" s="7"/>
      <c r="C1811" s="1"/>
      <c r="D1811" s="1"/>
      <c r="E1811" s="4"/>
      <c r="F1811" s="4"/>
      <c r="G1811" s="4"/>
      <c r="J1811" s="4"/>
      <c r="K1811" s="1"/>
    </row>
    <row r="1812" spans="1:11">
      <c r="A1812" s="1"/>
      <c r="B1812" s="7"/>
      <c r="C1812" s="1"/>
      <c r="D1812" s="1"/>
      <c r="E1812" s="4"/>
      <c r="F1812" s="4"/>
      <c r="G1812" s="4"/>
      <c r="J1812" s="4"/>
      <c r="K1812" s="1"/>
    </row>
    <row r="1813" spans="1:11">
      <c r="A1813" s="1"/>
      <c r="B1813" s="7"/>
      <c r="C1813" s="1"/>
      <c r="D1813" s="1"/>
      <c r="E1813" s="4"/>
      <c r="F1813" s="4"/>
      <c r="G1813" s="4"/>
      <c r="J1813" s="4"/>
      <c r="K1813" s="1"/>
    </row>
    <row r="1814" spans="1:11">
      <c r="A1814" s="1"/>
      <c r="B1814" s="7"/>
      <c r="C1814" s="1"/>
      <c r="D1814" s="1"/>
      <c r="E1814" s="4"/>
      <c r="F1814" s="4"/>
      <c r="G1814" s="4"/>
      <c r="J1814" s="4"/>
      <c r="K1814" s="1"/>
    </row>
    <row r="1815" spans="1:11">
      <c r="A1815" s="1"/>
      <c r="B1815" s="7"/>
      <c r="C1815" s="1"/>
      <c r="D1815" s="1"/>
      <c r="E1815" s="4"/>
      <c r="F1815" s="4"/>
      <c r="G1815" s="4"/>
      <c r="J1815" s="4"/>
      <c r="K1815" s="1"/>
    </row>
    <row r="1816" spans="1:11">
      <c r="A1816" s="1"/>
      <c r="B1816" s="7"/>
      <c r="C1816" s="1"/>
      <c r="D1816" s="1"/>
      <c r="E1816" s="4"/>
      <c r="F1816" s="4"/>
      <c r="G1816" s="4"/>
      <c r="J1816" s="4"/>
      <c r="K1816" s="1"/>
    </row>
    <row r="1817" spans="1:11">
      <c r="A1817" s="1"/>
      <c r="B1817" s="7"/>
      <c r="C1817" s="1"/>
      <c r="D1817" s="1"/>
      <c r="E1817" s="4"/>
      <c r="F1817" s="4"/>
      <c r="G1817" s="4"/>
      <c r="J1817" s="4"/>
      <c r="K1817" s="1"/>
    </row>
    <row r="1818" spans="1:11">
      <c r="A1818" s="1"/>
      <c r="B1818" s="7"/>
      <c r="C1818" s="1"/>
      <c r="D1818" s="1"/>
      <c r="E1818" s="4"/>
      <c r="F1818" s="4"/>
      <c r="G1818" s="4"/>
      <c r="J1818" s="4"/>
      <c r="K1818" s="1"/>
    </row>
    <row r="1819" spans="1:11">
      <c r="A1819" s="1"/>
      <c r="B1819" s="7"/>
      <c r="C1819" s="1"/>
      <c r="D1819" s="1"/>
      <c r="E1819" s="4"/>
      <c r="F1819" s="4"/>
      <c r="G1819" s="4"/>
      <c r="J1819" s="4"/>
      <c r="K1819" s="1"/>
    </row>
    <row r="1820" spans="1:11">
      <c r="A1820" s="1"/>
      <c r="B1820" s="7"/>
      <c r="C1820" s="1"/>
      <c r="D1820" s="1"/>
      <c r="E1820" s="4"/>
      <c r="F1820" s="4"/>
      <c r="G1820" s="4"/>
      <c r="J1820" s="4"/>
      <c r="K1820" s="1"/>
    </row>
    <row r="1821" spans="1:11">
      <c r="A1821" s="1"/>
      <c r="B1821" s="7"/>
      <c r="C1821" s="1"/>
      <c r="D1821" s="1"/>
      <c r="E1821" s="4"/>
      <c r="F1821" s="4"/>
      <c r="G1821" s="4"/>
      <c r="J1821" s="4"/>
      <c r="K1821" s="1"/>
    </row>
    <row r="1822" spans="1:11">
      <c r="A1822" s="1"/>
      <c r="B1822" s="7"/>
      <c r="C1822" s="1"/>
      <c r="D1822" s="1"/>
      <c r="E1822" s="4"/>
      <c r="F1822" s="4"/>
      <c r="G1822" s="4"/>
      <c r="J1822" s="4"/>
      <c r="K1822" s="1"/>
    </row>
    <row r="1823" spans="1:11">
      <c r="A1823" s="1"/>
      <c r="B1823" s="7"/>
      <c r="C1823" s="1"/>
      <c r="D1823" s="1"/>
      <c r="E1823" s="4"/>
      <c r="F1823" s="4"/>
      <c r="G1823" s="4"/>
      <c r="J1823" s="4"/>
      <c r="K1823" s="1"/>
    </row>
    <row r="1824" spans="1:11">
      <c r="A1824" s="1"/>
      <c r="B1824" s="7"/>
      <c r="C1824" s="1"/>
      <c r="D1824" s="1"/>
      <c r="E1824" s="4"/>
      <c r="F1824" s="4"/>
      <c r="G1824" s="4"/>
      <c r="J1824" s="4"/>
      <c r="K1824" s="1"/>
    </row>
    <row r="1825" spans="1:11">
      <c r="A1825" s="1"/>
      <c r="B1825" s="7"/>
      <c r="C1825" s="1"/>
      <c r="D1825" s="1"/>
      <c r="E1825" s="4"/>
      <c r="F1825" s="4"/>
      <c r="G1825" s="4"/>
      <c r="J1825" s="4"/>
      <c r="K1825" s="1"/>
    </row>
    <row r="1826" spans="1:11">
      <c r="A1826" s="1"/>
      <c r="B1826" s="7"/>
      <c r="C1826" s="1"/>
      <c r="D1826" s="1"/>
      <c r="E1826" s="4"/>
      <c r="F1826" s="4"/>
      <c r="G1826" s="4"/>
      <c r="J1826" s="4"/>
      <c r="K1826" s="1"/>
    </row>
    <row r="1827" spans="1:11">
      <c r="A1827" s="1"/>
      <c r="B1827" s="7"/>
      <c r="C1827" s="1"/>
      <c r="D1827" s="1"/>
      <c r="E1827" s="4"/>
      <c r="F1827" s="4"/>
      <c r="G1827" s="4"/>
      <c r="J1827" s="4"/>
      <c r="K1827" s="1"/>
    </row>
    <row r="1828" spans="1:11">
      <c r="A1828" s="1"/>
      <c r="B1828" s="7"/>
      <c r="C1828" s="1"/>
      <c r="D1828" s="1"/>
      <c r="E1828" s="4"/>
      <c r="F1828" s="4"/>
      <c r="G1828" s="4"/>
      <c r="J1828" s="4"/>
      <c r="K1828" s="1"/>
    </row>
    <row r="1829" spans="1:11">
      <c r="A1829" s="1"/>
      <c r="B1829" s="7"/>
      <c r="C1829" s="1"/>
      <c r="D1829" s="1"/>
      <c r="E1829" s="4"/>
      <c r="F1829" s="4"/>
      <c r="G1829" s="4"/>
      <c r="J1829" s="4"/>
      <c r="K1829" s="1"/>
    </row>
    <row r="1830" spans="1:11">
      <c r="A1830" s="1"/>
      <c r="B1830" s="7"/>
      <c r="C1830" s="1"/>
      <c r="D1830" s="1"/>
      <c r="E1830" s="4"/>
      <c r="F1830" s="4"/>
      <c r="G1830" s="4"/>
      <c r="J1830" s="4"/>
      <c r="K1830" s="1"/>
    </row>
    <row r="1831" spans="1:11">
      <c r="A1831" s="1"/>
      <c r="B1831" s="7"/>
      <c r="C1831" s="1"/>
      <c r="D1831" s="1"/>
      <c r="E1831" s="4"/>
      <c r="F1831" s="4"/>
      <c r="G1831" s="4"/>
      <c r="J1831" s="4"/>
      <c r="K1831" s="1"/>
    </row>
    <row r="1832" spans="1:11">
      <c r="A1832" s="1"/>
      <c r="B1832" s="7"/>
      <c r="C1832" s="1"/>
      <c r="D1832" s="1"/>
      <c r="E1832" s="4"/>
      <c r="F1832" s="4"/>
      <c r="G1832" s="4"/>
      <c r="J1832" s="4"/>
      <c r="K1832" s="1"/>
    </row>
    <row r="1833" spans="1:11">
      <c r="A1833" s="1"/>
      <c r="B1833" s="7"/>
      <c r="C1833" s="1"/>
      <c r="D1833" s="1"/>
      <c r="E1833" s="4"/>
      <c r="F1833" s="4"/>
      <c r="G1833" s="4"/>
      <c r="J1833" s="4"/>
      <c r="K1833" s="1"/>
    </row>
    <row r="1834" spans="1:11">
      <c r="A1834" s="1"/>
      <c r="B1834" s="7"/>
      <c r="C1834" s="1"/>
      <c r="D1834" s="1"/>
      <c r="E1834" s="4"/>
      <c r="F1834" s="4"/>
      <c r="G1834" s="4"/>
      <c r="J1834" s="4"/>
      <c r="K1834" s="1"/>
    </row>
    <row r="1835" spans="1:11">
      <c r="A1835" s="1"/>
      <c r="B1835" s="7"/>
      <c r="C1835" s="1"/>
      <c r="D1835" s="1"/>
      <c r="E1835" s="4"/>
      <c r="F1835" s="4"/>
      <c r="G1835" s="4"/>
      <c r="J1835" s="4"/>
      <c r="K1835" s="1"/>
    </row>
    <row r="1836" spans="1:11">
      <c r="A1836" s="1"/>
      <c r="B1836" s="7"/>
      <c r="C1836" s="1"/>
      <c r="D1836" s="1"/>
      <c r="E1836" s="4"/>
      <c r="F1836" s="4"/>
      <c r="G1836" s="4"/>
      <c r="J1836" s="4"/>
      <c r="K1836" s="1"/>
    </row>
    <row r="1837" spans="1:11">
      <c r="A1837" s="1"/>
      <c r="B1837" s="7"/>
      <c r="C1837" s="1"/>
      <c r="D1837" s="1"/>
      <c r="E1837" s="4"/>
      <c r="F1837" s="4"/>
      <c r="G1837" s="4"/>
      <c r="J1837" s="4"/>
      <c r="K1837" s="1"/>
    </row>
    <row r="1838" spans="1:11">
      <c r="A1838" s="1"/>
      <c r="B1838" s="7"/>
      <c r="C1838" s="1"/>
      <c r="D1838" s="1"/>
      <c r="E1838" s="4"/>
      <c r="F1838" s="4"/>
      <c r="G1838" s="4"/>
      <c r="J1838" s="4"/>
      <c r="K1838" s="1"/>
    </row>
    <row r="1839" spans="1:11">
      <c r="A1839" s="1"/>
      <c r="B1839" s="7"/>
      <c r="C1839" s="1"/>
      <c r="D1839" s="1"/>
      <c r="E1839" s="4"/>
      <c r="F1839" s="4"/>
      <c r="G1839" s="4"/>
      <c r="J1839" s="4"/>
      <c r="K1839" s="1"/>
    </row>
    <row r="1840" spans="1:11">
      <c r="A1840" s="1"/>
      <c r="B1840" s="7"/>
      <c r="C1840" s="1"/>
      <c r="D1840" s="1"/>
      <c r="E1840" s="4"/>
      <c r="F1840" s="4"/>
      <c r="G1840" s="4"/>
      <c r="J1840" s="4"/>
      <c r="K1840" s="1"/>
    </row>
    <row r="1841" spans="1:11">
      <c r="A1841" s="1"/>
      <c r="B1841" s="7"/>
      <c r="C1841" s="1"/>
      <c r="D1841" s="1"/>
      <c r="E1841" s="4"/>
      <c r="F1841" s="4"/>
      <c r="G1841" s="4"/>
      <c r="J1841" s="4"/>
      <c r="K1841" s="1"/>
    </row>
    <row r="1842" spans="1:11">
      <c r="A1842" s="1"/>
      <c r="B1842" s="7"/>
      <c r="C1842" s="1"/>
      <c r="D1842" s="1"/>
      <c r="E1842" s="4"/>
      <c r="F1842" s="4"/>
      <c r="G1842" s="4"/>
      <c r="J1842" s="4"/>
      <c r="K1842" s="1"/>
    </row>
    <row r="1843" spans="1:11">
      <c r="A1843" s="1"/>
      <c r="B1843" s="7"/>
      <c r="C1843" s="1"/>
      <c r="D1843" s="1"/>
      <c r="E1843" s="4"/>
      <c r="F1843" s="4"/>
      <c r="G1843" s="4"/>
      <c r="J1843" s="4"/>
      <c r="K1843" s="1"/>
    </row>
    <row r="1844" spans="1:11">
      <c r="A1844" s="1"/>
      <c r="B1844" s="7"/>
      <c r="C1844" s="1"/>
      <c r="D1844" s="1"/>
      <c r="E1844" s="4"/>
      <c r="F1844" s="4"/>
      <c r="G1844" s="4"/>
      <c r="J1844" s="4"/>
      <c r="K1844" s="1"/>
    </row>
    <row r="1845" spans="1:11">
      <c r="A1845" s="1"/>
      <c r="B1845" s="7"/>
      <c r="C1845" s="1"/>
      <c r="D1845" s="1"/>
      <c r="E1845" s="4"/>
      <c r="F1845" s="4"/>
      <c r="G1845" s="4"/>
      <c r="J1845" s="4"/>
      <c r="K1845" s="1"/>
    </row>
    <row r="1846" spans="1:11">
      <c r="A1846" s="1"/>
      <c r="B1846" s="7"/>
      <c r="C1846" s="1"/>
      <c r="D1846" s="1"/>
      <c r="E1846" s="4"/>
      <c r="F1846" s="4"/>
      <c r="G1846" s="4"/>
      <c r="J1846" s="4"/>
      <c r="K1846" s="1"/>
    </row>
    <row r="1847" spans="1:11">
      <c r="A1847" s="1"/>
      <c r="B1847" s="7"/>
      <c r="C1847" s="1"/>
      <c r="D1847" s="1"/>
      <c r="E1847" s="4"/>
      <c r="F1847" s="4"/>
      <c r="G1847" s="4"/>
      <c r="J1847" s="4"/>
      <c r="K1847" s="1"/>
    </row>
    <row r="1848" spans="1:11">
      <c r="A1848" s="1"/>
      <c r="B1848" s="7"/>
      <c r="C1848" s="1"/>
      <c r="D1848" s="1"/>
      <c r="E1848" s="4"/>
      <c r="F1848" s="4"/>
      <c r="G1848" s="4"/>
      <c r="J1848" s="4"/>
      <c r="K1848" s="1"/>
    </row>
    <row r="1849" spans="1:11">
      <c r="A1849" s="1"/>
      <c r="B1849" s="7"/>
      <c r="C1849" s="1"/>
      <c r="D1849" s="1"/>
      <c r="E1849" s="4"/>
      <c r="F1849" s="4"/>
      <c r="G1849" s="4"/>
      <c r="J1849" s="4"/>
      <c r="K1849" s="1"/>
    </row>
    <row r="1850" spans="1:11">
      <c r="A1850" s="1"/>
      <c r="B1850" s="7"/>
      <c r="C1850" s="1"/>
      <c r="D1850" s="1"/>
      <c r="E1850" s="4"/>
      <c r="F1850" s="4"/>
      <c r="G1850" s="4"/>
      <c r="J1850" s="4"/>
      <c r="K1850" s="1"/>
    </row>
    <row r="1851" spans="1:11">
      <c r="A1851" s="1"/>
      <c r="B1851" s="7"/>
      <c r="C1851" s="1"/>
      <c r="D1851" s="1"/>
      <c r="E1851" s="4"/>
      <c r="F1851" s="4"/>
      <c r="G1851" s="4"/>
      <c r="J1851" s="4"/>
      <c r="K1851" s="1"/>
    </row>
    <row r="1852" spans="1:11">
      <c r="A1852" s="1"/>
      <c r="B1852" s="7"/>
      <c r="C1852" s="1"/>
      <c r="D1852" s="1"/>
      <c r="E1852" s="4"/>
      <c r="F1852" s="4"/>
      <c r="G1852" s="4"/>
      <c r="J1852" s="4"/>
      <c r="K1852" s="1"/>
    </row>
    <row r="1853" spans="1:11">
      <c r="A1853" s="1"/>
      <c r="B1853" s="7"/>
      <c r="C1853" s="1"/>
      <c r="D1853" s="1"/>
      <c r="E1853" s="4"/>
      <c r="F1853" s="4"/>
      <c r="G1853" s="4"/>
      <c r="J1853" s="4"/>
      <c r="K1853" s="1"/>
    </row>
    <row r="1854" spans="1:11">
      <c r="A1854" s="1"/>
      <c r="B1854" s="7"/>
      <c r="C1854" s="1"/>
      <c r="D1854" s="1"/>
      <c r="E1854" s="4"/>
      <c r="F1854" s="4"/>
      <c r="G1854" s="4"/>
      <c r="J1854" s="4"/>
      <c r="K1854" s="1"/>
    </row>
    <row r="1855" spans="1:11">
      <c r="A1855" s="1"/>
      <c r="B1855" s="7"/>
      <c r="C1855" s="1"/>
      <c r="D1855" s="1"/>
      <c r="E1855" s="4"/>
      <c r="F1855" s="4"/>
      <c r="G1855" s="4"/>
      <c r="J1855" s="4"/>
      <c r="K1855" s="1"/>
    </row>
    <row r="1856" spans="1:11">
      <c r="A1856" s="1"/>
      <c r="B1856" s="7"/>
      <c r="C1856" s="1"/>
      <c r="D1856" s="1"/>
      <c r="E1856" s="4"/>
      <c r="F1856" s="4"/>
      <c r="G1856" s="4"/>
      <c r="J1856" s="4"/>
      <c r="K1856" s="1"/>
    </row>
    <row r="1857" spans="1:11">
      <c r="A1857" s="1"/>
      <c r="B1857" s="7"/>
      <c r="C1857" s="1"/>
      <c r="D1857" s="1"/>
      <c r="E1857" s="4"/>
      <c r="F1857" s="4"/>
      <c r="G1857" s="4"/>
      <c r="J1857" s="4"/>
      <c r="K1857" s="1"/>
    </row>
    <row r="1858" spans="1:11">
      <c r="A1858" s="1"/>
      <c r="B1858" s="7"/>
      <c r="C1858" s="1"/>
      <c r="D1858" s="1"/>
      <c r="E1858" s="4"/>
      <c r="F1858" s="4"/>
      <c r="G1858" s="4"/>
      <c r="J1858" s="4"/>
      <c r="K1858" s="1"/>
    </row>
    <row r="1859" spans="1:11">
      <c r="A1859" s="1"/>
      <c r="B1859" s="7"/>
      <c r="C1859" s="1"/>
      <c r="D1859" s="1"/>
      <c r="E1859" s="4"/>
      <c r="F1859" s="4"/>
      <c r="G1859" s="4"/>
      <c r="J1859" s="4"/>
      <c r="K1859" s="1"/>
    </row>
    <row r="1860" spans="1:11">
      <c r="A1860" s="1"/>
      <c r="B1860" s="7"/>
      <c r="C1860" s="1"/>
      <c r="D1860" s="1"/>
      <c r="E1860" s="4"/>
      <c r="F1860" s="4"/>
      <c r="G1860" s="4"/>
      <c r="J1860" s="4"/>
      <c r="K1860" s="1"/>
    </row>
    <row r="1861" spans="1:11">
      <c r="A1861" s="1"/>
      <c r="B1861" s="7"/>
      <c r="C1861" s="1"/>
      <c r="D1861" s="1"/>
      <c r="E1861" s="4"/>
      <c r="F1861" s="4"/>
      <c r="G1861" s="4"/>
      <c r="J1861" s="4"/>
      <c r="K1861" s="1"/>
    </row>
    <row r="1862" spans="1:11">
      <c r="A1862" s="1"/>
      <c r="B1862" s="7"/>
      <c r="C1862" s="1"/>
      <c r="D1862" s="1"/>
      <c r="E1862" s="4"/>
      <c r="F1862" s="4"/>
      <c r="G1862" s="4"/>
      <c r="J1862" s="4"/>
      <c r="K1862" s="1"/>
    </row>
    <row r="1863" spans="1:11">
      <c r="A1863" s="1"/>
      <c r="B1863" s="7"/>
      <c r="C1863" s="1"/>
      <c r="D1863" s="1"/>
      <c r="E1863" s="4"/>
      <c r="F1863" s="4"/>
      <c r="G1863" s="4"/>
      <c r="J1863" s="4"/>
      <c r="K1863" s="1"/>
    </row>
    <row r="1864" spans="1:11">
      <c r="A1864" s="1"/>
      <c r="B1864" s="7"/>
      <c r="C1864" s="1"/>
      <c r="D1864" s="1"/>
      <c r="E1864" s="4"/>
      <c r="F1864" s="4"/>
      <c r="G1864" s="4"/>
      <c r="J1864" s="4"/>
      <c r="K1864" s="1"/>
    </row>
    <row r="1865" spans="1:11">
      <c r="A1865" s="1"/>
      <c r="B1865" s="7"/>
      <c r="C1865" s="1"/>
      <c r="D1865" s="1"/>
      <c r="E1865" s="4"/>
      <c r="F1865" s="4"/>
      <c r="G1865" s="4"/>
      <c r="J1865" s="4"/>
      <c r="K1865" s="1"/>
    </row>
    <row r="1866" spans="1:11">
      <c r="A1866" s="1"/>
      <c r="B1866" s="7"/>
      <c r="C1866" s="1"/>
      <c r="D1866" s="1"/>
      <c r="E1866" s="4"/>
      <c r="F1866" s="4"/>
      <c r="G1866" s="4"/>
      <c r="J1866" s="4"/>
      <c r="K1866" s="1"/>
    </row>
    <row r="1867" spans="1:11">
      <c r="A1867" s="1"/>
      <c r="B1867" s="7"/>
      <c r="C1867" s="1"/>
      <c r="D1867" s="1"/>
      <c r="E1867" s="4"/>
      <c r="F1867" s="4"/>
      <c r="G1867" s="4"/>
      <c r="J1867" s="4"/>
      <c r="K1867" s="1"/>
    </row>
    <row r="1868" spans="1:11">
      <c r="A1868" s="1"/>
      <c r="B1868" s="7"/>
      <c r="C1868" s="1"/>
      <c r="D1868" s="1"/>
      <c r="E1868" s="4"/>
      <c r="F1868" s="4"/>
      <c r="G1868" s="4"/>
      <c r="J1868" s="4"/>
      <c r="K1868" s="1"/>
    </row>
    <row r="1869" spans="1:11">
      <c r="A1869" s="1"/>
      <c r="B1869" s="7"/>
      <c r="C1869" s="1"/>
      <c r="D1869" s="1"/>
      <c r="E1869" s="4"/>
      <c r="F1869" s="4"/>
      <c r="G1869" s="4"/>
      <c r="J1869" s="4"/>
      <c r="K1869" s="1"/>
    </row>
    <row r="1870" spans="1:11">
      <c r="A1870" s="1"/>
      <c r="B1870" s="7"/>
      <c r="C1870" s="1"/>
      <c r="D1870" s="1"/>
      <c r="E1870" s="4"/>
      <c r="F1870" s="4"/>
      <c r="G1870" s="4"/>
      <c r="J1870" s="4"/>
      <c r="K1870" s="1"/>
    </row>
    <row r="1871" spans="1:11">
      <c r="A1871" s="1"/>
      <c r="B1871" s="7"/>
      <c r="C1871" s="1"/>
      <c r="D1871" s="1"/>
      <c r="E1871" s="4"/>
      <c r="F1871" s="4"/>
      <c r="G1871" s="4"/>
      <c r="J1871" s="4"/>
      <c r="K1871" s="1"/>
    </row>
    <row r="1872" spans="1:11">
      <c r="A1872" s="1"/>
      <c r="B1872" s="7"/>
      <c r="C1872" s="1"/>
      <c r="D1872" s="1"/>
      <c r="E1872" s="4"/>
      <c r="F1872" s="4"/>
      <c r="G1872" s="4"/>
      <c r="J1872" s="4"/>
      <c r="K1872" s="1"/>
    </row>
    <row r="1873" spans="1:11">
      <c r="A1873" s="1"/>
      <c r="B1873" s="7"/>
      <c r="C1873" s="1"/>
      <c r="D1873" s="1"/>
      <c r="E1873" s="4"/>
      <c r="F1873" s="4"/>
      <c r="G1873" s="4"/>
      <c r="J1873" s="4"/>
      <c r="K1873" s="1"/>
    </row>
    <row r="1874" spans="1:11">
      <c r="A1874" s="1"/>
      <c r="B1874" s="7"/>
      <c r="C1874" s="1"/>
      <c r="D1874" s="1"/>
      <c r="E1874" s="4"/>
      <c r="F1874" s="4"/>
      <c r="G1874" s="4"/>
      <c r="J1874" s="4"/>
      <c r="K1874" s="1"/>
    </row>
    <row r="1875" spans="1:11">
      <c r="A1875" s="1"/>
      <c r="B1875" s="7"/>
      <c r="C1875" s="1"/>
      <c r="D1875" s="1"/>
      <c r="E1875" s="4"/>
      <c r="F1875" s="4"/>
      <c r="G1875" s="4"/>
      <c r="J1875" s="4"/>
      <c r="K1875" s="1"/>
    </row>
    <row r="1876" spans="1:11">
      <c r="A1876" s="1"/>
      <c r="B1876" s="7"/>
      <c r="C1876" s="1"/>
      <c r="D1876" s="1"/>
      <c r="E1876" s="4"/>
      <c r="F1876" s="4"/>
      <c r="G1876" s="4"/>
      <c r="J1876" s="4"/>
      <c r="K1876" s="1"/>
    </row>
    <row r="1877" spans="1:11">
      <c r="A1877" s="1"/>
      <c r="B1877" s="7"/>
      <c r="C1877" s="1"/>
      <c r="D1877" s="1"/>
      <c r="E1877" s="4"/>
      <c r="F1877" s="4"/>
      <c r="G1877" s="4"/>
      <c r="J1877" s="4"/>
      <c r="K1877" s="1"/>
    </row>
    <row r="1878" spans="1:11">
      <c r="A1878" s="1"/>
      <c r="B1878" s="7"/>
      <c r="C1878" s="1"/>
      <c r="D1878" s="1"/>
      <c r="E1878" s="4"/>
      <c r="F1878" s="4"/>
      <c r="G1878" s="4"/>
      <c r="J1878" s="4"/>
      <c r="K1878" s="1"/>
    </row>
    <row r="1879" spans="1:11">
      <c r="A1879" s="1"/>
      <c r="B1879" s="7"/>
      <c r="C1879" s="1"/>
      <c r="D1879" s="1"/>
      <c r="E1879" s="4"/>
      <c r="F1879" s="4"/>
      <c r="G1879" s="4"/>
      <c r="J1879" s="4"/>
      <c r="K1879" s="1"/>
    </row>
    <row r="1880" spans="1:11">
      <c r="A1880" s="1"/>
      <c r="B1880" s="7"/>
      <c r="C1880" s="1"/>
      <c r="D1880" s="1"/>
      <c r="E1880" s="4"/>
      <c r="F1880" s="4"/>
      <c r="G1880" s="4"/>
      <c r="J1880" s="4"/>
      <c r="K1880" s="1"/>
    </row>
    <row r="1881" spans="1:11">
      <c r="A1881" s="1"/>
      <c r="B1881" s="7"/>
      <c r="C1881" s="1"/>
      <c r="D1881" s="1"/>
      <c r="E1881" s="4"/>
      <c r="F1881" s="4"/>
      <c r="G1881" s="4"/>
      <c r="J1881" s="4"/>
      <c r="K1881" s="1"/>
    </row>
    <row r="1882" spans="1:11">
      <c r="A1882" s="1"/>
      <c r="B1882" s="7"/>
      <c r="C1882" s="1"/>
      <c r="D1882" s="1"/>
      <c r="E1882" s="4"/>
      <c r="F1882" s="4"/>
      <c r="G1882" s="4"/>
      <c r="J1882" s="4"/>
      <c r="K1882" s="1"/>
    </row>
    <row r="1883" spans="1:11">
      <c r="A1883" s="1"/>
      <c r="B1883" s="7"/>
      <c r="C1883" s="1"/>
      <c r="D1883" s="1"/>
      <c r="E1883" s="4"/>
      <c r="F1883" s="4"/>
      <c r="G1883" s="4"/>
      <c r="J1883" s="4"/>
      <c r="K1883" s="1"/>
    </row>
    <row r="1884" spans="1:11">
      <c r="A1884" s="1"/>
      <c r="B1884" s="7"/>
      <c r="C1884" s="1"/>
      <c r="D1884" s="1"/>
      <c r="E1884" s="4"/>
      <c r="F1884" s="4"/>
      <c r="G1884" s="4"/>
      <c r="J1884" s="4"/>
      <c r="K1884" s="1"/>
    </row>
    <row r="1885" spans="1:11">
      <c r="A1885" s="1"/>
      <c r="B1885" s="7"/>
      <c r="C1885" s="1"/>
      <c r="D1885" s="1"/>
      <c r="E1885" s="4"/>
      <c r="F1885" s="4"/>
      <c r="G1885" s="4"/>
      <c r="J1885" s="4"/>
      <c r="K1885" s="1"/>
    </row>
    <row r="1886" spans="1:11">
      <c r="A1886" s="1"/>
      <c r="B1886" s="7"/>
      <c r="C1886" s="1"/>
      <c r="D1886" s="1"/>
      <c r="E1886" s="4"/>
      <c r="F1886" s="4"/>
      <c r="G1886" s="4"/>
      <c r="J1886" s="4"/>
      <c r="K1886" s="1"/>
    </row>
    <row r="1887" spans="1:11">
      <c r="A1887" s="1"/>
      <c r="B1887" s="7"/>
      <c r="C1887" s="1"/>
      <c r="D1887" s="1"/>
      <c r="E1887" s="4"/>
      <c r="F1887" s="4"/>
      <c r="G1887" s="4"/>
      <c r="J1887" s="4"/>
      <c r="K1887" s="1"/>
    </row>
    <row r="1888" spans="1:11">
      <c r="A1888" s="1"/>
      <c r="B1888" s="7"/>
      <c r="C1888" s="1"/>
      <c r="D1888" s="1"/>
      <c r="E1888" s="4"/>
      <c r="F1888" s="4"/>
      <c r="G1888" s="4"/>
      <c r="J1888" s="4"/>
      <c r="K1888" s="1"/>
    </row>
    <row r="1889" spans="1:11">
      <c r="A1889" s="1"/>
      <c r="B1889" s="7"/>
      <c r="C1889" s="1"/>
      <c r="D1889" s="1"/>
      <c r="E1889" s="4"/>
      <c r="F1889" s="4"/>
      <c r="G1889" s="4"/>
      <c r="J1889" s="4"/>
      <c r="K1889" s="1"/>
    </row>
    <row r="1890" spans="1:11">
      <c r="A1890" s="1"/>
      <c r="B1890" s="7"/>
      <c r="C1890" s="1"/>
      <c r="D1890" s="1"/>
      <c r="E1890" s="4"/>
      <c r="F1890" s="4"/>
      <c r="G1890" s="4"/>
      <c r="J1890" s="4"/>
      <c r="K1890" s="1"/>
    </row>
    <row r="1891" spans="1:11">
      <c r="A1891" s="1"/>
      <c r="B1891" s="7"/>
      <c r="C1891" s="1"/>
      <c r="D1891" s="1"/>
      <c r="E1891" s="4"/>
      <c r="F1891" s="4"/>
      <c r="G1891" s="4"/>
      <c r="J1891" s="4"/>
      <c r="K1891" s="1"/>
    </row>
    <row r="1892" spans="1:11">
      <c r="A1892" s="1"/>
      <c r="B1892" s="7"/>
      <c r="C1892" s="1"/>
      <c r="D1892" s="1"/>
      <c r="E1892" s="4"/>
      <c r="F1892" s="4"/>
      <c r="G1892" s="4"/>
      <c r="J1892" s="4"/>
      <c r="K1892" s="1"/>
    </row>
    <row r="1893" spans="1:11">
      <c r="A1893" s="1"/>
      <c r="B1893" s="7"/>
      <c r="C1893" s="1"/>
      <c r="D1893" s="1"/>
      <c r="E1893" s="4"/>
      <c r="F1893" s="4"/>
      <c r="G1893" s="4"/>
      <c r="J1893" s="4"/>
      <c r="K1893" s="1"/>
    </row>
    <row r="1894" spans="1:11">
      <c r="A1894" s="1"/>
      <c r="B1894" s="7"/>
      <c r="C1894" s="1"/>
      <c r="D1894" s="1"/>
      <c r="E1894" s="4"/>
      <c r="F1894" s="4"/>
      <c r="G1894" s="4"/>
      <c r="J1894" s="4"/>
      <c r="K1894" s="1"/>
    </row>
    <row r="1895" spans="1:11">
      <c r="A1895" s="1"/>
      <c r="B1895" s="7"/>
      <c r="C1895" s="1"/>
      <c r="D1895" s="1"/>
      <c r="E1895" s="4"/>
      <c r="F1895" s="4"/>
      <c r="G1895" s="4"/>
      <c r="J1895" s="4"/>
      <c r="K1895" s="1"/>
    </row>
    <row r="1896" spans="1:11">
      <c r="A1896" s="1"/>
      <c r="B1896" s="7"/>
      <c r="C1896" s="1"/>
      <c r="D1896" s="1"/>
      <c r="E1896" s="4"/>
      <c r="F1896" s="4"/>
      <c r="G1896" s="4"/>
      <c r="J1896" s="4"/>
      <c r="K1896" s="1"/>
    </row>
    <row r="1897" spans="1:11">
      <c r="A1897" s="1"/>
      <c r="B1897" s="7"/>
      <c r="C1897" s="1"/>
      <c r="D1897" s="1"/>
      <c r="E1897" s="4"/>
      <c r="F1897" s="4"/>
      <c r="G1897" s="4"/>
      <c r="J1897" s="4"/>
      <c r="K1897" s="1"/>
    </row>
    <row r="1898" spans="1:11">
      <c r="A1898" s="1"/>
      <c r="B1898" s="7"/>
      <c r="C1898" s="1"/>
      <c r="D1898" s="1"/>
      <c r="E1898" s="4"/>
      <c r="F1898" s="4"/>
      <c r="G1898" s="4"/>
      <c r="J1898" s="4"/>
      <c r="K1898" s="1"/>
    </row>
    <row r="1899" spans="1:11">
      <c r="A1899" s="1"/>
      <c r="B1899" s="7"/>
      <c r="C1899" s="1"/>
      <c r="D1899" s="1"/>
      <c r="E1899" s="4"/>
      <c r="F1899" s="4"/>
      <c r="G1899" s="4"/>
      <c r="J1899" s="4"/>
      <c r="K1899" s="1"/>
    </row>
    <row r="1900" spans="1:11">
      <c r="A1900" s="1"/>
      <c r="B1900" s="7"/>
      <c r="C1900" s="1"/>
      <c r="D1900" s="1"/>
      <c r="E1900" s="4"/>
      <c r="F1900" s="4"/>
      <c r="G1900" s="4"/>
      <c r="J1900" s="4"/>
      <c r="K1900" s="1"/>
    </row>
    <row r="1901" spans="1:11">
      <c r="A1901" s="1"/>
      <c r="B1901" s="7"/>
      <c r="C1901" s="1"/>
      <c r="D1901" s="1"/>
      <c r="E1901" s="4"/>
      <c r="F1901" s="4"/>
      <c r="G1901" s="4"/>
      <c r="J1901" s="4"/>
      <c r="K1901" s="1"/>
    </row>
    <row r="1902" spans="1:11">
      <c r="A1902" s="1"/>
      <c r="B1902" s="7"/>
      <c r="C1902" s="1"/>
      <c r="D1902" s="1"/>
      <c r="E1902" s="4"/>
      <c r="F1902" s="4"/>
      <c r="G1902" s="4"/>
      <c r="J1902" s="4"/>
      <c r="K1902" s="1"/>
    </row>
    <row r="1903" spans="1:11">
      <c r="A1903" s="1"/>
      <c r="B1903" s="7"/>
      <c r="C1903" s="1"/>
      <c r="D1903" s="1"/>
      <c r="E1903" s="4"/>
      <c r="F1903" s="4"/>
      <c r="G1903" s="4"/>
      <c r="J1903" s="4"/>
      <c r="K1903" s="1"/>
    </row>
    <row r="1904" spans="1:11">
      <c r="A1904" s="1"/>
      <c r="B1904" s="7"/>
      <c r="C1904" s="1"/>
      <c r="D1904" s="1"/>
      <c r="E1904" s="4"/>
      <c r="F1904" s="4"/>
      <c r="G1904" s="4"/>
      <c r="J1904" s="4"/>
      <c r="K1904" s="1"/>
    </row>
    <row r="1905" spans="1:11">
      <c r="A1905" s="1"/>
      <c r="B1905" s="7"/>
      <c r="C1905" s="1"/>
      <c r="D1905" s="1"/>
      <c r="E1905" s="4"/>
      <c r="F1905" s="4"/>
      <c r="G1905" s="4"/>
      <c r="J1905" s="4"/>
      <c r="K1905" s="1"/>
    </row>
    <row r="1906" spans="1:11">
      <c r="A1906" s="1"/>
      <c r="B1906" s="7"/>
      <c r="C1906" s="1"/>
      <c r="D1906" s="1"/>
      <c r="E1906" s="4"/>
      <c r="F1906" s="4"/>
      <c r="G1906" s="4"/>
      <c r="J1906" s="4"/>
      <c r="K1906" s="1"/>
    </row>
    <row r="1907" spans="1:11">
      <c r="A1907" s="1"/>
      <c r="B1907" s="7"/>
      <c r="C1907" s="1"/>
      <c r="D1907" s="1"/>
      <c r="E1907" s="4"/>
      <c r="F1907" s="4"/>
      <c r="G1907" s="4"/>
      <c r="J1907" s="4"/>
      <c r="K1907" s="1"/>
    </row>
    <row r="1908" spans="1:11">
      <c r="A1908" s="1"/>
      <c r="B1908" s="7"/>
      <c r="C1908" s="1"/>
      <c r="D1908" s="1"/>
      <c r="E1908" s="4"/>
      <c r="F1908" s="4"/>
      <c r="G1908" s="4"/>
      <c r="J1908" s="4"/>
      <c r="K1908" s="1"/>
    </row>
    <row r="1909" spans="1:11">
      <c r="A1909" s="1"/>
      <c r="B1909" s="7"/>
      <c r="C1909" s="1"/>
      <c r="D1909" s="1"/>
      <c r="E1909" s="4"/>
      <c r="F1909" s="4"/>
      <c r="G1909" s="4"/>
      <c r="J1909" s="4"/>
      <c r="K1909" s="1"/>
    </row>
    <row r="1910" spans="1:11">
      <c r="A1910" s="1"/>
      <c r="B1910" s="7"/>
      <c r="C1910" s="1"/>
      <c r="D1910" s="1"/>
      <c r="E1910" s="4"/>
      <c r="F1910" s="4"/>
      <c r="G1910" s="4"/>
      <c r="J1910" s="4"/>
      <c r="K1910" s="1"/>
    </row>
    <row r="1911" spans="1:11">
      <c r="A1911" s="1"/>
      <c r="B1911" s="7"/>
      <c r="C1911" s="1"/>
      <c r="D1911" s="1"/>
      <c r="E1911" s="4"/>
      <c r="F1911" s="4"/>
      <c r="G1911" s="4"/>
      <c r="J1911" s="4"/>
      <c r="K1911" s="1"/>
    </row>
    <row r="1912" spans="1:11">
      <c r="A1912" s="1"/>
      <c r="B1912" s="7"/>
      <c r="C1912" s="1"/>
      <c r="D1912" s="1"/>
      <c r="E1912" s="4"/>
      <c r="F1912" s="4"/>
      <c r="G1912" s="4"/>
      <c r="J1912" s="4"/>
      <c r="K1912" s="1"/>
    </row>
    <row r="1913" spans="1:11">
      <c r="A1913" s="1"/>
      <c r="B1913" s="7"/>
      <c r="C1913" s="1"/>
      <c r="D1913" s="1"/>
      <c r="E1913" s="4"/>
      <c r="F1913" s="4"/>
      <c r="G1913" s="4"/>
      <c r="J1913" s="4"/>
      <c r="K1913" s="1"/>
    </row>
    <row r="1914" spans="1:11">
      <c r="A1914" s="1"/>
      <c r="B1914" s="7"/>
      <c r="C1914" s="1"/>
      <c r="D1914" s="1"/>
      <c r="E1914" s="4"/>
      <c r="F1914" s="4"/>
      <c r="G1914" s="4"/>
      <c r="J1914" s="4"/>
      <c r="K1914" s="1"/>
    </row>
    <row r="1915" spans="1:11">
      <c r="A1915" s="1"/>
      <c r="B1915" s="7"/>
      <c r="C1915" s="1"/>
      <c r="D1915" s="1"/>
      <c r="E1915" s="4"/>
      <c r="F1915" s="4"/>
      <c r="G1915" s="4"/>
      <c r="J1915" s="4"/>
      <c r="K1915" s="1"/>
    </row>
    <row r="1916" spans="1:11">
      <c r="A1916" s="1"/>
      <c r="B1916" s="7"/>
      <c r="C1916" s="1"/>
      <c r="D1916" s="1"/>
      <c r="E1916" s="4"/>
      <c r="F1916" s="4"/>
      <c r="G1916" s="4"/>
      <c r="J1916" s="4"/>
      <c r="K1916" s="1"/>
    </row>
    <row r="1917" spans="1:11">
      <c r="A1917" s="1"/>
      <c r="B1917" s="7"/>
      <c r="C1917" s="1"/>
      <c r="D1917" s="1"/>
      <c r="E1917" s="4"/>
      <c r="F1917" s="4"/>
      <c r="G1917" s="4"/>
      <c r="J1917" s="4"/>
      <c r="K1917" s="1"/>
    </row>
    <row r="1918" spans="1:11">
      <c r="A1918" s="1"/>
      <c r="B1918" s="7"/>
      <c r="C1918" s="1"/>
      <c r="D1918" s="1"/>
      <c r="E1918" s="4"/>
      <c r="F1918" s="4"/>
      <c r="G1918" s="4"/>
      <c r="J1918" s="4"/>
      <c r="K1918" s="1"/>
    </row>
    <row r="1919" spans="1:11">
      <c r="A1919" s="1"/>
      <c r="B1919" s="7"/>
      <c r="C1919" s="1"/>
      <c r="D1919" s="1"/>
      <c r="E1919" s="4"/>
      <c r="F1919" s="4"/>
      <c r="G1919" s="4"/>
      <c r="J1919" s="4"/>
      <c r="K1919" s="1"/>
    </row>
    <row r="1920" spans="1:11">
      <c r="A1920" s="1"/>
      <c r="B1920" s="7"/>
      <c r="C1920" s="1"/>
      <c r="D1920" s="1"/>
      <c r="E1920" s="4"/>
      <c r="F1920" s="4"/>
      <c r="G1920" s="4"/>
      <c r="J1920" s="4"/>
      <c r="K1920" s="1"/>
    </row>
    <row r="1921" spans="1:11">
      <c r="A1921" s="1"/>
      <c r="B1921" s="7"/>
      <c r="C1921" s="1"/>
      <c r="D1921" s="1"/>
      <c r="E1921" s="4"/>
      <c r="F1921" s="4"/>
      <c r="G1921" s="4"/>
      <c r="J1921" s="4"/>
      <c r="K1921" s="1"/>
    </row>
    <row r="1922" spans="1:11">
      <c r="A1922" s="1"/>
      <c r="B1922" s="7"/>
      <c r="C1922" s="1"/>
      <c r="D1922" s="1"/>
      <c r="E1922" s="4"/>
      <c r="F1922" s="4"/>
      <c r="G1922" s="4"/>
      <c r="J1922" s="4"/>
      <c r="K1922" s="1"/>
    </row>
    <row r="1923" spans="1:11">
      <c r="A1923" s="1"/>
      <c r="B1923" s="7"/>
      <c r="C1923" s="1"/>
      <c r="D1923" s="1"/>
      <c r="E1923" s="4"/>
      <c r="F1923" s="4"/>
      <c r="G1923" s="4"/>
      <c r="J1923" s="4"/>
      <c r="K1923" s="1"/>
    </row>
    <row r="1924" spans="1:11">
      <c r="A1924" s="1"/>
      <c r="B1924" s="7"/>
      <c r="C1924" s="1"/>
      <c r="D1924" s="1"/>
      <c r="E1924" s="4"/>
      <c r="F1924" s="4"/>
      <c r="G1924" s="4"/>
      <c r="J1924" s="4"/>
      <c r="K1924" s="1"/>
    </row>
    <row r="1925" spans="1:11">
      <c r="A1925" s="1"/>
      <c r="B1925" s="7"/>
      <c r="C1925" s="1"/>
      <c r="D1925" s="1"/>
      <c r="E1925" s="4"/>
      <c r="F1925" s="4"/>
      <c r="G1925" s="4"/>
      <c r="J1925" s="4"/>
      <c r="K1925" s="1"/>
    </row>
    <row r="1926" spans="1:11">
      <c r="A1926" s="1"/>
      <c r="B1926" s="7"/>
      <c r="C1926" s="1"/>
      <c r="D1926" s="1"/>
      <c r="E1926" s="4"/>
      <c r="F1926" s="4"/>
      <c r="G1926" s="4"/>
      <c r="J1926" s="4"/>
      <c r="K1926" s="1"/>
    </row>
    <row r="1927" spans="1:11">
      <c r="A1927" s="1"/>
      <c r="B1927" s="7"/>
      <c r="C1927" s="1"/>
      <c r="D1927" s="1"/>
      <c r="E1927" s="4"/>
      <c r="F1927" s="4"/>
      <c r="G1927" s="4"/>
      <c r="J1927" s="4"/>
      <c r="K1927" s="1"/>
    </row>
    <row r="1928" spans="1:11">
      <c r="A1928" s="1"/>
      <c r="B1928" s="7"/>
      <c r="C1928" s="1"/>
      <c r="D1928" s="1"/>
      <c r="E1928" s="4"/>
      <c r="F1928" s="4"/>
      <c r="G1928" s="4"/>
      <c r="J1928" s="4"/>
      <c r="K1928" s="1"/>
    </row>
    <row r="1929" spans="1:11">
      <c r="A1929" s="1"/>
      <c r="B1929" s="7"/>
      <c r="C1929" s="1"/>
      <c r="D1929" s="1"/>
      <c r="E1929" s="4"/>
      <c r="F1929" s="4"/>
      <c r="G1929" s="4"/>
      <c r="J1929" s="4"/>
      <c r="K1929" s="1"/>
    </row>
    <row r="1930" spans="1:11">
      <c r="A1930" s="1"/>
      <c r="B1930" s="7"/>
      <c r="C1930" s="1"/>
      <c r="D1930" s="1"/>
      <c r="E1930" s="4"/>
      <c r="F1930" s="4"/>
      <c r="G1930" s="4"/>
      <c r="J1930" s="4"/>
      <c r="K1930" s="1"/>
    </row>
    <row r="1931" spans="1:11">
      <c r="A1931" s="1"/>
      <c r="B1931" s="7"/>
      <c r="C1931" s="1"/>
      <c r="D1931" s="1"/>
      <c r="E1931" s="4"/>
      <c r="F1931" s="4"/>
      <c r="G1931" s="4"/>
      <c r="J1931" s="4"/>
      <c r="K1931" s="1"/>
    </row>
    <row r="1932" spans="1:11">
      <c r="A1932" s="1"/>
      <c r="B1932" s="7"/>
      <c r="C1932" s="1"/>
      <c r="D1932" s="1"/>
      <c r="E1932" s="4"/>
      <c r="F1932" s="4"/>
      <c r="G1932" s="4"/>
      <c r="J1932" s="4"/>
      <c r="K1932" s="1"/>
    </row>
    <row r="1933" spans="1:11">
      <c r="A1933" s="1"/>
      <c r="B1933" s="7"/>
      <c r="C1933" s="1"/>
      <c r="D1933" s="1"/>
      <c r="E1933" s="4"/>
      <c r="F1933" s="4"/>
      <c r="G1933" s="4"/>
      <c r="J1933" s="4"/>
      <c r="K1933" s="1"/>
    </row>
    <row r="1934" spans="1:11">
      <c r="A1934" s="1"/>
      <c r="B1934" s="7"/>
      <c r="C1934" s="1"/>
      <c r="D1934" s="1"/>
      <c r="E1934" s="4"/>
      <c r="F1934" s="4"/>
      <c r="G1934" s="4"/>
      <c r="J1934" s="4"/>
      <c r="K1934" s="1"/>
    </row>
    <row r="1935" spans="1:11">
      <c r="A1935" s="1"/>
      <c r="B1935" s="7"/>
      <c r="C1935" s="1"/>
      <c r="D1935" s="1"/>
      <c r="E1935" s="4"/>
      <c r="F1935" s="4"/>
      <c r="G1935" s="4"/>
      <c r="J1935" s="4"/>
      <c r="K1935" s="1"/>
    </row>
    <row r="1936" spans="1:11">
      <c r="A1936" s="1"/>
      <c r="B1936" s="7"/>
      <c r="C1936" s="1"/>
      <c r="D1936" s="1"/>
      <c r="E1936" s="4"/>
      <c r="F1936" s="4"/>
      <c r="G1936" s="4"/>
      <c r="J1936" s="4"/>
      <c r="K1936" s="1"/>
    </row>
    <row r="1937" spans="1:11">
      <c r="A1937" s="1"/>
      <c r="B1937" s="7"/>
      <c r="C1937" s="1"/>
      <c r="D1937" s="1"/>
      <c r="E1937" s="4"/>
      <c r="F1937" s="4"/>
      <c r="G1937" s="4"/>
      <c r="J1937" s="4"/>
      <c r="K1937" s="1"/>
    </row>
    <row r="1938" spans="1:11">
      <c r="A1938" s="1"/>
      <c r="B1938" s="7"/>
      <c r="C1938" s="1"/>
      <c r="D1938" s="1"/>
      <c r="E1938" s="4"/>
      <c r="F1938" s="4"/>
      <c r="G1938" s="4"/>
      <c r="J1938" s="4"/>
      <c r="K1938" s="1"/>
    </row>
    <row r="1939" spans="1:11">
      <c r="A1939" s="1"/>
      <c r="B1939" s="7"/>
      <c r="C1939" s="1"/>
      <c r="D1939" s="1"/>
      <c r="E1939" s="4"/>
      <c r="F1939" s="4"/>
      <c r="G1939" s="4"/>
      <c r="J1939" s="4"/>
      <c r="K1939" s="1"/>
    </row>
    <row r="1940" spans="1:11">
      <c r="A1940" s="1"/>
      <c r="B1940" s="7"/>
      <c r="C1940" s="1"/>
      <c r="D1940" s="1"/>
      <c r="E1940" s="4"/>
      <c r="F1940" s="4"/>
      <c r="G1940" s="4"/>
      <c r="J1940" s="4"/>
      <c r="K1940" s="1"/>
    </row>
    <row r="1941" spans="1:11">
      <c r="A1941" s="1"/>
      <c r="B1941" s="7"/>
      <c r="C1941" s="1"/>
      <c r="D1941" s="1"/>
      <c r="E1941" s="4"/>
      <c r="F1941" s="4"/>
      <c r="G1941" s="4"/>
      <c r="J1941" s="4"/>
      <c r="K1941" s="1"/>
    </row>
    <row r="1942" spans="1:11">
      <c r="A1942" s="1"/>
      <c r="B1942" s="7"/>
      <c r="C1942" s="1"/>
      <c r="D1942" s="1"/>
      <c r="E1942" s="4"/>
      <c r="F1942" s="4"/>
      <c r="G1942" s="4"/>
      <c r="J1942" s="4"/>
      <c r="K1942" s="1"/>
    </row>
    <row r="1943" spans="1:11">
      <c r="A1943" s="1"/>
      <c r="B1943" s="7"/>
      <c r="C1943" s="1"/>
      <c r="D1943" s="1"/>
      <c r="E1943" s="4"/>
      <c r="F1943" s="4"/>
      <c r="G1943" s="4"/>
      <c r="J1943" s="4"/>
      <c r="K1943" s="1"/>
    </row>
    <row r="1944" spans="1:11">
      <c r="A1944" s="1"/>
      <c r="B1944" s="7"/>
      <c r="C1944" s="1"/>
      <c r="D1944" s="1"/>
      <c r="E1944" s="4"/>
      <c r="F1944" s="4"/>
      <c r="G1944" s="4"/>
      <c r="J1944" s="4"/>
      <c r="K1944" s="1"/>
    </row>
    <row r="1945" spans="1:11">
      <c r="A1945" s="1"/>
      <c r="B1945" s="7"/>
      <c r="C1945" s="1"/>
      <c r="D1945" s="1"/>
      <c r="E1945" s="4"/>
      <c r="F1945" s="4"/>
      <c r="G1945" s="4"/>
      <c r="J1945" s="4"/>
      <c r="K1945" s="1"/>
    </row>
    <row r="1946" spans="1:11">
      <c r="A1946" s="1"/>
      <c r="B1946" s="7"/>
      <c r="C1946" s="1"/>
      <c r="D1946" s="1"/>
      <c r="E1946" s="4"/>
      <c r="F1946" s="4"/>
      <c r="G1946" s="4"/>
      <c r="J1946" s="4"/>
      <c r="K1946" s="1"/>
    </row>
    <row r="1947" spans="1:11">
      <c r="A1947" s="1"/>
      <c r="B1947" s="7"/>
      <c r="C1947" s="1"/>
      <c r="D1947" s="1"/>
      <c r="E1947" s="4"/>
      <c r="F1947" s="4"/>
      <c r="G1947" s="4"/>
      <c r="J1947" s="4"/>
      <c r="K1947" s="1"/>
    </row>
    <row r="1948" spans="1:11">
      <c r="A1948" s="1"/>
      <c r="B1948" s="7"/>
      <c r="C1948" s="1"/>
      <c r="D1948" s="1"/>
      <c r="E1948" s="4"/>
      <c r="F1948" s="4"/>
      <c r="G1948" s="4"/>
      <c r="J1948" s="4"/>
      <c r="K1948" s="1"/>
    </row>
    <row r="1949" spans="1:11">
      <c r="A1949" s="1"/>
      <c r="B1949" s="7"/>
      <c r="C1949" s="1"/>
      <c r="D1949" s="1"/>
      <c r="E1949" s="4"/>
      <c r="F1949" s="4"/>
      <c r="G1949" s="4"/>
      <c r="J1949" s="4"/>
      <c r="K1949" s="1"/>
    </row>
    <row r="1950" spans="1:11">
      <c r="A1950" s="1"/>
      <c r="B1950" s="7"/>
      <c r="C1950" s="1"/>
      <c r="D1950" s="1"/>
      <c r="E1950" s="4"/>
      <c r="F1950" s="4"/>
      <c r="G1950" s="4"/>
      <c r="J1950" s="4"/>
      <c r="K1950" s="1"/>
    </row>
    <row r="1951" spans="1:11">
      <c r="A1951" s="1"/>
      <c r="B1951" s="7"/>
      <c r="C1951" s="1"/>
      <c r="D1951" s="1"/>
      <c r="E1951" s="4"/>
      <c r="F1951" s="4"/>
      <c r="G1951" s="4"/>
      <c r="J1951" s="4"/>
      <c r="K1951" s="1"/>
    </row>
    <row r="1952" spans="1:11">
      <c r="A1952" s="1"/>
      <c r="B1952" s="7"/>
      <c r="C1952" s="1"/>
      <c r="D1952" s="1"/>
      <c r="E1952" s="4"/>
      <c r="F1952" s="4"/>
      <c r="G1952" s="4"/>
      <c r="J1952" s="4"/>
      <c r="K1952" s="1"/>
    </row>
    <row r="1953" spans="1:11">
      <c r="A1953" s="1"/>
      <c r="B1953" s="7"/>
      <c r="C1953" s="1"/>
      <c r="D1953" s="1"/>
      <c r="E1953" s="4"/>
      <c r="F1953" s="4"/>
      <c r="G1953" s="4"/>
      <c r="J1953" s="4"/>
      <c r="K1953" s="1"/>
    </row>
    <row r="1954" spans="1:11">
      <c r="A1954" s="1"/>
      <c r="B1954" s="7"/>
      <c r="C1954" s="1"/>
      <c r="D1954" s="1"/>
      <c r="E1954" s="4"/>
      <c r="F1954" s="4"/>
      <c r="G1954" s="4"/>
      <c r="J1954" s="4"/>
      <c r="K1954" s="1"/>
    </row>
    <row r="1955" spans="1:11">
      <c r="A1955" s="1"/>
      <c r="B1955" s="7"/>
      <c r="C1955" s="1"/>
      <c r="D1955" s="1"/>
      <c r="E1955" s="4"/>
      <c r="F1955" s="4"/>
      <c r="G1955" s="4"/>
      <c r="J1955" s="4"/>
      <c r="K1955" s="1"/>
    </row>
    <row r="1956" spans="1:11">
      <c r="A1956" s="1"/>
      <c r="B1956" s="7"/>
      <c r="C1956" s="1"/>
      <c r="D1956" s="1"/>
      <c r="E1956" s="4"/>
      <c r="F1956" s="4"/>
      <c r="G1956" s="4"/>
      <c r="J1956" s="4"/>
      <c r="K1956" s="1"/>
    </row>
    <row r="1957" spans="1:11">
      <c r="A1957" s="1"/>
      <c r="B1957" s="7"/>
      <c r="C1957" s="1"/>
      <c r="D1957" s="1"/>
      <c r="E1957" s="4"/>
      <c r="F1957" s="4"/>
      <c r="G1957" s="4"/>
      <c r="J1957" s="4"/>
      <c r="K1957" s="1"/>
    </row>
    <row r="1958" spans="1:11">
      <c r="A1958" s="1"/>
      <c r="B1958" s="7"/>
      <c r="C1958" s="1"/>
      <c r="D1958" s="1"/>
      <c r="E1958" s="4"/>
      <c r="F1958" s="4"/>
      <c r="G1958" s="4"/>
      <c r="J1958" s="4"/>
      <c r="K1958" s="1"/>
    </row>
    <row r="1959" spans="1:11">
      <c r="A1959" s="1"/>
      <c r="B1959" s="7"/>
      <c r="C1959" s="1"/>
      <c r="D1959" s="1"/>
      <c r="E1959" s="4"/>
      <c r="F1959" s="4"/>
      <c r="G1959" s="4"/>
      <c r="J1959" s="4"/>
      <c r="K1959" s="1"/>
    </row>
    <row r="1960" spans="1:11">
      <c r="A1960" s="1"/>
      <c r="B1960" s="7"/>
      <c r="C1960" s="1"/>
      <c r="D1960" s="1"/>
      <c r="E1960" s="4"/>
      <c r="F1960" s="4"/>
      <c r="G1960" s="4"/>
      <c r="J1960" s="4"/>
      <c r="K1960" s="1"/>
    </row>
    <row r="1961" spans="1:11">
      <c r="A1961" s="1"/>
      <c r="B1961" s="7"/>
      <c r="C1961" s="1"/>
      <c r="D1961" s="1"/>
      <c r="E1961" s="4"/>
      <c r="F1961" s="4"/>
      <c r="G1961" s="4"/>
      <c r="J1961" s="4"/>
      <c r="K1961" s="1"/>
    </row>
    <row r="1962" spans="1:11">
      <c r="A1962" s="1"/>
      <c r="B1962" s="7"/>
      <c r="C1962" s="1"/>
      <c r="D1962" s="1"/>
      <c r="E1962" s="4"/>
      <c r="F1962" s="4"/>
      <c r="G1962" s="4"/>
      <c r="J1962" s="4"/>
      <c r="K1962" s="1"/>
    </row>
    <row r="1963" spans="1:11">
      <c r="A1963" s="1"/>
      <c r="B1963" s="7"/>
      <c r="C1963" s="1"/>
      <c r="D1963" s="1"/>
      <c r="E1963" s="4"/>
      <c r="F1963" s="4"/>
      <c r="G1963" s="4"/>
      <c r="J1963" s="4"/>
      <c r="K1963" s="1"/>
    </row>
    <row r="1964" spans="1:11">
      <c r="A1964" s="1"/>
      <c r="B1964" s="7"/>
      <c r="C1964" s="1"/>
      <c r="D1964" s="1"/>
      <c r="E1964" s="4"/>
      <c r="F1964" s="4"/>
      <c r="G1964" s="4"/>
      <c r="J1964" s="4"/>
      <c r="K1964" s="1"/>
    </row>
    <row r="1965" spans="1:11">
      <c r="A1965" s="1"/>
      <c r="B1965" s="7"/>
      <c r="C1965" s="1"/>
      <c r="D1965" s="1"/>
      <c r="E1965" s="4"/>
      <c r="F1965" s="4"/>
      <c r="G1965" s="4"/>
      <c r="J1965" s="4"/>
      <c r="K1965" s="1"/>
    </row>
    <row r="1966" spans="1:11">
      <c r="A1966" s="1"/>
      <c r="B1966" s="7"/>
      <c r="C1966" s="1"/>
      <c r="D1966" s="1"/>
      <c r="E1966" s="4"/>
      <c r="F1966" s="4"/>
      <c r="G1966" s="4"/>
      <c r="J1966" s="4"/>
      <c r="K1966" s="1"/>
    </row>
    <row r="1967" spans="1:11">
      <c r="A1967" s="1"/>
      <c r="B1967" s="7"/>
      <c r="C1967" s="1"/>
      <c r="D1967" s="1"/>
      <c r="E1967" s="4"/>
      <c r="F1967" s="4"/>
      <c r="G1967" s="4"/>
      <c r="J1967" s="4"/>
      <c r="K1967" s="1"/>
    </row>
    <row r="1968" spans="1:11">
      <c r="A1968" s="1"/>
      <c r="B1968" s="7"/>
      <c r="C1968" s="1"/>
      <c r="D1968" s="1"/>
      <c r="E1968" s="4"/>
      <c r="F1968" s="4"/>
      <c r="G1968" s="4"/>
      <c r="J1968" s="4"/>
      <c r="K1968" s="1"/>
    </row>
    <row r="1969" spans="1:11">
      <c r="A1969" s="1"/>
      <c r="B1969" s="7"/>
      <c r="C1969" s="1"/>
      <c r="D1969" s="1"/>
      <c r="E1969" s="4"/>
      <c r="F1969" s="4"/>
      <c r="G1969" s="4"/>
      <c r="J1969" s="4"/>
      <c r="K1969" s="1"/>
    </row>
    <row r="1970" spans="1:11">
      <c r="A1970" s="1"/>
      <c r="B1970" s="7"/>
      <c r="C1970" s="1"/>
      <c r="D1970" s="1"/>
      <c r="E1970" s="4"/>
      <c r="F1970" s="4"/>
      <c r="G1970" s="4"/>
      <c r="J1970" s="4"/>
      <c r="K1970" s="1"/>
    </row>
    <row r="1971" spans="1:11">
      <c r="A1971" s="1"/>
      <c r="B1971" s="7"/>
      <c r="C1971" s="1"/>
      <c r="D1971" s="1"/>
      <c r="E1971" s="4"/>
      <c r="F1971" s="4"/>
      <c r="G1971" s="4"/>
      <c r="J1971" s="4"/>
      <c r="K1971" s="1"/>
    </row>
    <row r="1972" spans="1:11">
      <c r="A1972" s="1"/>
      <c r="B1972" s="7"/>
      <c r="C1972" s="1"/>
      <c r="D1972" s="1"/>
      <c r="E1972" s="4"/>
      <c r="F1972" s="4"/>
      <c r="G1972" s="4"/>
      <c r="J1972" s="4"/>
      <c r="K1972" s="1"/>
    </row>
    <row r="1973" spans="1:11">
      <c r="A1973" s="1"/>
      <c r="B1973" s="7"/>
      <c r="C1973" s="1"/>
      <c r="D1973" s="1"/>
      <c r="E1973" s="4"/>
      <c r="F1973" s="4"/>
      <c r="G1973" s="4"/>
      <c r="J1973" s="4"/>
      <c r="K1973" s="1"/>
    </row>
    <row r="1974" spans="1:11">
      <c r="A1974" s="1"/>
      <c r="B1974" s="7"/>
      <c r="C1974" s="1"/>
      <c r="D1974" s="1"/>
      <c r="E1974" s="4"/>
      <c r="F1974" s="4"/>
      <c r="G1974" s="4"/>
      <c r="J1974" s="4"/>
      <c r="K1974" s="1"/>
    </row>
    <row r="1975" spans="1:11">
      <c r="A1975" s="1"/>
      <c r="B1975" s="7"/>
      <c r="C1975" s="1"/>
      <c r="D1975" s="1"/>
      <c r="E1975" s="4"/>
      <c r="F1975" s="4"/>
      <c r="G1975" s="4"/>
      <c r="J1975" s="4"/>
      <c r="K1975" s="1"/>
    </row>
    <row r="1976" spans="1:11">
      <c r="A1976" s="1"/>
      <c r="B1976" s="7"/>
      <c r="C1976" s="1"/>
      <c r="D1976" s="1"/>
      <c r="E1976" s="4"/>
      <c r="F1976" s="4"/>
      <c r="G1976" s="4"/>
      <c r="J1976" s="4"/>
      <c r="K1976" s="1"/>
    </row>
    <row r="1977" spans="1:11">
      <c r="A1977" s="1"/>
      <c r="B1977" s="7"/>
      <c r="C1977" s="1"/>
      <c r="D1977" s="1"/>
      <c r="E1977" s="4"/>
      <c r="F1977" s="4"/>
      <c r="G1977" s="4"/>
      <c r="J1977" s="4"/>
      <c r="K1977" s="1"/>
    </row>
    <row r="1978" spans="1:11">
      <c r="A1978" s="1"/>
      <c r="B1978" s="7"/>
      <c r="C1978" s="1"/>
      <c r="D1978" s="1"/>
      <c r="E1978" s="4"/>
      <c r="F1978" s="4"/>
      <c r="G1978" s="4"/>
      <c r="J1978" s="4"/>
      <c r="K1978" s="1"/>
    </row>
    <row r="1979" spans="1:11">
      <c r="A1979" s="1"/>
      <c r="B1979" s="7"/>
      <c r="C1979" s="1"/>
      <c r="D1979" s="1"/>
      <c r="E1979" s="4"/>
      <c r="F1979" s="4"/>
      <c r="G1979" s="4"/>
      <c r="J1979" s="4"/>
      <c r="K1979" s="1"/>
    </row>
    <row r="1980" spans="1:11">
      <c r="A1980" s="1"/>
      <c r="B1980" s="7"/>
      <c r="C1980" s="1"/>
      <c r="D1980" s="1"/>
      <c r="E1980" s="4"/>
      <c r="F1980" s="4"/>
      <c r="G1980" s="4"/>
      <c r="J1980" s="4"/>
      <c r="K1980" s="1"/>
    </row>
    <row r="1981" spans="1:11">
      <c r="A1981" s="1"/>
      <c r="B1981" s="7"/>
      <c r="C1981" s="1"/>
      <c r="D1981" s="1"/>
      <c r="E1981" s="4"/>
      <c r="F1981" s="4"/>
      <c r="G1981" s="4"/>
      <c r="J1981" s="4"/>
      <c r="K1981" s="1"/>
    </row>
    <row r="1982" spans="1:11">
      <c r="A1982" s="1"/>
      <c r="B1982" s="7"/>
      <c r="C1982" s="1"/>
      <c r="D1982" s="1"/>
      <c r="E1982" s="4"/>
      <c r="F1982" s="4"/>
      <c r="G1982" s="4"/>
      <c r="J1982" s="4"/>
      <c r="K1982" s="1"/>
    </row>
    <row r="1983" spans="1:11">
      <c r="A1983" s="1"/>
      <c r="B1983" s="7"/>
      <c r="C1983" s="1"/>
      <c r="D1983" s="1"/>
      <c r="E1983" s="4"/>
      <c r="F1983" s="4"/>
      <c r="G1983" s="4"/>
      <c r="J1983" s="4"/>
      <c r="K1983" s="1"/>
    </row>
    <row r="1984" spans="1:11">
      <c r="A1984" s="1"/>
      <c r="B1984" s="7"/>
      <c r="C1984" s="1"/>
      <c r="D1984" s="1"/>
      <c r="E1984" s="4"/>
      <c r="F1984" s="4"/>
      <c r="G1984" s="4"/>
      <c r="J1984" s="4"/>
      <c r="K1984" s="1"/>
    </row>
    <row r="1985" spans="1:11">
      <c r="A1985" s="1"/>
      <c r="B1985" s="7"/>
      <c r="C1985" s="1"/>
      <c r="D1985" s="1"/>
      <c r="E1985" s="4"/>
      <c r="F1985" s="4"/>
      <c r="G1985" s="4"/>
      <c r="J1985" s="4"/>
      <c r="K1985" s="1"/>
    </row>
    <row r="1986" spans="1:11">
      <c r="A1986" s="1"/>
      <c r="B1986" s="7"/>
      <c r="C1986" s="1"/>
      <c r="D1986" s="1"/>
      <c r="E1986" s="4"/>
      <c r="F1986" s="4"/>
      <c r="G1986" s="4"/>
      <c r="J1986" s="4"/>
      <c r="K1986" s="1"/>
    </row>
    <row r="1987" spans="1:11">
      <c r="A1987" s="1"/>
      <c r="B1987" s="7"/>
      <c r="C1987" s="1"/>
      <c r="D1987" s="1"/>
      <c r="E1987" s="4"/>
      <c r="F1987" s="4"/>
      <c r="G1987" s="4"/>
      <c r="J1987" s="4"/>
      <c r="K1987" s="1"/>
    </row>
    <row r="1988" spans="1:11">
      <c r="A1988" s="1"/>
      <c r="B1988" s="7"/>
      <c r="C1988" s="1"/>
      <c r="D1988" s="1"/>
      <c r="E1988" s="4"/>
      <c r="F1988" s="4"/>
      <c r="G1988" s="4"/>
      <c r="J1988" s="4"/>
      <c r="K1988" s="1"/>
    </row>
    <row r="1989" spans="1:11">
      <c r="A1989" s="1"/>
      <c r="B1989" s="7"/>
      <c r="C1989" s="1"/>
      <c r="D1989" s="1"/>
      <c r="E1989" s="4"/>
      <c r="F1989" s="4"/>
      <c r="G1989" s="4"/>
      <c r="J1989" s="4"/>
      <c r="K1989" s="1"/>
    </row>
    <row r="1990" spans="1:11">
      <c r="A1990" s="1"/>
      <c r="B1990" s="7"/>
      <c r="C1990" s="1"/>
      <c r="D1990" s="1"/>
      <c r="E1990" s="4"/>
      <c r="F1990" s="4"/>
      <c r="G1990" s="4"/>
      <c r="J1990" s="4"/>
      <c r="K1990" s="1"/>
    </row>
    <row r="1991" spans="1:11">
      <c r="A1991" s="1"/>
      <c r="B1991" s="7"/>
      <c r="C1991" s="1"/>
      <c r="D1991" s="1"/>
      <c r="E1991" s="4"/>
      <c r="F1991" s="4"/>
      <c r="G1991" s="4"/>
      <c r="J1991" s="4"/>
      <c r="K1991" s="1"/>
    </row>
    <row r="1992" spans="1:11">
      <c r="A1992" s="1"/>
      <c r="B1992" s="7"/>
      <c r="C1992" s="1"/>
      <c r="D1992" s="1"/>
      <c r="E1992" s="4"/>
      <c r="F1992" s="4"/>
      <c r="G1992" s="4"/>
      <c r="J1992" s="4"/>
      <c r="K1992" s="1"/>
    </row>
    <row r="1993" spans="1:11">
      <c r="A1993" s="1"/>
      <c r="B1993" s="7"/>
      <c r="C1993" s="1"/>
      <c r="D1993" s="1"/>
      <c r="E1993" s="4"/>
      <c r="F1993" s="4"/>
      <c r="G1993" s="4"/>
      <c r="J1993" s="4"/>
      <c r="K1993" s="1"/>
    </row>
    <row r="1994" spans="1:11">
      <c r="A1994" s="1"/>
      <c r="B1994" s="7"/>
      <c r="C1994" s="1"/>
      <c r="D1994" s="1"/>
      <c r="E1994" s="4"/>
      <c r="F1994" s="4"/>
      <c r="G1994" s="4"/>
      <c r="J1994" s="4"/>
      <c r="K1994" s="1"/>
    </row>
    <row r="1995" spans="1:11">
      <c r="A1995" s="1"/>
      <c r="B1995" s="7"/>
      <c r="C1995" s="1"/>
      <c r="D1995" s="1"/>
      <c r="E1995" s="4"/>
      <c r="F1995" s="4"/>
      <c r="G1995" s="4"/>
      <c r="J1995" s="4"/>
      <c r="K1995" s="1"/>
    </row>
    <row r="1996" spans="1:11">
      <c r="A1996" s="1"/>
      <c r="B1996" s="7"/>
      <c r="C1996" s="1"/>
      <c r="D1996" s="1"/>
      <c r="E1996" s="4"/>
      <c r="F1996" s="4"/>
      <c r="G1996" s="4"/>
      <c r="J1996" s="4"/>
      <c r="K1996" s="1"/>
    </row>
    <row r="1997" spans="1:11">
      <c r="A1997" s="1"/>
      <c r="B1997" s="7"/>
      <c r="C1997" s="1"/>
      <c r="D1997" s="1"/>
      <c r="E1997" s="4"/>
      <c r="F1997" s="4"/>
      <c r="G1997" s="4"/>
      <c r="J1997" s="4"/>
      <c r="K1997" s="1"/>
    </row>
    <row r="1998" spans="1:11">
      <c r="A1998" s="1"/>
      <c r="B1998" s="7"/>
      <c r="C1998" s="1"/>
      <c r="D1998" s="1"/>
      <c r="E1998" s="4"/>
      <c r="F1998" s="4"/>
      <c r="G1998" s="4"/>
      <c r="J1998" s="4"/>
      <c r="K1998" s="1"/>
    </row>
    <row r="1999" spans="1:11">
      <c r="A1999" s="1"/>
      <c r="B1999" s="7"/>
      <c r="C1999" s="1"/>
      <c r="D1999" s="1"/>
      <c r="E1999" s="4"/>
      <c r="F1999" s="4"/>
      <c r="G1999" s="4"/>
      <c r="J1999" s="4"/>
      <c r="K1999" s="1"/>
    </row>
    <row r="2000" spans="1:11">
      <c r="A2000" s="1"/>
      <c r="B2000" s="7"/>
      <c r="C2000" s="1"/>
      <c r="D2000" s="1"/>
      <c r="E2000" s="4"/>
      <c r="F2000" s="4"/>
      <c r="G2000" s="4"/>
      <c r="J2000" s="4"/>
      <c r="K2000" s="1"/>
    </row>
    <row r="2001" spans="1:11">
      <c r="A2001" s="1"/>
      <c r="B2001" s="7"/>
      <c r="C2001" s="1"/>
      <c r="D2001" s="1"/>
      <c r="E2001" s="4"/>
      <c r="F2001" s="4"/>
      <c r="G2001" s="4"/>
      <c r="J2001" s="4"/>
      <c r="K2001" s="1"/>
    </row>
    <row r="2002" spans="1:11">
      <c r="A2002" s="1"/>
      <c r="B2002" s="7"/>
      <c r="C2002" s="1"/>
      <c r="D2002" s="1"/>
      <c r="E2002" s="4"/>
      <c r="F2002" s="4"/>
      <c r="G2002" s="4"/>
      <c r="J2002" s="4"/>
      <c r="K2002" s="1"/>
    </row>
    <row r="2003" spans="1:11">
      <c r="A2003" s="1"/>
      <c r="B2003" s="7"/>
      <c r="C2003" s="1"/>
      <c r="D2003" s="1"/>
      <c r="E2003" s="4"/>
      <c r="F2003" s="4"/>
      <c r="G2003" s="4"/>
      <c r="J2003" s="4"/>
      <c r="K2003" s="1"/>
    </row>
    <row r="2004" spans="1:11">
      <c r="A2004" s="1"/>
      <c r="B2004" s="7"/>
      <c r="C2004" s="1"/>
      <c r="D2004" s="1"/>
      <c r="E2004" s="4"/>
      <c r="F2004" s="4"/>
      <c r="G2004" s="4"/>
      <c r="J2004" s="4"/>
      <c r="K2004" s="1"/>
    </row>
    <row r="2005" spans="1:11">
      <c r="A2005" s="1"/>
      <c r="B2005" s="7"/>
      <c r="C2005" s="1"/>
      <c r="D2005" s="1"/>
      <c r="E2005" s="4"/>
      <c r="F2005" s="4"/>
      <c r="G2005" s="4"/>
      <c r="J2005" s="4"/>
      <c r="K2005" s="1"/>
    </row>
    <row r="2006" spans="1:11">
      <c r="A2006" s="1"/>
      <c r="B2006" s="7"/>
      <c r="C2006" s="1"/>
      <c r="D2006" s="1"/>
      <c r="E2006" s="4"/>
      <c r="F2006" s="4"/>
      <c r="G2006" s="4"/>
      <c r="J2006" s="4"/>
      <c r="K2006" s="1"/>
    </row>
    <row r="2007" spans="1:11">
      <c r="A2007" s="1"/>
      <c r="B2007" s="7"/>
      <c r="C2007" s="1"/>
      <c r="D2007" s="1"/>
      <c r="E2007" s="4"/>
      <c r="F2007" s="4"/>
      <c r="G2007" s="4"/>
      <c r="J2007" s="4"/>
      <c r="K2007" s="1"/>
    </row>
    <row r="2008" spans="1:11">
      <c r="A2008" s="1"/>
      <c r="B2008" s="7"/>
      <c r="C2008" s="1"/>
      <c r="D2008" s="1"/>
      <c r="E2008" s="4"/>
      <c r="F2008" s="4"/>
      <c r="G2008" s="4"/>
      <c r="J2008" s="4"/>
      <c r="K2008" s="1"/>
    </row>
    <row r="2009" spans="1:11">
      <c r="A2009" s="1"/>
      <c r="B2009" s="7"/>
      <c r="C2009" s="1"/>
      <c r="D2009" s="1"/>
      <c r="E2009" s="4"/>
      <c r="F2009" s="4"/>
      <c r="G2009" s="4"/>
      <c r="J2009" s="4"/>
      <c r="K2009" s="1"/>
    </row>
    <row r="2010" spans="1:11">
      <c r="A2010" s="1"/>
      <c r="B2010" s="7"/>
      <c r="C2010" s="1"/>
      <c r="D2010" s="1"/>
      <c r="E2010" s="4"/>
      <c r="F2010" s="4"/>
      <c r="G2010" s="4"/>
      <c r="J2010" s="4"/>
      <c r="K2010" s="1"/>
    </row>
    <row r="2011" spans="1:11">
      <c r="A2011" s="1"/>
      <c r="B2011" s="7"/>
      <c r="C2011" s="1"/>
      <c r="D2011" s="1"/>
      <c r="E2011" s="4"/>
      <c r="F2011" s="4"/>
      <c r="G2011" s="4"/>
      <c r="J2011" s="4"/>
      <c r="K2011" s="1"/>
    </row>
    <row r="2012" spans="1:11">
      <c r="A2012" s="1"/>
      <c r="B2012" s="7"/>
      <c r="C2012" s="1"/>
      <c r="D2012" s="1"/>
      <c r="E2012" s="4"/>
      <c r="F2012" s="4"/>
      <c r="G2012" s="4"/>
      <c r="J2012" s="4"/>
      <c r="K2012" s="1"/>
    </row>
    <row r="2013" spans="1:11">
      <c r="A2013" s="1"/>
      <c r="B2013" s="7"/>
      <c r="C2013" s="1"/>
      <c r="D2013" s="1"/>
      <c r="E2013" s="4"/>
      <c r="F2013" s="4"/>
      <c r="G2013" s="4"/>
      <c r="J2013" s="4"/>
      <c r="K2013" s="1"/>
    </row>
    <row r="2014" spans="1:11">
      <c r="A2014" s="1"/>
      <c r="B2014" s="7"/>
      <c r="C2014" s="1"/>
      <c r="D2014" s="1"/>
      <c r="E2014" s="4"/>
      <c r="F2014" s="4"/>
      <c r="G2014" s="4"/>
      <c r="J2014" s="4"/>
      <c r="K2014" s="1"/>
    </row>
    <row r="2015" spans="1:11">
      <c r="A2015" s="1"/>
      <c r="B2015" s="7"/>
      <c r="C2015" s="1"/>
      <c r="D2015" s="1"/>
      <c r="E2015" s="4"/>
      <c r="F2015" s="4"/>
      <c r="G2015" s="4"/>
      <c r="J2015" s="4"/>
      <c r="K2015" s="1"/>
    </row>
    <row r="2016" spans="1:11">
      <c r="A2016" s="1"/>
      <c r="B2016" s="7"/>
      <c r="C2016" s="1"/>
      <c r="D2016" s="1"/>
      <c r="E2016" s="4"/>
      <c r="F2016" s="4"/>
      <c r="G2016" s="4"/>
      <c r="J2016" s="4"/>
      <c r="K2016" s="1"/>
    </row>
    <row r="2017" spans="1:11">
      <c r="A2017" s="1"/>
      <c r="B2017" s="7"/>
      <c r="C2017" s="1"/>
      <c r="D2017" s="1"/>
      <c r="E2017" s="4"/>
      <c r="F2017" s="4"/>
      <c r="G2017" s="4"/>
      <c r="J2017" s="4"/>
      <c r="K2017" s="1"/>
    </row>
  </sheetData>
  <conditionalFormatting sqref="K1:K2017">
    <cfRule type="cellIs" dxfId="1" priority="1" operator="equal">
      <formula>"En tránsito"</formula>
    </cfRule>
    <cfRule type="cellIs" dxfId="0" priority="2" operator="equal">
      <formula>"Recibido"</formula>
    </cfRule>
  </conditionalFormatting>
  <dataValidations count="2">
    <dataValidation type="list" allowBlank="1" sqref="C2:C2017" xr:uid="{00000000-0002-0000-0200-000000000000}">
      <formula1>"Factura,Boleta"</formula1>
    </dataValidation>
    <dataValidation type="list" allowBlank="1" sqref="K87:K2017" xr:uid="{00000000-0002-0000-0200-000001000000}">
      <formula1>"Recibido,En tránsito"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2007"/>
  <sheetViews>
    <sheetView tabSelected="1" workbookViewId="0">
      <pane ySplit="1" topLeftCell="A2" activePane="bottomLeft" state="frozen"/>
      <selection pane="bottomLeft" activeCell="A470" sqref="A470:XFD470"/>
    </sheetView>
  </sheetViews>
  <sheetFormatPr baseColWidth="10" defaultColWidth="12.5703125" defaultRowHeight="15.75" customHeight="1"/>
  <cols>
    <col min="1" max="1" width="4.7109375" customWidth="1"/>
    <col min="2" max="2" width="30.5703125" customWidth="1"/>
    <col min="3" max="3" width="10.140625" bestFit="1" customWidth="1"/>
    <col min="4" max="4" width="9.140625" customWidth="1"/>
    <col min="5" max="5" width="9" customWidth="1"/>
    <col min="6" max="6" width="9.140625" bestFit="1" customWidth="1"/>
    <col min="7" max="7" width="8.140625" bestFit="1" customWidth="1"/>
    <col min="8" max="8" width="9.140625" bestFit="1" customWidth="1"/>
    <col min="9" max="9" width="9.85546875" customWidth="1"/>
  </cols>
  <sheetData>
    <row r="1" spans="1:10">
      <c r="A1" s="1" t="s">
        <v>441</v>
      </c>
      <c r="B1" s="1" t="s">
        <v>1</v>
      </c>
      <c r="C1" s="9" t="s">
        <v>0</v>
      </c>
      <c r="D1" s="1" t="s">
        <v>442</v>
      </c>
      <c r="E1" s="1" t="s">
        <v>443</v>
      </c>
      <c r="F1" s="4" t="s">
        <v>4</v>
      </c>
      <c r="G1" s="4" t="s">
        <v>5</v>
      </c>
      <c r="H1" s="4" t="s">
        <v>6</v>
      </c>
      <c r="I1" s="4" t="s">
        <v>444</v>
      </c>
      <c r="J1" s="4" t="s">
        <v>445</v>
      </c>
    </row>
    <row r="2" spans="1:10">
      <c r="A2" s="1">
        <v>1</v>
      </c>
      <c r="B2" s="1" t="s">
        <v>448</v>
      </c>
      <c r="C2" s="9">
        <v>44201</v>
      </c>
      <c r="D2" s="1" t="s">
        <v>39</v>
      </c>
      <c r="E2" s="1">
        <v>2</v>
      </c>
      <c r="F2" s="4">
        <v>6714</v>
      </c>
      <c r="G2" s="4">
        <f t="shared" ref="G2:G19" si="0">F2*0.19</f>
        <v>1275.6600000000001</v>
      </c>
      <c r="H2" s="4">
        <f t="shared" ref="H2:H19" si="1">F2+G2</f>
        <v>7989.66</v>
      </c>
      <c r="I2" s="4">
        <v>5408.35</v>
      </c>
      <c r="J2" s="4"/>
    </row>
    <row r="3" spans="1:10">
      <c r="A3" s="1">
        <v>2</v>
      </c>
      <c r="B3" s="1" t="s">
        <v>449</v>
      </c>
      <c r="C3" s="9">
        <v>44206</v>
      </c>
      <c r="D3" s="1" t="s">
        <v>12</v>
      </c>
      <c r="E3" s="1">
        <v>1</v>
      </c>
      <c r="F3" s="4">
        <v>42017</v>
      </c>
      <c r="G3" s="4">
        <f t="shared" si="0"/>
        <v>7983.2300000000005</v>
      </c>
      <c r="H3" s="4">
        <f t="shared" si="1"/>
        <v>50000.23</v>
      </c>
      <c r="I3" s="4">
        <v>33226</v>
      </c>
      <c r="J3" s="4"/>
    </row>
    <row r="4" spans="1:10">
      <c r="A4" s="1">
        <v>3</v>
      </c>
      <c r="B4" s="1" t="s">
        <v>450</v>
      </c>
      <c r="C4" s="9">
        <v>44212</v>
      </c>
      <c r="D4" s="1" t="s">
        <v>12</v>
      </c>
      <c r="E4" s="1">
        <v>2</v>
      </c>
      <c r="F4" s="4">
        <v>33193</v>
      </c>
      <c r="G4" s="4">
        <f t="shared" si="0"/>
        <v>6306.67</v>
      </c>
      <c r="H4" s="4">
        <f t="shared" si="1"/>
        <v>39499.67</v>
      </c>
      <c r="I4" s="4">
        <v>29200.5</v>
      </c>
      <c r="J4" s="4"/>
    </row>
    <row r="5" spans="1:10">
      <c r="A5" s="1">
        <v>4</v>
      </c>
      <c r="B5" s="1" t="s">
        <v>451</v>
      </c>
      <c r="C5" s="9">
        <v>44221</v>
      </c>
      <c r="D5" s="1" t="s">
        <v>39</v>
      </c>
      <c r="E5" s="1">
        <v>4</v>
      </c>
      <c r="F5" s="4">
        <v>15126</v>
      </c>
      <c r="G5" s="4">
        <f t="shared" si="0"/>
        <v>2873.94</v>
      </c>
      <c r="H5" s="4">
        <f t="shared" si="1"/>
        <v>17999.939999999999</v>
      </c>
      <c r="I5" s="4">
        <v>12728.25</v>
      </c>
      <c r="J5" s="4"/>
    </row>
    <row r="6" spans="1:10">
      <c r="A6" s="1">
        <v>5</v>
      </c>
      <c r="B6" s="1" t="s">
        <v>452</v>
      </c>
      <c r="C6" s="9">
        <v>44221</v>
      </c>
      <c r="D6" s="1"/>
      <c r="E6" s="1"/>
      <c r="F6" s="4">
        <v>10275</v>
      </c>
      <c r="G6" s="4">
        <f t="shared" si="0"/>
        <v>1952.25</v>
      </c>
      <c r="H6" s="4">
        <f t="shared" si="1"/>
        <v>12227.25</v>
      </c>
      <c r="I6" s="4"/>
      <c r="J6" s="4"/>
    </row>
    <row r="7" spans="1:10">
      <c r="A7" s="1">
        <v>6</v>
      </c>
      <c r="B7" s="1" t="s">
        <v>18</v>
      </c>
      <c r="C7" s="9">
        <v>44221</v>
      </c>
      <c r="D7" s="1" t="s">
        <v>39</v>
      </c>
      <c r="E7" s="1">
        <v>5</v>
      </c>
      <c r="F7" s="4">
        <v>11008</v>
      </c>
      <c r="G7" s="4">
        <f t="shared" si="0"/>
        <v>2091.52</v>
      </c>
      <c r="H7" s="4">
        <f t="shared" si="1"/>
        <v>13099.52</v>
      </c>
      <c r="I7" s="4">
        <v>9728.25</v>
      </c>
      <c r="J7" s="4"/>
    </row>
    <row r="8" spans="1:10">
      <c r="A8" s="1">
        <v>7</v>
      </c>
      <c r="B8" s="1" t="s">
        <v>451</v>
      </c>
      <c r="C8" s="9">
        <v>44224</v>
      </c>
      <c r="D8" s="1" t="s">
        <v>39</v>
      </c>
      <c r="E8" s="1">
        <v>6</v>
      </c>
      <c r="F8" s="4">
        <v>15126</v>
      </c>
      <c r="G8" s="4">
        <f t="shared" si="0"/>
        <v>2873.94</v>
      </c>
      <c r="H8" s="4">
        <f t="shared" si="1"/>
        <v>17999.939999999999</v>
      </c>
      <c r="I8" s="4">
        <v>12728.25</v>
      </c>
      <c r="J8" s="4"/>
    </row>
    <row r="9" spans="1:10">
      <c r="A9" s="1">
        <v>8</v>
      </c>
      <c r="B9" s="1" t="s">
        <v>448</v>
      </c>
      <c r="C9" s="9">
        <v>44227</v>
      </c>
      <c r="D9" s="1" t="s">
        <v>39</v>
      </c>
      <c r="E9" s="1">
        <v>7</v>
      </c>
      <c r="F9" s="4">
        <v>6723</v>
      </c>
      <c r="G9" s="4">
        <f t="shared" si="0"/>
        <v>1277.3700000000001</v>
      </c>
      <c r="H9" s="4">
        <f t="shared" si="1"/>
        <v>8000.37</v>
      </c>
      <c r="I9" s="4">
        <v>5408.35</v>
      </c>
      <c r="J9" s="4"/>
    </row>
    <row r="10" spans="1:10">
      <c r="A10" s="1">
        <v>9</v>
      </c>
      <c r="B10" s="1" t="s">
        <v>453</v>
      </c>
      <c r="C10" s="9">
        <v>44229</v>
      </c>
      <c r="D10" s="1" t="s">
        <v>39</v>
      </c>
      <c r="E10" s="1">
        <v>8</v>
      </c>
      <c r="F10" s="4">
        <v>13866</v>
      </c>
      <c r="G10" s="4">
        <f t="shared" si="0"/>
        <v>2634.54</v>
      </c>
      <c r="H10" s="4">
        <f t="shared" si="1"/>
        <v>16500.54</v>
      </c>
      <c r="I10" s="4">
        <v>9252.25</v>
      </c>
      <c r="J10" s="4"/>
    </row>
    <row r="11" spans="1:10">
      <c r="A11" s="1">
        <v>10</v>
      </c>
      <c r="B11" s="1" t="s">
        <v>454</v>
      </c>
      <c r="C11" s="9">
        <v>44240</v>
      </c>
      <c r="D11" s="1" t="s">
        <v>39</v>
      </c>
      <c r="E11" s="1">
        <v>9</v>
      </c>
      <c r="F11" s="4">
        <v>57143</v>
      </c>
      <c r="G11" s="4">
        <f t="shared" si="0"/>
        <v>10857.17</v>
      </c>
      <c r="H11" s="4">
        <f t="shared" si="1"/>
        <v>68000.17</v>
      </c>
      <c r="I11" s="4">
        <v>51801</v>
      </c>
      <c r="J11" s="4"/>
    </row>
    <row r="12" spans="1:10">
      <c r="A12" s="1">
        <v>11</v>
      </c>
      <c r="B12" s="1" t="s">
        <v>448</v>
      </c>
      <c r="C12" s="9">
        <v>44240</v>
      </c>
      <c r="D12" s="1" t="s">
        <v>39</v>
      </c>
      <c r="E12" s="1">
        <v>10</v>
      </c>
      <c r="F12" s="4">
        <v>7059</v>
      </c>
      <c r="G12" s="4">
        <f t="shared" si="0"/>
        <v>1341.21</v>
      </c>
      <c r="H12" s="4">
        <f t="shared" si="1"/>
        <v>8400.2099999999991</v>
      </c>
      <c r="I12" s="4">
        <v>5408.35</v>
      </c>
      <c r="J12" s="4"/>
    </row>
    <row r="13" spans="1:10">
      <c r="A13" s="1">
        <v>12</v>
      </c>
      <c r="B13" s="1" t="s">
        <v>455</v>
      </c>
      <c r="C13" s="9">
        <v>44243</v>
      </c>
      <c r="D13" s="1" t="s">
        <v>39</v>
      </c>
      <c r="E13" s="1">
        <v>11</v>
      </c>
      <c r="F13" s="4">
        <v>15126</v>
      </c>
      <c r="G13" s="4">
        <f t="shared" si="0"/>
        <v>2873.94</v>
      </c>
      <c r="H13" s="4">
        <f t="shared" si="1"/>
        <v>17999.939999999999</v>
      </c>
      <c r="I13" s="4">
        <v>12728.25</v>
      </c>
      <c r="J13" s="4"/>
    </row>
    <row r="14" spans="1:10">
      <c r="A14" s="1">
        <v>13</v>
      </c>
      <c r="B14" s="1" t="s">
        <v>456</v>
      </c>
      <c r="C14" s="9">
        <v>44256</v>
      </c>
      <c r="D14" s="1"/>
      <c r="F14" s="4">
        <v>2521</v>
      </c>
      <c r="G14" s="4">
        <f t="shared" si="0"/>
        <v>478.99</v>
      </c>
      <c r="H14" s="4">
        <f t="shared" si="1"/>
        <v>2999.99</v>
      </c>
      <c r="I14" s="4"/>
      <c r="J14" s="4"/>
    </row>
    <row r="15" spans="1:10">
      <c r="A15" s="1">
        <v>14</v>
      </c>
      <c r="B15" s="1" t="s">
        <v>457</v>
      </c>
      <c r="C15" s="9">
        <v>44261</v>
      </c>
      <c r="D15" s="1" t="s">
        <v>39</v>
      </c>
      <c r="E15" s="1">
        <v>13</v>
      </c>
      <c r="F15" s="4"/>
      <c r="G15" s="4">
        <f t="shared" si="0"/>
        <v>0</v>
      </c>
      <c r="H15" s="4">
        <f t="shared" si="1"/>
        <v>0</v>
      </c>
      <c r="I15" s="4">
        <v>8800</v>
      </c>
      <c r="J15" s="4"/>
    </row>
    <row r="16" spans="1:10">
      <c r="A16" s="1">
        <v>15</v>
      </c>
      <c r="B16" s="1" t="s">
        <v>458</v>
      </c>
      <c r="C16" s="9">
        <v>44264</v>
      </c>
      <c r="D16" s="1" t="s">
        <v>39</v>
      </c>
      <c r="E16" s="1">
        <v>14</v>
      </c>
      <c r="F16" s="4">
        <v>15126</v>
      </c>
      <c r="G16" s="4">
        <f t="shared" si="0"/>
        <v>2873.94</v>
      </c>
      <c r="H16" s="4">
        <f t="shared" si="1"/>
        <v>17999.939999999999</v>
      </c>
      <c r="I16" s="4">
        <v>12728.25</v>
      </c>
      <c r="J16" s="4"/>
    </row>
    <row r="17" spans="1:10">
      <c r="A17" s="1">
        <v>16</v>
      </c>
      <c r="B17" s="1" t="s">
        <v>457</v>
      </c>
      <c r="C17" s="9">
        <v>44269</v>
      </c>
      <c r="D17" s="1" t="s">
        <v>39</v>
      </c>
      <c r="E17" s="1">
        <v>15</v>
      </c>
      <c r="F17" s="4"/>
      <c r="G17" s="4">
        <f t="shared" si="0"/>
        <v>0</v>
      </c>
      <c r="H17" s="4">
        <f t="shared" si="1"/>
        <v>0</v>
      </c>
      <c r="I17" s="4">
        <v>8800</v>
      </c>
      <c r="J17" s="4"/>
    </row>
    <row r="18" spans="1:10">
      <c r="A18" s="1">
        <v>17</v>
      </c>
      <c r="B18" s="1" t="s">
        <v>457</v>
      </c>
      <c r="C18" s="9">
        <v>44274</v>
      </c>
      <c r="D18" s="1" t="s">
        <v>39</v>
      </c>
      <c r="E18" s="1">
        <v>16</v>
      </c>
      <c r="F18" s="4"/>
      <c r="G18" s="4">
        <f t="shared" si="0"/>
        <v>0</v>
      </c>
      <c r="H18" s="4">
        <f t="shared" si="1"/>
        <v>0</v>
      </c>
      <c r="I18" s="4">
        <v>8800</v>
      </c>
      <c r="J18" s="4"/>
    </row>
    <row r="19" spans="1:10">
      <c r="A19" s="1">
        <v>18</v>
      </c>
      <c r="B19" s="1" t="s">
        <v>448</v>
      </c>
      <c r="C19" s="9">
        <v>44274</v>
      </c>
      <c r="D19" s="1" t="s">
        <v>39</v>
      </c>
      <c r="E19" s="1">
        <v>17</v>
      </c>
      <c r="F19" s="4">
        <v>7059</v>
      </c>
      <c r="G19" s="4">
        <f t="shared" si="0"/>
        <v>1341.21</v>
      </c>
      <c r="H19" s="4">
        <f t="shared" si="1"/>
        <v>8400.2099999999991</v>
      </c>
      <c r="I19" s="4">
        <v>5408.35</v>
      </c>
      <c r="J19" s="4"/>
    </row>
    <row r="20" spans="1:10">
      <c r="A20" s="1">
        <v>19</v>
      </c>
      <c r="B20" s="1" t="s">
        <v>459</v>
      </c>
      <c r="C20" s="9">
        <v>44274</v>
      </c>
      <c r="D20" s="1"/>
      <c r="F20" s="4"/>
      <c r="G20" s="4"/>
      <c r="H20" s="4">
        <v>10000</v>
      </c>
      <c r="I20" s="4"/>
      <c r="J20" s="4"/>
    </row>
    <row r="21" spans="1:10">
      <c r="A21" s="1">
        <v>20</v>
      </c>
      <c r="B21" s="1" t="s">
        <v>460</v>
      </c>
      <c r="C21" s="9">
        <v>44277</v>
      </c>
      <c r="D21" s="1"/>
      <c r="F21" s="4">
        <v>41176</v>
      </c>
      <c r="G21" s="4">
        <f t="shared" ref="G21:G98" si="2">F21*0.19</f>
        <v>7823.4400000000005</v>
      </c>
      <c r="H21" s="4">
        <f t="shared" ref="H21:H175" si="3">F21+G21</f>
        <v>48999.44</v>
      </c>
      <c r="I21" s="4"/>
      <c r="J21" s="4"/>
    </row>
    <row r="22" spans="1:10">
      <c r="A22" s="1">
        <v>21</v>
      </c>
      <c r="B22" s="1" t="s">
        <v>461</v>
      </c>
      <c r="C22" s="9">
        <v>44277</v>
      </c>
      <c r="D22" s="1" t="s">
        <v>39</v>
      </c>
      <c r="E22" s="1">
        <v>20</v>
      </c>
      <c r="F22" s="4">
        <v>23529</v>
      </c>
      <c r="G22" s="4">
        <f t="shared" si="2"/>
        <v>4470.51</v>
      </c>
      <c r="H22" s="4">
        <f t="shared" si="3"/>
        <v>27999.510000000002</v>
      </c>
      <c r="I22" s="4">
        <v>26780.37</v>
      </c>
      <c r="J22" s="4"/>
    </row>
    <row r="23" spans="1:10">
      <c r="A23" s="1">
        <v>22</v>
      </c>
      <c r="B23" s="1" t="s">
        <v>457</v>
      </c>
      <c r="C23" s="9">
        <v>44278</v>
      </c>
      <c r="D23" s="1" t="s">
        <v>39</v>
      </c>
      <c r="E23" s="1">
        <v>18</v>
      </c>
      <c r="F23" s="4"/>
      <c r="G23" s="4">
        <f t="shared" si="2"/>
        <v>0</v>
      </c>
      <c r="H23" s="4">
        <f t="shared" si="3"/>
        <v>0</v>
      </c>
      <c r="I23" s="4">
        <v>8990</v>
      </c>
      <c r="J23" s="4"/>
    </row>
    <row r="24" spans="1:10">
      <c r="A24" s="1">
        <v>23</v>
      </c>
      <c r="B24" s="1" t="s">
        <v>462</v>
      </c>
      <c r="C24" s="9">
        <v>44281</v>
      </c>
      <c r="D24" s="1" t="s">
        <v>39</v>
      </c>
      <c r="E24" s="1">
        <v>19</v>
      </c>
      <c r="F24" s="4">
        <v>15126</v>
      </c>
      <c r="G24" s="4">
        <f t="shared" si="2"/>
        <v>2873.94</v>
      </c>
      <c r="H24" s="4">
        <f t="shared" si="3"/>
        <v>17999.939999999999</v>
      </c>
      <c r="I24" s="4">
        <v>12227.25</v>
      </c>
      <c r="J24" s="4"/>
    </row>
    <row r="25" spans="1:10">
      <c r="A25" s="1">
        <v>24</v>
      </c>
      <c r="B25" s="1" t="s">
        <v>463</v>
      </c>
      <c r="C25" s="9">
        <v>44289</v>
      </c>
      <c r="D25" s="1" t="s">
        <v>39</v>
      </c>
      <c r="E25" s="1">
        <v>21</v>
      </c>
      <c r="F25" s="4">
        <v>44034</v>
      </c>
      <c r="G25" s="4">
        <f t="shared" si="2"/>
        <v>8366.4600000000009</v>
      </c>
      <c r="H25" s="4">
        <f t="shared" si="3"/>
        <v>52400.46</v>
      </c>
      <c r="I25" s="4">
        <v>37945.5</v>
      </c>
      <c r="J25" s="4"/>
    </row>
    <row r="26" spans="1:10">
      <c r="A26" s="1">
        <v>25</v>
      </c>
      <c r="B26" s="1" t="s">
        <v>464</v>
      </c>
      <c r="C26" s="9">
        <v>44292</v>
      </c>
      <c r="D26" s="1" t="s">
        <v>39</v>
      </c>
      <c r="F26" s="4">
        <v>3361</v>
      </c>
      <c r="G26" s="4">
        <f t="shared" si="2"/>
        <v>638.59</v>
      </c>
      <c r="H26" s="4">
        <f t="shared" si="3"/>
        <v>3999.59</v>
      </c>
      <c r="I26" s="4"/>
      <c r="J26" s="4"/>
    </row>
    <row r="27" spans="1:10">
      <c r="A27" s="1">
        <v>26</v>
      </c>
      <c r="B27" s="1" t="s">
        <v>465</v>
      </c>
      <c r="C27" s="9">
        <v>44295</v>
      </c>
      <c r="D27" s="1" t="s">
        <v>39</v>
      </c>
      <c r="E27" s="1">
        <v>24</v>
      </c>
      <c r="F27" s="4">
        <v>21008</v>
      </c>
      <c r="G27" s="4">
        <f t="shared" si="2"/>
        <v>3991.52</v>
      </c>
      <c r="H27" s="4">
        <f t="shared" si="3"/>
        <v>24999.52</v>
      </c>
      <c r="I27" s="4">
        <v>32725</v>
      </c>
      <c r="J27" s="4"/>
    </row>
    <row r="28" spans="1:10">
      <c r="A28" s="1">
        <v>27</v>
      </c>
      <c r="B28" s="1" t="s">
        <v>466</v>
      </c>
      <c r="C28" s="7">
        <v>44294</v>
      </c>
      <c r="D28" s="1" t="s">
        <v>39</v>
      </c>
      <c r="E28" s="1">
        <v>23</v>
      </c>
      <c r="F28" s="4">
        <v>50420</v>
      </c>
      <c r="G28" s="4">
        <f t="shared" si="2"/>
        <v>9579.7999999999993</v>
      </c>
      <c r="H28" s="4">
        <f t="shared" si="3"/>
        <v>59999.8</v>
      </c>
      <c r="I28" s="4">
        <v>45060.74</v>
      </c>
      <c r="J28" s="4"/>
    </row>
    <row r="29" spans="1:10">
      <c r="A29" s="1">
        <v>28</v>
      </c>
      <c r="B29" s="1" t="s">
        <v>457</v>
      </c>
      <c r="C29" s="9">
        <v>44296</v>
      </c>
      <c r="D29" s="1" t="s">
        <v>39</v>
      </c>
      <c r="E29" s="1">
        <v>22</v>
      </c>
      <c r="F29" s="4"/>
      <c r="G29" s="4">
        <f t="shared" si="2"/>
        <v>0</v>
      </c>
      <c r="H29" s="4">
        <f t="shared" si="3"/>
        <v>0</v>
      </c>
      <c r="I29" s="4">
        <v>8990</v>
      </c>
      <c r="J29" s="4"/>
    </row>
    <row r="30" spans="1:10">
      <c r="A30" s="1">
        <v>29</v>
      </c>
      <c r="B30" s="1" t="s">
        <v>467</v>
      </c>
      <c r="C30" s="9">
        <v>44300</v>
      </c>
      <c r="D30" s="1"/>
      <c r="F30" s="4">
        <v>30252</v>
      </c>
      <c r="G30" s="4">
        <f t="shared" si="2"/>
        <v>5747.88</v>
      </c>
      <c r="H30" s="4">
        <f t="shared" si="3"/>
        <v>35999.879999999997</v>
      </c>
      <c r="I30" s="4"/>
      <c r="J30" s="4"/>
    </row>
    <row r="31" spans="1:10">
      <c r="A31" s="1">
        <v>30</v>
      </c>
      <c r="B31" s="1" t="s">
        <v>468</v>
      </c>
      <c r="C31" s="9">
        <v>44301</v>
      </c>
      <c r="D31" s="1" t="s">
        <v>39</v>
      </c>
      <c r="E31" s="1">
        <v>25</v>
      </c>
      <c r="F31" s="4">
        <v>50420</v>
      </c>
      <c r="G31" s="4">
        <f t="shared" si="2"/>
        <v>9579.7999999999993</v>
      </c>
      <c r="H31" s="4">
        <f t="shared" si="3"/>
        <v>59999.8</v>
      </c>
      <c r="I31" s="4">
        <v>45060</v>
      </c>
      <c r="J31" s="4"/>
    </row>
    <row r="32" spans="1:10">
      <c r="A32" s="1">
        <v>31</v>
      </c>
      <c r="B32" s="1" t="s">
        <v>469</v>
      </c>
      <c r="C32" s="9">
        <v>44301</v>
      </c>
      <c r="D32" s="1"/>
      <c r="F32" s="4">
        <v>33529</v>
      </c>
      <c r="G32" s="4">
        <f t="shared" si="2"/>
        <v>6370.51</v>
      </c>
      <c r="H32" s="4">
        <f t="shared" si="3"/>
        <v>39899.51</v>
      </c>
      <c r="I32" s="4"/>
      <c r="J32" s="4"/>
    </row>
    <row r="33" spans="1:10">
      <c r="A33" s="1">
        <v>32</v>
      </c>
      <c r="B33" s="1" t="s">
        <v>470</v>
      </c>
      <c r="C33" s="9">
        <v>44306</v>
      </c>
      <c r="D33" s="1" t="s">
        <v>39</v>
      </c>
      <c r="E33" s="1">
        <v>26</v>
      </c>
      <c r="F33" s="4">
        <v>18487</v>
      </c>
      <c r="G33" s="4">
        <f t="shared" si="2"/>
        <v>3512.53</v>
      </c>
      <c r="H33" s="4">
        <f t="shared" si="3"/>
        <v>21999.53</v>
      </c>
      <c r="I33" s="4">
        <v>12336.33</v>
      </c>
      <c r="J33" s="4"/>
    </row>
    <row r="34" spans="1:10">
      <c r="A34" s="1">
        <v>33</v>
      </c>
      <c r="B34" s="1" t="s">
        <v>471</v>
      </c>
      <c r="C34" s="9">
        <v>44316</v>
      </c>
      <c r="D34" s="1" t="s">
        <v>39</v>
      </c>
      <c r="E34" s="1">
        <v>27</v>
      </c>
      <c r="F34" s="4"/>
      <c r="G34" s="4">
        <f t="shared" si="2"/>
        <v>0</v>
      </c>
      <c r="H34" s="4">
        <f t="shared" si="3"/>
        <v>0</v>
      </c>
      <c r="I34" s="4">
        <v>6800</v>
      </c>
      <c r="J34" s="4"/>
    </row>
    <row r="35" spans="1:10">
      <c r="A35" s="1">
        <v>34</v>
      </c>
      <c r="B35" s="1" t="s">
        <v>472</v>
      </c>
      <c r="C35" s="9">
        <v>44317</v>
      </c>
      <c r="D35" s="1" t="s">
        <v>39</v>
      </c>
      <c r="E35" s="1">
        <v>28</v>
      </c>
      <c r="F35" s="4">
        <v>15126</v>
      </c>
      <c r="G35" s="4">
        <f t="shared" si="2"/>
        <v>2873.94</v>
      </c>
      <c r="H35" s="4">
        <f t="shared" si="3"/>
        <v>17999.939999999999</v>
      </c>
      <c r="I35" s="4">
        <v>13655.25</v>
      </c>
      <c r="J35" s="4"/>
    </row>
    <row r="36" spans="1:10">
      <c r="A36" s="1">
        <v>35</v>
      </c>
      <c r="B36" s="1" t="s">
        <v>473</v>
      </c>
      <c r="C36" s="9">
        <v>44317</v>
      </c>
      <c r="D36" s="1" t="s">
        <v>39</v>
      </c>
      <c r="E36" s="1">
        <v>29</v>
      </c>
      <c r="F36" s="4">
        <v>17647</v>
      </c>
      <c r="G36" s="4">
        <f t="shared" si="2"/>
        <v>3352.93</v>
      </c>
      <c r="H36" s="4">
        <f t="shared" si="3"/>
        <v>20999.93</v>
      </c>
      <c r="I36" s="4">
        <v>13643.75</v>
      </c>
      <c r="J36" s="4"/>
    </row>
    <row r="37" spans="1:10">
      <c r="A37" s="1">
        <v>36</v>
      </c>
      <c r="B37" s="1" t="s">
        <v>474</v>
      </c>
      <c r="C37" s="9">
        <v>44317</v>
      </c>
      <c r="D37" s="1"/>
      <c r="F37" s="4">
        <v>11475</v>
      </c>
      <c r="G37" s="4">
        <f t="shared" si="2"/>
        <v>2180.25</v>
      </c>
      <c r="H37" s="4">
        <f t="shared" si="3"/>
        <v>13655.25</v>
      </c>
      <c r="I37" s="4"/>
      <c r="J37" s="4"/>
    </row>
    <row r="38" spans="1:10">
      <c r="A38" s="1">
        <v>37</v>
      </c>
      <c r="B38" s="1" t="s">
        <v>464</v>
      </c>
      <c r="C38" s="9">
        <v>44318</v>
      </c>
      <c r="D38" s="1"/>
      <c r="F38" s="4">
        <v>3361</v>
      </c>
      <c r="G38" s="4">
        <f t="shared" si="2"/>
        <v>638.59</v>
      </c>
      <c r="H38" s="4">
        <f t="shared" si="3"/>
        <v>3999.59</v>
      </c>
      <c r="I38" s="4"/>
      <c r="J38" s="4"/>
    </row>
    <row r="39" spans="1:10">
      <c r="A39" s="1">
        <v>38</v>
      </c>
      <c r="B39" s="1" t="s">
        <v>475</v>
      </c>
      <c r="C39" s="9">
        <v>44318</v>
      </c>
      <c r="D39" s="1" t="s">
        <v>39</v>
      </c>
      <c r="E39" s="1">
        <v>30</v>
      </c>
      <c r="F39" s="4">
        <v>4202</v>
      </c>
      <c r="G39" s="4">
        <f t="shared" si="2"/>
        <v>798.38</v>
      </c>
      <c r="H39" s="4">
        <f t="shared" si="3"/>
        <v>5000.38</v>
      </c>
      <c r="I39" s="4">
        <v>3800</v>
      </c>
      <c r="J39" s="4"/>
    </row>
    <row r="40" spans="1:10">
      <c r="A40" s="1">
        <v>39</v>
      </c>
      <c r="B40" s="1" t="s">
        <v>476</v>
      </c>
      <c r="C40" s="9">
        <v>44322</v>
      </c>
      <c r="D40" s="1" t="s">
        <v>39</v>
      </c>
      <c r="E40" s="1">
        <v>31</v>
      </c>
      <c r="F40" s="4">
        <v>23529</v>
      </c>
      <c r="G40" s="4">
        <f t="shared" si="2"/>
        <v>4470.51</v>
      </c>
      <c r="H40" s="4">
        <f t="shared" si="3"/>
        <v>27999.510000000002</v>
      </c>
      <c r="I40" s="4">
        <v>26780.37</v>
      </c>
      <c r="J40" s="4"/>
    </row>
    <row r="41" spans="1:10">
      <c r="A41" s="1">
        <v>40</v>
      </c>
      <c r="B41" s="1" t="s">
        <v>471</v>
      </c>
      <c r="C41" s="9">
        <v>44322</v>
      </c>
      <c r="D41" s="1" t="s">
        <v>39</v>
      </c>
      <c r="E41" s="1">
        <v>32</v>
      </c>
      <c r="F41" s="4"/>
      <c r="G41" s="4">
        <f t="shared" si="2"/>
        <v>0</v>
      </c>
      <c r="H41" s="4">
        <f t="shared" si="3"/>
        <v>0</v>
      </c>
      <c r="I41" s="4">
        <v>6800</v>
      </c>
      <c r="J41" s="4"/>
    </row>
    <row r="42" spans="1:10">
      <c r="A42" s="1">
        <v>41</v>
      </c>
      <c r="B42" s="1" t="s">
        <v>477</v>
      </c>
      <c r="C42" s="9">
        <v>44324</v>
      </c>
      <c r="D42" s="1" t="s">
        <v>39</v>
      </c>
      <c r="E42" s="1">
        <v>33</v>
      </c>
      <c r="F42" s="4">
        <v>1261</v>
      </c>
      <c r="G42" s="4">
        <f t="shared" si="2"/>
        <v>239.59</v>
      </c>
      <c r="H42" s="4">
        <f t="shared" si="3"/>
        <v>1500.59</v>
      </c>
      <c r="I42" s="4"/>
      <c r="J42" s="4"/>
    </row>
    <row r="43" spans="1:10">
      <c r="A43" s="1">
        <v>42</v>
      </c>
      <c r="B43" s="1" t="s">
        <v>478</v>
      </c>
      <c r="C43" s="9">
        <v>44325</v>
      </c>
      <c r="D43" s="1" t="s">
        <v>39</v>
      </c>
      <c r="E43" s="1">
        <v>34</v>
      </c>
      <c r="F43" s="4">
        <v>28151</v>
      </c>
      <c r="G43" s="4">
        <f t="shared" si="2"/>
        <v>5348.6900000000005</v>
      </c>
      <c r="H43" s="4">
        <f t="shared" si="3"/>
        <v>33499.69</v>
      </c>
      <c r="I43" s="4">
        <v>21820.25</v>
      </c>
      <c r="J43" s="4"/>
    </row>
    <row r="44" spans="1:10">
      <c r="A44" s="1">
        <v>43</v>
      </c>
      <c r="B44" s="1" t="s">
        <v>479</v>
      </c>
      <c r="C44" s="9">
        <v>44325</v>
      </c>
      <c r="D44" s="1"/>
      <c r="F44" s="4">
        <v>43697</v>
      </c>
      <c r="G44" s="4">
        <f t="shared" si="2"/>
        <v>8302.43</v>
      </c>
      <c r="H44" s="4">
        <f t="shared" si="3"/>
        <v>51999.43</v>
      </c>
      <c r="I44" s="4"/>
      <c r="J44" s="4"/>
    </row>
    <row r="45" spans="1:10">
      <c r="A45" s="1">
        <v>44</v>
      </c>
      <c r="B45" s="1" t="s">
        <v>480</v>
      </c>
      <c r="C45" s="9">
        <v>44325</v>
      </c>
      <c r="D45" s="1"/>
      <c r="F45" s="4"/>
      <c r="G45" s="4">
        <f t="shared" si="2"/>
        <v>0</v>
      </c>
      <c r="H45" s="4">
        <f t="shared" si="3"/>
        <v>0</v>
      </c>
      <c r="I45" s="4"/>
      <c r="J45" s="4"/>
    </row>
    <row r="46" spans="1:10">
      <c r="A46" s="1">
        <v>45</v>
      </c>
      <c r="B46" s="1" t="s">
        <v>457</v>
      </c>
      <c r="C46" s="9">
        <v>44331</v>
      </c>
      <c r="D46" s="1" t="s">
        <v>39</v>
      </c>
      <c r="E46" s="1">
        <v>35</v>
      </c>
      <c r="F46" s="4"/>
      <c r="G46" s="4">
        <f t="shared" si="2"/>
        <v>0</v>
      </c>
      <c r="H46" s="4">
        <f t="shared" si="3"/>
        <v>0</v>
      </c>
      <c r="I46" s="4">
        <v>8990</v>
      </c>
      <c r="J46" s="4"/>
    </row>
    <row r="47" spans="1:10">
      <c r="A47" s="1">
        <v>46</v>
      </c>
      <c r="B47" s="1" t="s">
        <v>457</v>
      </c>
      <c r="C47" s="9">
        <v>44332</v>
      </c>
      <c r="D47" s="1" t="s">
        <v>39</v>
      </c>
      <c r="E47" s="1">
        <v>36</v>
      </c>
      <c r="F47" s="4"/>
      <c r="G47" s="4">
        <f t="shared" si="2"/>
        <v>0</v>
      </c>
      <c r="H47" s="4">
        <f t="shared" si="3"/>
        <v>0</v>
      </c>
      <c r="I47" s="4">
        <v>8990</v>
      </c>
      <c r="J47" s="4"/>
    </row>
    <row r="48" spans="1:10">
      <c r="A48" s="1">
        <v>47</v>
      </c>
      <c r="B48" s="1" t="s">
        <v>471</v>
      </c>
      <c r="C48" s="9">
        <v>44332</v>
      </c>
      <c r="D48" s="1" t="s">
        <v>39</v>
      </c>
      <c r="E48" s="1">
        <v>37</v>
      </c>
      <c r="F48" s="4"/>
      <c r="G48" s="4">
        <f t="shared" si="2"/>
        <v>0</v>
      </c>
      <c r="H48" s="4">
        <f t="shared" si="3"/>
        <v>0</v>
      </c>
      <c r="I48" s="4">
        <v>6800</v>
      </c>
      <c r="J48" s="4"/>
    </row>
    <row r="49" spans="1:10">
      <c r="A49" s="1">
        <v>48</v>
      </c>
      <c r="B49" s="1" t="s">
        <v>457</v>
      </c>
      <c r="C49" s="9">
        <v>44333</v>
      </c>
      <c r="D49" s="1" t="s">
        <v>39</v>
      </c>
      <c r="E49" s="1">
        <v>38</v>
      </c>
      <c r="F49" s="4"/>
      <c r="G49" s="4">
        <f t="shared" si="2"/>
        <v>0</v>
      </c>
      <c r="H49" s="4">
        <f t="shared" si="3"/>
        <v>0</v>
      </c>
      <c r="I49" s="4">
        <v>8990</v>
      </c>
      <c r="J49" s="4"/>
    </row>
    <row r="50" spans="1:10">
      <c r="A50" s="1">
        <v>49</v>
      </c>
      <c r="B50" s="1" t="s">
        <v>478</v>
      </c>
      <c r="C50" s="9">
        <v>44334</v>
      </c>
      <c r="D50" s="1" t="s">
        <v>39</v>
      </c>
      <c r="E50" s="1">
        <v>39</v>
      </c>
      <c r="F50" s="4">
        <v>24370</v>
      </c>
      <c r="G50" s="4">
        <f t="shared" si="2"/>
        <v>4630.3</v>
      </c>
      <c r="H50" s="4">
        <f t="shared" si="3"/>
        <v>29000.3</v>
      </c>
      <c r="I50" s="4">
        <v>20319.25</v>
      </c>
      <c r="J50" s="4"/>
    </row>
    <row r="51" spans="1:10">
      <c r="A51" s="1">
        <v>50</v>
      </c>
      <c r="B51" s="1" t="s">
        <v>481</v>
      </c>
      <c r="C51" s="9">
        <v>44334</v>
      </c>
      <c r="D51" s="1" t="s">
        <v>39</v>
      </c>
      <c r="E51" s="1">
        <v>42</v>
      </c>
      <c r="F51" s="4">
        <v>11765</v>
      </c>
      <c r="G51" s="4">
        <f t="shared" si="2"/>
        <v>2235.35</v>
      </c>
      <c r="H51" s="4">
        <f t="shared" si="3"/>
        <v>14000.35</v>
      </c>
      <c r="I51" s="4">
        <v>10791</v>
      </c>
      <c r="J51" s="4"/>
    </row>
    <row r="52" spans="1:10">
      <c r="A52" s="1">
        <v>51</v>
      </c>
      <c r="B52" s="1" t="s">
        <v>478</v>
      </c>
      <c r="C52" s="9">
        <v>44337</v>
      </c>
      <c r="D52" s="1" t="s">
        <v>39</v>
      </c>
      <c r="E52" s="1">
        <v>40</v>
      </c>
      <c r="F52" s="4">
        <v>22269</v>
      </c>
      <c r="G52" s="4">
        <f t="shared" si="2"/>
        <v>4231.1099999999997</v>
      </c>
      <c r="H52" s="4">
        <f t="shared" si="3"/>
        <v>26500.11</v>
      </c>
      <c r="I52" s="4">
        <v>20319.25</v>
      </c>
      <c r="J52" s="4"/>
    </row>
    <row r="53" spans="1:10">
      <c r="A53" s="1">
        <v>52</v>
      </c>
      <c r="B53" s="1" t="s">
        <v>482</v>
      </c>
      <c r="C53" s="9">
        <v>44341</v>
      </c>
      <c r="D53" s="1"/>
      <c r="F53" s="4">
        <v>38655</v>
      </c>
      <c r="G53" s="4">
        <f t="shared" si="2"/>
        <v>7344.45</v>
      </c>
      <c r="H53" s="4">
        <f t="shared" si="3"/>
        <v>45999.45</v>
      </c>
      <c r="I53" s="4"/>
      <c r="J53" s="4"/>
    </row>
    <row r="54" spans="1:10">
      <c r="A54" s="1">
        <v>53</v>
      </c>
      <c r="B54" s="1" t="s">
        <v>483</v>
      </c>
      <c r="C54" s="9">
        <v>44342</v>
      </c>
      <c r="D54" s="1" t="s">
        <v>39</v>
      </c>
      <c r="E54" s="1">
        <v>41</v>
      </c>
      <c r="F54" s="4"/>
      <c r="G54" s="4">
        <f t="shared" si="2"/>
        <v>0</v>
      </c>
      <c r="H54" s="4">
        <f t="shared" si="3"/>
        <v>0</v>
      </c>
      <c r="I54" s="4">
        <v>17980</v>
      </c>
      <c r="J54" s="4"/>
    </row>
    <row r="55" spans="1:10">
      <c r="A55" s="1">
        <v>54</v>
      </c>
      <c r="B55" s="1" t="s">
        <v>457</v>
      </c>
      <c r="C55" s="9">
        <v>44344</v>
      </c>
      <c r="D55" s="1" t="s">
        <v>39</v>
      </c>
      <c r="E55" s="1">
        <v>43</v>
      </c>
      <c r="F55" s="4"/>
      <c r="G55" s="4">
        <f t="shared" si="2"/>
        <v>0</v>
      </c>
      <c r="H55" s="4">
        <f t="shared" si="3"/>
        <v>0</v>
      </c>
      <c r="I55" s="4">
        <v>8990</v>
      </c>
      <c r="J55" s="4"/>
    </row>
    <row r="56" spans="1:10">
      <c r="A56" s="1">
        <v>55</v>
      </c>
      <c r="B56" s="1" t="s">
        <v>457</v>
      </c>
      <c r="C56" s="9">
        <v>44344</v>
      </c>
      <c r="D56" s="1" t="s">
        <v>39</v>
      </c>
      <c r="E56" s="1">
        <v>44</v>
      </c>
      <c r="F56" s="4"/>
      <c r="G56" s="4">
        <f t="shared" si="2"/>
        <v>0</v>
      </c>
      <c r="H56" s="4">
        <f t="shared" si="3"/>
        <v>0</v>
      </c>
      <c r="I56" s="4">
        <v>8990</v>
      </c>
      <c r="J56" s="4"/>
    </row>
    <row r="57" spans="1:10">
      <c r="A57" s="1">
        <v>56</v>
      </c>
      <c r="B57" s="1" t="s">
        <v>484</v>
      </c>
      <c r="C57" s="9">
        <v>44344</v>
      </c>
      <c r="D57" s="1"/>
      <c r="F57" s="4">
        <v>2521</v>
      </c>
      <c r="G57" s="4">
        <f t="shared" si="2"/>
        <v>478.99</v>
      </c>
      <c r="H57" s="4">
        <f t="shared" si="3"/>
        <v>2999.99</v>
      </c>
      <c r="I57" s="4"/>
      <c r="J57" s="4"/>
    </row>
    <row r="58" spans="1:10">
      <c r="A58" s="1">
        <v>57</v>
      </c>
      <c r="B58" s="1" t="s">
        <v>448</v>
      </c>
      <c r="C58" s="9">
        <v>44347</v>
      </c>
      <c r="D58" s="1" t="s">
        <v>39</v>
      </c>
      <c r="E58" s="1">
        <v>45</v>
      </c>
      <c r="F58" s="4">
        <v>6723</v>
      </c>
      <c r="G58" s="4">
        <f t="shared" si="2"/>
        <v>1277.3700000000001</v>
      </c>
      <c r="H58" s="4">
        <f t="shared" si="3"/>
        <v>8000.37</v>
      </c>
      <c r="I58" s="4">
        <v>5408.35</v>
      </c>
      <c r="J58" s="4"/>
    </row>
    <row r="59" spans="1:10">
      <c r="A59" s="1">
        <v>58</v>
      </c>
      <c r="B59" s="1" t="s">
        <v>51</v>
      </c>
      <c r="C59" s="9">
        <v>44351</v>
      </c>
      <c r="D59" s="1" t="s">
        <v>39</v>
      </c>
      <c r="E59" s="1">
        <v>46</v>
      </c>
      <c r="F59" s="4">
        <v>151261</v>
      </c>
      <c r="G59" s="4">
        <f t="shared" si="2"/>
        <v>28739.59</v>
      </c>
      <c r="H59" s="4">
        <f t="shared" si="3"/>
        <v>180000.59</v>
      </c>
      <c r="I59" s="4">
        <v>151920</v>
      </c>
      <c r="J59" s="4"/>
    </row>
    <row r="60" spans="1:10">
      <c r="A60" s="1">
        <v>59</v>
      </c>
      <c r="B60" s="1" t="s">
        <v>485</v>
      </c>
      <c r="C60" s="9">
        <v>44351</v>
      </c>
      <c r="D60" s="1"/>
      <c r="F60" s="4">
        <v>10084</v>
      </c>
      <c r="G60" s="4">
        <f t="shared" si="2"/>
        <v>1915.96</v>
      </c>
      <c r="H60" s="4">
        <f t="shared" si="3"/>
        <v>11999.96</v>
      </c>
      <c r="I60" s="4"/>
      <c r="J60" s="4"/>
    </row>
    <row r="61" spans="1:10">
      <c r="A61" s="1">
        <v>60</v>
      </c>
      <c r="B61" s="1" t="s">
        <v>52</v>
      </c>
      <c r="C61" s="9">
        <v>44351</v>
      </c>
      <c r="D61" s="1" t="s">
        <v>39</v>
      </c>
      <c r="E61" s="1">
        <v>49</v>
      </c>
      <c r="F61" s="4">
        <v>17857</v>
      </c>
      <c r="G61" s="4">
        <f t="shared" si="2"/>
        <v>3392.83</v>
      </c>
      <c r="H61" s="4">
        <f t="shared" si="3"/>
        <v>21249.83</v>
      </c>
      <c r="I61" s="4">
        <v>21250</v>
      </c>
      <c r="J61" s="4"/>
    </row>
    <row r="62" spans="1:10">
      <c r="A62" s="1">
        <v>61</v>
      </c>
      <c r="B62" s="1" t="s">
        <v>486</v>
      </c>
      <c r="C62" s="9">
        <v>44356</v>
      </c>
      <c r="D62" s="1" t="s">
        <v>39</v>
      </c>
      <c r="E62" s="1">
        <v>48</v>
      </c>
      <c r="F62" s="4">
        <v>56120</v>
      </c>
      <c r="G62" s="4">
        <f t="shared" si="2"/>
        <v>10662.8</v>
      </c>
      <c r="H62" s="4">
        <f t="shared" si="3"/>
        <v>66782.8</v>
      </c>
      <c r="I62" s="4">
        <v>66783</v>
      </c>
      <c r="J62" s="4"/>
    </row>
    <row r="63" spans="1:10">
      <c r="A63" s="1">
        <v>62</v>
      </c>
      <c r="B63" s="1" t="s">
        <v>487</v>
      </c>
      <c r="C63" s="9">
        <v>44356</v>
      </c>
      <c r="D63" s="1" t="s">
        <v>39</v>
      </c>
      <c r="E63" s="1">
        <v>47</v>
      </c>
      <c r="F63" s="4"/>
      <c r="G63" s="4">
        <f t="shared" si="2"/>
        <v>0</v>
      </c>
      <c r="H63" s="4">
        <f t="shared" si="3"/>
        <v>0</v>
      </c>
      <c r="I63" s="4"/>
      <c r="J63" s="4"/>
    </row>
    <row r="64" spans="1:10">
      <c r="A64" s="1">
        <v>63</v>
      </c>
      <c r="B64" s="1" t="s">
        <v>56</v>
      </c>
      <c r="C64" s="9">
        <v>44356</v>
      </c>
      <c r="D64" s="1" t="s">
        <v>39</v>
      </c>
      <c r="E64" s="1">
        <v>50</v>
      </c>
      <c r="F64" s="4">
        <v>11610</v>
      </c>
      <c r="G64" s="4">
        <f t="shared" si="2"/>
        <v>2205.9</v>
      </c>
      <c r="H64" s="4">
        <f t="shared" si="3"/>
        <v>13815.9</v>
      </c>
      <c r="I64" s="4">
        <v>13816</v>
      </c>
      <c r="J64" s="4"/>
    </row>
    <row r="65" spans="1:10">
      <c r="A65" s="1">
        <v>64</v>
      </c>
      <c r="B65" s="1" t="s">
        <v>488</v>
      </c>
      <c r="C65" s="9">
        <v>44365</v>
      </c>
      <c r="D65" s="1" t="s">
        <v>39</v>
      </c>
      <c r="E65" s="1">
        <v>51</v>
      </c>
      <c r="F65" s="4">
        <v>6723</v>
      </c>
      <c r="G65" s="4">
        <f t="shared" si="2"/>
        <v>1277.3700000000001</v>
      </c>
      <c r="H65" s="4">
        <f t="shared" si="3"/>
        <v>8000.37</v>
      </c>
      <c r="I65" s="4">
        <v>5950</v>
      </c>
      <c r="J65" s="4"/>
    </row>
    <row r="66" spans="1:10">
      <c r="A66" s="1">
        <v>65</v>
      </c>
      <c r="B66" s="1" t="s">
        <v>489</v>
      </c>
      <c r="C66" s="9">
        <v>44369</v>
      </c>
      <c r="D66" s="1" t="s">
        <v>39</v>
      </c>
      <c r="E66" s="1">
        <v>52</v>
      </c>
      <c r="F66" s="4"/>
      <c r="G66" s="4">
        <f t="shared" si="2"/>
        <v>0</v>
      </c>
      <c r="H66" s="4">
        <f t="shared" si="3"/>
        <v>0</v>
      </c>
      <c r="I66" s="4">
        <v>6800</v>
      </c>
      <c r="J66" s="4"/>
    </row>
    <row r="67" spans="1:10">
      <c r="A67" s="1">
        <v>66</v>
      </c>
      <c r="B67" s="1" t="s">
        <v>457</v>
      </c>
      <c r="C67" s="9">
        <v>44369</v>
      </c>
      <c r="D67" s="1" t="s">
        <v>39</v>
      </c>
      <c r="E67" s="1">
        <v>53</v>
      </c>
      <c r="F67" s="4"/>
      <c r="G67" s="4">
        <f t="shared" si="2"/>
        <v>0</v>
      </c>
      <c r="H67" s="4">
        <f t="shared" si="3"/>
        <v>0</v>
      </c>
      <c r="I67" s="4">
        <v>8990</v>
      </c>
      <c r="J67" s="4"/>
    </row>
    <row r="68" spans="1:10">
      <c r="A68" s="1">
        <v>67</v>
      </c>
      <c r="B68" s="1" t="s">
        <v>490</v>
      </c>
      <c r="C68" s="9">
        <v>44369</v>
      </c>
      <c r="D68" s="1" t="s">
        <v>39</v>
      </c>
      <c r="E68" s="1">
        <v>54</v>
      </c>
      <c r="F68" s="4"/>
      <c r="G68" s="4">
        <f t="shared" si="2"/>
        <v>0</v>
      </c>
      <c r="H68" s="4">
        <f t="shared" si="3"/>
        <v>0</v>
      </c>
      <c r="I68" s="4">
        <v>8990</v>
      </c>
      <c r="J68" s="4"/>
    </row>
    <row r="69" spans="1:10">
      <c r="A69" s="1">
        <v>68</v>
      </c>
      <c r="B69" s="1" t="s">
        <v>457</v>
      </c>
      <c r="C69" s="9">
        <v>44369</v>
      </c>
      <c r="D69" s="1" t="s">
        <v>39</v>
      </c>
      <c r="E69" s="1">
        <v>55</v>
      </c>
      <c r="F69" s="4"/>
      <c r="G69" s="4">
        <f t="shared" si="2"/>
        <v>0</v>
      </c>
      <c r="H69" s="4">
        <f t="shared" si="3"/>
        <v>0</v>
      </c>
      <c r="I69" s="4">
        <v>8990</v>
      </c>
      <c r="J69" s="4"/>
    </row>
    <row r="70" spans="1:10">
      <c r="A70" s="1">
        <v>69</v>
      </c>
      <c r="B70" s="1" t="s">
        <v>491</v>
      </c>
      <c r="C70" s="9">
        <v>44369</v>
      </c>
      <c r="D70" s="1" t="s">
        <v>39</v>
      </c>
      <c r="E70" s="1">
        <v>56</v>
      </c>
      <c r="F70" s="4">
        <v>15966</v>
      </c>
      <c r="G70" s="4">
        <f t="shared" si="2"/>
        <v>3033.54</v>
      </c>
      <c r="H70" s="4">
        <f t="shared" si="3"/>
        <v>18999.54</v>
      </c>
      <c r="I70" s="4">
        <v>13655.25</v>
      </c>
      <c r="J70" s="4"/>
    </row>
    <row r="71" spans="1:10">
      <c r="A71" s="1">
        <v>70</v>
      </c>
      <c r="B71" s="1" t="s">
        <v>457</v>
      </c>
      <c r="C71" s="9">
        <v>44376</v>
      </c>
      <c r="D71" s="1" t="s">
        <v>39</v>
      </c>
      <c r="E71" s="1">
        <v>57</v>
      </c>
      <c r="F71" s="4"/>
      <c r="G71" s="4">
        <f t="shared" si="2"/>
        <v>0</v>
      </c>
      <c r="H71" s="4">
        <f t="shared" si="3"/>
        <v>0</v>
      </c>
      <c r="I71" s="4">
        <v>8990</v>
      </c>
      <c r="J71" s="4"/>
    </row>
    <row r="72" spans="1:10">
      <c r="A72" s="1">
        <v>71</v>
      </c>
      <c r="B72" s="1" t="s">
        <v>471</v>
      </c>
      <c r="C72" s="9">
        <v>44377</v>
      </c>
      <c r="D72" s="1" t="s">
        <v>39</v>
      </c>
      <c r="E72" s="1">
        <v>58</v>
      </c>
      <c r="F72" s="4"/>
      <c r="G72" s="4">
        <f t="shared" si="2"/>
        <v>0</v>
      </c>
      <c r="H72" s="4">
        <f t="shared" si="3"/>
        <v>0</v>
      </c>
      <c r="I72" s="4">
        <v>6800</v>
      </c>
      <c r="J72" s="4"/>
    </row>
    <row r="73" spans="1:10">
      <c r="A73" s="1">
        <v>72</v>
      </c>
      <c r="B73" s="1" t="s">
        <v>457</v>
      </c>
      <c r="C73" s="9">
        <v>44378</v>
      </c>
      <c r="D73" s="1" t="s">
        <v>39</v>
      </c>
      <c r="E73" s="1">
        <v>59</v>
      </c>
      <c r="F73" s="4"/>
      <c r="G73" s="4">
        <f t="shared" si="2"/>
        <v>0</v>
      </c>
      <c r="H73" s="4">
        <f t="shared" si="3"/>
        <v>0</v>
      </c>
      <c r="I73" s="4">
        <v>8990</v>
      </c>
      <c r="J73" s="4"/>
    </row>
    <row r="74" spans="1:10">
      <c r="A74" s="1">
        <v>73</v>
      </c>
      <c r="B74" s="1" t="s">
        <v>492</v>
      </c>
      <c r="C74" s="9">
        <v>44380</v>
      </c>
      <c r="D74" s="1" t="s">
        <v>39</v>
      </c>
      <c r="E74" s="1">
        <v>60</v>
      </c>
      <c r="F74" s="4">
        <v>3361</v>
      </c>
      <c r="G74" s="4">
        <f t="shared" si="2"/>
        <v>638.59</v>
      </c>
      <c r="H74" s="4">
        <f t="shared" si="3"/>
        <v>3999.59</v>
      </c>
      <c r="I74" s="4">
        <v>2975</v>
      </c>
      <c r="J74" s="4"/>
    </row>
    <row r="75" spans="1:10">
      <c r="A75" s="1">
        <v>74</v>
      </c>
      <c r="B75" s="1" t="s">
        <v>457</v>
      </c>
      <c r="C75" s="9">
        <v>44380</v>
      </c>
      <c r="D75" s="1" t="s">
        <v>39</v>
      </c>
      <c r="E75" s="1">
        <v>61</v>
      </c>
      <c r="F75" s="4"/>
      <c r="G75" s="4">
        <f t="shared" si="2"/>
        <v>0</v>
      </c>
      <c r="H75" s="4">
        <f t="shared" si="3"/>
        <v>0</v>
      </c>
      <c r="I75" s="4">
        <v>8990</v>
      </c>
      <c r="J75" s="4"/>
    </row>
    <row r="76" spans="1:10">
      <c r="A76" s="1">
        <v>75</v>
      </c>
      <c r="B76" s="1" t="s">
        <v>457</v>
      </c>
      <c r="C76" s="9">
        <v>44380</v>
      </c>
      <c r="D76" s="1" t="s">
        <v>39</v>
      </c>
      <c r="E76" s="1">
        <v>62</v>
      </c>
      <c r="F76" s="4"/>
      <c r="G76" s="4">
        <f t="shared" si="2"/>
        <v>0</v>
      </c>
      <c r="H76" s="4">
        <f t="shared" si="3"/>
        <v>0</v>
      </c>
      <c r="I76" s="4">
        <v>8990</v>
      </c>
      <c r="J76" s="4"/>
    </row>
    <row r="77" spans="1:10">
      <c r="A77" s="1">
        <v>76</v>
      </c>
      <c r="B77" s="1" t="s">
        <v>493</v>
      </c>
      <c r="C77" s="9">
        <v>44380</v>
      </c>
      <c r="D77" s="1" t="s">
        <v>39</v>
      </c>
      <c r="E77" s="1">
        <v>63</v>
      </c>
      <c r="F77" s="4"/>
      <c r="G77" s="4">
        <f t="shared" si="2"/>
        <v>0</v>
      </c>
      <c r="H77" s="4">
        <f t="shared" si="3"/>
        <v>0</v>
      </c>
      <c r="I77" s="4">
        <v>8990</v>
      </c>
      <c r="J77" s="4"/>
    </row>
    <row r="78" spans="1:10">
      <c r="A78" s="1">
        <v>77</v>
      </c>
      <c r="B78" s="1" t="s">
        <v>493</v>
      </c>
      <c r="C78" s="9">
        <v>44380</v>
      </c>
      <c r="D78" s="1" t="s">
        <v>39</v>
      </c>
      <c r="E78" s="1">
        <v>64</v>
      </c>
      <c r="F78" s="4"/>
      <c r="G78" s="4">
        <f t="shared" si="2"/>
        <v>0</v>
      </c>
      <c r="H78" s="4">
        <f t="shared" si="3"/>
        <v>0</v>
      </c>
      <c r="I78" s="4">
        <v>17980</v>
      </c>
      <c r="J78" s="4"/>
    </row>
    <row r="79" spans="1:10">
      <c r="A79" s="1">
        <v>78</v>
      </c>
      <c r="B79" s="1" t="s">
        <v>457</v>
      </c>
      <c r="C79" s="9">
        <v>44383</v>
      </c>
      <c r="D79" s="1" t="s">
        <v>39</v>
      </c>
      <c r="E79" s="1">
        <v>65</v>
      </c>
      <c r="F79" s="4"/>
      <c r="G79" s="4">
        <f t="shared" si="2"/>
        <v>0</v>
      </c>
      <c r="H79" s="4">
        <f t="shared" si="3"/>
        <v>0</v>
      </c>
      <c r="I79" s="4">
        <v>8990</v>
      </c>
      <c r="J79" s="4"/>
    </row>
    <row r="80" spans="1:10">
      <c r="A80" s="1">
        <v>79</v>
      </c>
      <c r="B80" s="1" t="s">
        <v>494</v>
      </c>
      <c r="C80" s="9">
        <v>44385</v>
      </c>
      <c r="D80" s="1" t="s">
        <v>39</v>
      </c>
      <c r="E80" s="1">
        <v>66</v>
      </c>
      <c r="F80" s="4">
        <v>3361</v>
      </c>
      <c r="G80" s="4">
        <f t="shared" si="2"/>
        <v>638.59</v>
      </c>
      <c r="H80" s="4">
        <f t="shared" si="3"/>
        <v>3999.59</v>
      </c>
      <c r="I80" s="4">
        <v>2975</v>
      </c>
      <c r="J80" s="4"/>
    </row>
    <row r="81" spans="1:10">
      <c r="A81" s="1">
        <v>80</v>
      </c>
      <c r="B81" s="1" t="s">
        <v>494</v>
      </c>
      <c r="C81" s="9">
        <v>44385</v>
      </c>
      <c r="D81" s="1" t="s">
        <v>39</v>
      </c>
      <c r="E81" s="1">
        <v>67</v>
      </c>
      <c r="F81" s="4">
        <v>3361</v>
      </c>
      <c r="G81" s="4">
        <f t="shared" si="2"/>
        <v>638.59</v>
      </c>
      <c r="H81" s="4">
        <f t="shared" si="3"/>
        <v>3999.59</v>
      </c>
      <c r="I81" s="4">
        <v>2975</v>
      </c>
      <c r="J81" s="4"/>
    </row>
    <row r="82" spans="1:10">
      <c r="A82" s="1">
        <v>81</v>
      </c>
      <c r="B82" s="1" t="s">
        <v>495</v>
      </c>
      <c r="C82" s="7">
        <v>44388</v>
      </c>
      <c r="D82" s="1" t="s">
        <v>39</v>
      </c>
      <c r="E82" s="1">
        <v>68</v>
      </c>
      <c r="F82" s="4"/>
      <c r="G82" s="4">
        <f t="shared" si="2"/>
        <v>0</v>
      </c>
      <c r="H82" s="4">
        <f t="shared" si="3"/>
        <v>0</v>
      </c>
      <c r="I82" s="4">
        <v>8990</v>
      </c>
      <c r="J82" s="4"/>
    </row>
    <row r="83" spans="1:10">
      <c r="A83" s="1">
        <v>82</v>
      </c>
      <c r="B83" s="1" t="s">
        <v>18</v>
      </c>
      <c r="C83" s="9">
        <v>44395</v>
      </c>
      <c r="D83" s="1" t="s">
        <v>39</v>
      </c>
      <c r="E83" s="1">
        <v>69</v>
      </c>
      <c r="F83" s="4">
        <v>12605</v>
      </c>
      <c r="G83" s="4">
        <f t="shared" si="2"/>
        <v>2394.9499999999998</v>
      </c>
      <c r="H83" s="4">
        <f t="shared" si="3"/>
        <v>14999.95</v>
      </c>
      <c r="I83" s="4">
        <v>10918.25</v>
      </c>
      <c r="J83" s="4"/>
    </row>
    <row r="84" spans="1:10">
      <c r="A84" s="1">
        <v>83</v>
      </c>
      <c r="B84" s="1" t="s">
        <v>496</v>
      </c>
      <c r="C84" s="9">
        <v>44397</v>
      </c>
      <c r="D84" s="1" t="s">
        <v>39</v>
      </c>
      <c r="E84" s="1">
        <v>70</v>
      </c>
      <c r="F84" s="4"/>
      <c r="G84" s="4">
        <f t="shared" si="2"/>
        <v>0</v>
      </c>
      <c r="H84" s="4">
        <f t="shared" si="3"/>
        <v>0</v>
      </c>
      <c r="I84" s="4">
        <v>8990</v>
      </c>
      <c r="J84" s="4"/>
    </row>
    <row r="85" spans="1:10">
      <c r="A85" s="1">
        <v>84</v>
      </c>
      <c r="B85" s="1" t="s">
        <v>497</v>
      </c>
      <c r="C85" s="9">
        <v>44400</v>
      </c>
      <c r="D85" s="1" t="s">
        <v>39</v>
      </c>
      <c r="E85" s="1">
        <v>71</v>
      </c>
      <c r="F85" s="4">
        <v>42017</v>
      </c>
      <c r="G85" s="4">
        <f t="shared" si="2"/>
        <v>7983.2300000000005</v>
      </c>
      <c r="H85" s="4">
        <f t="shared" si="3"/>
        <v>50000.23</v>
      </c>
      <c r="I85" s="4">
        <v>47399</v>
      </c>
      <c r="J85" s="4"/>
    </row>
    <row r="86" spans="1:10">
      <c r="A86" s="1">
        <v>85</v>
      </c>
      <c r="B86" s="1" t="s">
        <v>498</v>
      </c>
      <c r="C86" s="9">
        <v>44402</v>
      </c>
      <c r="D86" s="1" t="s">
        <v>39</v>
      </c>
      <c r="E86" s="1">
        <v>72</v>
      </c>
      <c r="F86" s="4">
        <v>21846</v>
      </c>
      <c r="G86" s="4">
        <f t="shared" si="2"/>
        <v>4150.74</v>
      </c>
      <c r="H86" s="4">
        <f t="shared" si="3"/>
        <v>25996.739999999998</v>
      </c>
      <c r="I86" s="4">
        <v>19780.18</v>
      </c>
      <c r="J86" s="4"/>
    </row>
    <row r="87" spans="1:10">
      <c r="A87" s="1">
        <v>86</v>
      </c>
      <c r="B87" s="1" t="s">
        <v>499</v>
      </c>
      <c r="C87" s="9">
        <v>44403</v>
      </c>
      <c r="D87" s="1" t="s">
        <v>39</v>
      </c>
      <c r="E87" s="1">
        <v>73</v>
      </c>
      <c r="F87" s="4"/>
      <c r="G87" s="4">
        <f t="shared" si="2"/>
        <v>0</v>
      </c>
      <c r="H87" s="4">
        <f t="shared" si="3"/>
        <v>0</v>
      </c>
      <c r="I87" s="4">
        <v>6800</v>
      </c>
      <c r="J87" s="4"/>
    </row>
    <row r="88" spans="1:10">
      <c r="A88" s="1">
        <v>87</v>
      </c>
      <c r="B88" s="1" t="s">
        <v>500</v>
      </c>
      <c r="C88" s="9">
        <v>44411</v>
      </c>
      <c r="D88" s="1" t="s">
        <v>39</v>
      </c>
      <c r="E88" s="1">
        <v>74</v>
      </c>
      <c r="F88" s="4"/>
      <c r="G88" s="4">
        <f t="shared" si="2"/>
        <v>0</v>
      </c>
      <c r="H88" s="4">
        <f t="shared" si="3"/>
        <v>0</v>
      </c>
      <c r="I88" s="4">
        <v>18990</v>
      </c>
      <c r="J88" s="4"/>
    </row>
    <row r="89" spans="1:10">
      <c r="A89" s="1">
        <v>88</v>
      </c>
      <c r="B89" s="1" t="s">
        <v>155</v>
      </c>
      <c r="C89" s="9">
        <v>44413</v>
      </c>
      <c r="D89" s="1" t="s">
        <v>39</v>
      </c>
      <c r="E89" s="1">
        <v>75</v>
      </c>
      <c r="F89" s="4"/>
      <c r="G89" s="4">
        <f t="shared" si="2"/>
        <v>0</v>
      </c>
      <c r="H89" s="4">
        <f t="shared" si="3"/>
        <v>0</v>
      </c>
      <c r="I89" s="4">
        <v>8990</v>
      </c>
      <c r="J89" s="4"/>
    </row>
    <row r="90" spans="1:10">
      <c r="A90" s="1">
        <v>89</v>
      </c>
      <c r="B90" s="1" t="s">
        <v>155</v>
      </c>
      <c r="C90" s="9">
        <v>44415</v>
      </c>
      <c r="D90" s="1" t="s">
        <v>39</v>
      </c>
      <c r="E90" s="1">
        <v>76</v>
      </c>
      <c r="F90" s="4"/>
      <c r="G90" s="4">
        <f t="shared" si="2"/>
        <v>0</v>
      </c>
      <c r="H90" s="4">
        <f t="shared" si="3"/>
        <v>0</v>
      </c>
      <c r="I90" s="4">
        <v>8990</v>
      </c>
      <c r="J90" s="4"/>
    </row>
    <row r="91" spans="1:10">
      <c r="A91" s="1">
        <v>90</v>
      </c>
      <c r="B91" s="1" t="s">
        <v>501</v>
      </c>
      <c r="C91" s="9">
        <v>44417</v>
      </c>
      <c r="D91" s="1" t="s">
        <v>39</v>
      </c>
      <c r="E91" s="1">
        <v>77</v>
      </c>
      <c r="F91" s="4"/>
      <c r="G91" s="4">
        <f t="shared" si="2"/>
        <v>0</v>
      </c>
      <c r="H91" s="4">
        <f t="shared" si="3"/>
        <v>0</v>
      </c>
      <c r="I91" s="4">
        <v>8990</v>
      </c>
      <c r="J91" s="4"/>
    </row>
    <row r="92" spans="1:10">
      <c r="A92" s="1">
        <v>91</v>
      </c>
      <c r="B92" s="1" t="s">
        <v>502</v>
      </c>
      <c r="C92" s="9">
        <v>44417</v>
      </c>
      <c r="D92" s="1" t="s">
        <v>39</v>
      </c>
      <c r="E92" s="1">
        <v>78</v>
      </c>
      <c r="F92" s="4">
        <v>21008</v>
      </c>
      <c r="G92" s="4">
        <f t="shared" si="2"/>
        <v>3991.52</v>
      </c>
      <c r="H92" s="4">
        <f t="shared" si="3"/>
        <v>24999.52</v>
      </c>
      <c r="I92" s="4">
        <v>17820.25</v>
      </c>
      <c r="J92" s="4"/>
    </row>
    <row r="93" spans="1:10">
      <c r="A93" s="1">
        <v>92</v>
      </c>
      <c r="B93" s="1" t="s">
        <v>503</v>
      </c>
      <c r="C93" s="9">
        <v>44421</v>
      </c>
      <c r="D93" s="1" t="s">
        <v>39</v>
      </c>
      <c r="E93" s="1">
        <v>79</v>
      </c>
      <c r="F93" s="4"/>
      <c r="G93" s="4">
        <f t="shared" si="2"/>
        <v>0</v>
      </c>
      <c r="H93" s="4">
        <f t="shared" si="3"/>
        <v>0</v>
      </c>
      <c r="I93" s="4">
        <v>18990</v>
      </c>
      <c r="J93" s="4"/>
    </row>
    <row r="94" spans="1:10">
      <c r="A94" s="1">
        <v>93</v>
      </c>
      <c r="B94" s="1" t="s">
        <v>504</v>
      </c>
      <c r="C94" s="9">
        <v>44422</v>
      </c>
      <c r="D94" s="1"/>
      <c r="F94" s="4">
        <v>29412</v>
      </c>
      <c r="G94" s="4">
        <f t="shared" si="2"/>
        <v>5588.28</v>
      </c>
      <c r="H94" s="4">
        <f t="shared" si="3"/>
        <v>35000.28</v>
      </c>
      <c r="I94" s="4">
        <v>34500</v>
      </c>
      <c r="J94" s="4"/>
    </row>
    <row r="95" spans="1:10">
      <c r="A95" s="1">
        <v>94</v>
      </c>
      <c r="B95" s="1" t="s">
        <v>505</v>
      </c>
      <c r="C95" s="9">
        <v>44424</v>
      </c>
      <c r="D95" s="1" t="s">
        <v>39</v>
      </c>
      <c r="E95" s="1">
        <v>80</v>
      </c>
      <c r="F95" s="4"/>
      <c r="G95" s="4">
        <f t="shared" si="2"/>
        <v>0</v>
      </c>
      <c r="H95" s="4">
        <f t="shared" si="3"/>
        <v>0</v>
      </c>
      <c r="I95" s="4">
        <v>8990</v>
      </c>
      <c r="J95" s="4"/>
    </row>
    <row r="96" spans="1:10">
      <c r="A96" s="1">
        <v>95</v>
      </c>
      <c r="B96" s="1" t="s">
        <v>506</v>
      </c>
      <c r="C96" s="9">
        <v>44426</v>
      </c>
      <c r="D96" s="1" t="s">
        <v>39</v>
      </c>
      <c r="E96" s="1">
        <v>81</v>
      </c>
      <c r="F96" s="4">
        <v>21008</v>
      </c>
      <c r="G96" s="4">
        <f t="shared" si="2"/>
        <v>3991.52</v>
      </c>
      <c r="H96" s="4">
        <f t="shared" si="3"/>
        <v>24999.52</v>
      </c>
      <c r="I96" s="4">
        <v>9495</v>
      </c>
      <c r="J96" s="4"/>
    </row>
    <row r="97" spans="1:10">
      <c r="A97" s="1">
        <v>96</v>
      </c>
      <c r="B97" s="1" t="s">
        <v>60</v>
      </c>
      <c r="C97" s="9">
        <v>44427</v>
      </c>
      <c r="D97" s="1"/>
      <c r="F97" s="4">
        <v>16807</v>
      </c>
      <c r="G97" s="4">
        <f t="shared" si="2"/>
        <v>3193.33</v>
      </c>
      <c r="H97" s="4">
        <f t="shared" si="3"/>
        <v>20000.330000000002</v>
      </c>
      <c r="I97" s="4"/>
      <c r="J97" s="4"/>
    </row>
    <row r="98" spans="1:10">
      <c r="A98" s="1">
        <v>97</v>
      </c>
      <c r="B98" s="1" t="s">
        <v>18</v>
      </c>
      <c r="C98" s="9">
        <v>44430</v>
      </c>
      <c r="D98" s="1" t="s">
        <v>39</v>
      </c>
      <c r="E98" s="1">
        <v>82</v>
      </c>
      <c r="F98" s="4">
        <v>12605</v>
      </c>
      <c r="G98" s="4">
        <f t="shared" si="2"/>
        <v>2394.9499999999998</v>
      </c>
      <c r="H98" s="4">
        <f t="shared" si="3"/>
        <v>14999.95</v>
      </c>
      <c r="I98" s="4">
        <v>10918.25</v>
      </c>
      <c r="J98" s="4"/>
    </row>
    <row r="99" spans="1:10">
      <c r="A99" s="1">
        <v>98</v>
      </c>
      <c r="B99" s="1" t="s">
        <v>155</v>
      </c>
      <c r="C99" s="9">
        <v>44435</v>
      </c>
      <c r="D99" s="1" t="s">
        <v>39</v>
      </c>
      <c r="E99" s="1">
        <v>83</v>
      </c>
      <c r="F99" s="4"/>
      <c r="G99" s="4"/>
      <c r="H99" s="4">
        <f t="shared" si="3"/>
        <v>0</v>
      </c>
      <c r="I99" s="4">
        <v>8990</v>
      </c>
      <c r="J99" s="4"/>
    </row>
    <row r="100" spans="1:10">
      <c r="A100" s="1">
        <v>99</v>
      </c>
      <c r="B100" s="1" t="s">
        <v>507</v>
      </c>
      <c r="C100" s="9">
        <v>44438</v>
      </c>
      <c r="D100" s="1" t="s">
        <v>39</v>
      </c>
      <c r="E100" s="1">
        <v>84</v>
      </c>
      <c r="F100" s="4">
        <v>32773</v>
      </c>
      <c r="G100" s="4">
        <f t="shared" ref="G100:G175" si="4">F100*0.19</f>
        <v>6226.87</v>
      </c>
      <c r="H100" s="4">
        <f t="shared" si="3"/>
        <v>38999.870000000003</v>
      </c>
      <c r="I100" s="4">
        <v>32040.75</v>
      </c>
      <c r="J100" s="4"/>
    </row>
    <row r="101" spans="1:10">
      <c r="A101" s="1">
        <v>100</v>
      </c>
      <c r="B101" s="1" t="s">
        <v>508</v>
      </c>
      <c r="C101" s="9">
        <v>44438</v>
      </c>
      <c r="D101" s="1"/>
      <c r="F101" s="4">
        <v>12605</v>
      </c>
      <c r="G101" s="4">
        <f t="shared" si="4"/>
        <v>2394.9499999999998</v>
      </c>
      <c r="H101" s="4">
        <f t="shared" si="3"/>
        <v>14999.95</v>
      </c>
      <c r="I101" s="4"/>
      <c r="J101" s="4"/>
    </row>
    <row r="102" spans="1:10">
      <c r="A102" s="1">
        <v>101</v>
      </c>
      <c r="B102" s="1" t="s">
        <v>457</v>
      </c>
      <c r="C102" s="9">
        <v>44440</v>
      </c>
      <c r="D102" s="1" t="s">
        <v>39</v>
      </c>
      <c r="E102" s="1">
        <v>85</v>
      </c>
      <c r="F102" s="4"/>
      <c r="G102" s="4">
        <f t="shared" si="4"/>
        <v>0</v>
      </c>
      <c r="H102" s="4">
        <f t="shared" si="3"/>
        <v>0</v>
      </c>
      <c r="I102" s="4">
        <v>8990</v>
      </c>
      <c r="J102" s="4"/>
    </row>
    <row r="103" spans="1:10">
      <c r="A103" s="1">
        <v>102</v>
      </c>
      <c r="B103" s="1" t="s">
        <v>509</v>
      </c>
      <c r="C103" s="9">
        <v>44440</v>
      </c>
      <c r="D103" s="1" t="s">
        <v>39</v>
      </c>
      <c r="E103" s="1">
        <v>86</v>
      </c>
      <c r="F103" s="4">
        <v>14706</v>
      </c>
      <c r="G103" s="4">
        <f t="shared" si="4"/>
        <v>2794.14</v>
      </c>
      <c r="H103" s="4">
        <f t="shared" si="3"/>
        <v>17500.14</v>
      </c>
      <c r="I103" s="4">
        <v>13417.25</v>
      </c>
      <c r="J103" s="4"/>
    </row>
    <row r="104" spans="1:10">
      <c r="A104" s="1">
        <v>103</v>
      </c>
      <c r="B104" s="1" t="s">
        <v>494</v>
      </c>
      <c r="C104" s="9">
        <v>44442</v>
      </c>
      <c r="D104" s="1" t="s">
        <v>39</v>
      </c>
      <c r="E104" s="1">
        <v>87</v>
      </c>
      <c r="F104" s="4">
        <v>3361</v>
      </c>
      <c r="G104" s="4">
        <f t="shared" si="4"/>
        <v>638.59</v>
      </c>
      <c r="H104" s="4">
        <f t="shared" si="3"/>
        <v>3999.59</v>
      </c>
      <c r="I104" s="4">
        <v>2975</v>
      </c>
      <c r="J104" s="4"/>
    </row>
    <row r="105" spans="1:10">
      <c r="A105" s="1">
        <v>104</v>
      </c>
      <c r="B105" s="1" t="s">
        <v>506</v>
      </c>
      <c r="C105" s="9">
        <v>44442</v>
      </c>
      <c r="D105" s="1" t="s">
        <v>39</v>
      </c>
      <c r="E105" s="1">
        <v>88</v>
      </c>
      <c r="F105" s="4">
        <v>16807</v>
      </c>
      <c r="G105" s="4">
        <f t="shared" si="4"/>
        <v>3193.33</v>
      </c>
      <c r="H105" s="4">
        <f t="shared" si="3"/>
        <v>20000.330000000002</v>
      </c>
      <c r="I105" s="4">
        <v>9495</v>
      </c>
      <c r="J105" s="4"/>
    </row>
    <row r="106" spans="1:10">
      <c r="A106" s="1">
        <v>105</v>
      </c>
      <c r="B106" s="1" t="s">
        <v>155</v>
      </c>
      <c r="C106" s="9">
        <v>44442</v>
      </c>
      <c r="D106" s="1" t="s">
        <v>39</v>
      </c>
      <c r="E106" s="1">
        <v>89</v>
      </c>
      <c r="F106" s="4"/>
      <c r="G106" s="4">
        <f t="shared" si="4"/>
        <v>0</v>
      </c>
      <c r="H106" s="4">
        <f t="shared" si="3"/>
        <v>0</v>
      </c>
      <c r="I106" s="4">
        <v>8990</v>
      </c>
      <c r="J106" s="4"/>
    </row>
    <row r="107" spans="1:10">
      <c r="A107" s="1">
        <v>106</v>
      </c>
      <c r="B107" s="1" t="s">
        <v>155</v>
      </c>
      <c r="C107" s="9">
        <v>44443</v>
      </c>
      <c r="D107" s="1" t="s">
        <v>39</v>
      </c>
      <c r="E107" s="1">
        <v>90</v>
      </c>
      <c r="F107" s="4"/>
      <c r="G107" s="4">
        <f t="shared" si="4"/>
        <v>0</v>
      </c>
      <c r="H107" s="4">
        <f t="shared" si="3"/>
        <v>0</v>
      </c>
      <c r="I107" s="4">
        <v>8990</v>
      </c>
      <c r="J107" s="4"/>
    </row>
    <row r="108" spans="1:10">
      <c r="A108" s="1">
        <v>107</v>
      </c>
      <c r="B108" s="1" t="s">
        <v>510</v>
      </c>
      <c r="C108" s="9">
        <v>44443</v>
      </c>
      <c r="D108" s="1" t="s">
        <v>39</v>
      </c>
      <c r="E108" s="1">
        <v>91</v>
      </c>
      <c r="F108" s="4"/>
      <c r="G108" s="4">
        <f t="shared" si="4"/>
        <v>0</v>
      </c>
      <c r="H108" s="4">
        <f t="shared" si="3"/>
        <v>0</v>
      </c>
      <c r="I108" s="4">
        <v>14990</v>
      </c>
      <c r="J108" s="4"/>
    </row>
    <row r="109" spans="1:10">
      <c r="A109" s="1">
        <v>108</v>
      </c>
      <c r="B109" s="1" t="s">
        <v>155</v>
      </c>
      <c r="C109" s="9">
        <v>44443</v>
      </c>
      <c r="D109" s="1" t="s">
        <v>39</v>
      </c>
      <c r="E109" s="1">
        <v>92</v>
      </c>
      <c r="F109" s="4"/>
      <c r="G109" s="4">
        <f t="shared" si="4"/>
        <v>0</v>
      </c>
      <c r="H109" s="4">
        <f t="shared" si="3"/>
        <v>0</v>
      </c>
      <c r="I109" s="4">
        <v>8990</v>
      </c>
      <c r="J109" s="4"/>
    </row>
    <row r="110" spans="1:10">
      <c r="A110" s="1">
        <v>109</v>
      </c>
      <c r="B110" s="1" t="s">
        <v>505</v>
      </c>
      <c r="C110" s="9">
        <v>44447</v>
      </c>
      <c r="D110" s="1" t="s">
        <v>39</v>
      </c>
      <c r="E110" s="1">
        <v>93</v>
      </c>
      <c r="F110" s="4"/>
      <c r="G110" s="4">
        <f t="shared" si="4"/>
        <v>0</v>
      </c>
      <c r="H110" s="4">
        <f t="shared" si="3"/>
        <v>0</v>
      </c>
      <c r="I110" s="4">
        <v>8990</v>
      </c>
      <c r="J110" s="4"/>
    </row>
    <row r="111" spans="1:10">
      <c r="A111" s="1">
        <v>110</v>
      </c>
      <c r="B111" s="1" t="s">
        <v>511</v>
      </c>
      <c r="C111" s="9">
        <v>44448</v>
      </c>
      <c r="D111" s="1" t="s">
        <v>39</v>
      </c>
      <c r="E111" s="1">
        <v>94</v>
      </c>
      <c r="F111" s="4">
        <v>55462</v>
      </c>
      <c r="G111" s="4">
        <f t="shared" si="4"/>
        <v>10537.78</v>
      </c>
      <c r="H111" s="4">
        <f t="shared" si="3"/>
        <v>65999.78</v>
      </c>
      <c r="I111" s="4">
        <v>45026.5</v>
      </c>
      <c r="J111" s="4"/>
    </row>
    <row r="112" spans="1:10">
      <c r="A112" s="1">
        <v>111</v>
      </c>
      <c r="B112" s="1" t="s">
        <v>494</v>
      </c>
      <c r="C112" s="9">
        <v>44448</v>
      </c>
      <c r="D112" s="1" t="s">
        <v>39</v>
      </c>
      <c r="E112" s="1">
        <v>95</v>
      </c>
      <c r="F112" s="4">
        <v>3361</v>
      </c>
      <c r="G112" s="4">
        <f t="shared" si="4"/>
        <v>638.59</v>
      </c>
      <c r="H112" s="4">
        <f t="shared" si="3"/>
        <v>3999.59</v>
      </c>
      <c r="I112" s="4">
        <v>2975</v>
      </c>
      <c r="J112" s="4"/>
    </row>
    <row r="113" spans="1:10">
      <c r="A113" s="1">
        <v>112</v>
      </c>
      <c r="B113" s="1" t="s">
        <v>512</v>
      </c>
      <c r="C113" s="9">
        <v>44452</v>
      </c>
      <c r="D113" s="1" t="s">
        <v>39</v>
      </c>
      <c r="E113" s="1">
        <v>96</v>
      </c>
      <c r="F113" s="4"/>
      <c r="G113" s="4">
        <f t="shared" si="4"/>
        <v>0</v>
      </c>
      <c r="H113" s="4">
        <f t="shared" si="3"/>
        <v>0</v>
      </c>
      <c r="I113" s="4">
        <v>8990</v>
      </c>
      <c r="J113" s="4"/>
    </row>
    <row r="114" spans="1:10">
      <c r="A114" s="1">
        <v>113</v>
      </c>
      <c r="B114" s="1" t="s">
        <v>512</v>
      </c>
      <c r="C114" s="9">
        <v>44452</v>
      </c>
      <c r="D114" s="1" t="s">
        <v>39</v>
      </c>
      <c r="E114" s="1">
        <v>97</v>
      </c>
      <c r="F114" s="4"/>
      <c r="G114" s="4">
        <f t="shared" si="4"/>
        <v>0</v>
      </c>
      <c r="H114" s="4">
        <f t="shared" si="3"/>
        <v>0</v>
      </c>
      <c r="I114" s="4">
        <v>8990</v>
      </c>
      <c r="J114" s="4"/>
    </row>
    <row r="115" spans="1:10">
      <c r="A115" s="1">
        <v>114</v>
      </c>
      <c r="B115" s="1" t="s">
        <v>512</v>
      </c>
      <c r="C115" s="9">
        <v>44453</v>
      </c>
      <c r="D115" s="1" t="s">
        <v>39</v>
      </c>
      <c r="E115" s="1">
        <v>98</v>
      </c>
      <c r="F115" s="4"/>
      <c r="G115" s="4">
        <f t="shared" si="4"/>
        <v>0</v>
      </c>
      <c r="H115" s="4">
        <f t="shared" si="3"/>
        <v>0</v>
      </c>
      <c r="I115" s="4">
        <v>8990</v>
      </c>
      <c r="J115" s="4"/>
    </row>
    <row r="116" spans="1:10">
      <c r="A116" s="1">
        <v>115</v>
      </c>
      <c r="B116" s="1" t="s">
        <v>155</v>
      </c>
      <c r="C116" s="9">
        <v>44454</v>
      </c>
      <c r="D116" s="1" t="s">
        <v>39</v>
      </c>
      <c r="E116" s="1">
        <v>99</v>
      </c>
      <c r="F116" s="4"/>
      <c r="G116" s="4">
        <f t="shared" si="4"/>
        <v>0</v>
      </c>
      <c r="H116" s="4">
        <f t="shared" si="3"/>
        <v>0</v>
      </c>
      <c r="I116" s="4">
        <v>8990</v>
      </c>
      <c r="J116" s="4"/>
    </row>
    <row r="117" spans="1:10">
      <c r="A117" s="1">
        <v>116</v>
      </c>
      <c r="B117" s="1" t="s">
        <v>513</v>
      </c>
      <c r="C117" s="9">
        <v>44459</v>
      </c>
      <c r="D117" s="1" t="s">
        <v>39</v>
      </c>
      <c r="E117" s="1">
        <v>100</v>
      </c>
      <c r="F117" s="4">
        <v>10924</v>
      </c>
      <c r="G117" s="4">
        <f t="shared" si="4"/>
        <v>2075.56</v>
      </c>
      <c r="H117" s="4">
        <f t="shared" si="3"/>
        <v>12999.56</v>
      </c>
      <c r="I117" s="4">
        <v>11784</v>
      </c>
      <c r="J117" s="4"/>
    </row>
    <row r="118" spans="1:10">
      <c r="A118" s="1">
        <v>117</v>
      </c>
      <c r="B118" s="1" t="s">
        <v>155</v>
      </c>
      <c r="C118" s="9">
        <v>44459</v>
      </c>
      <c r="D118" s="1" t="s">
        <v>39</v>
      </c>
      <c r="E118" s="1">
        <v>101</v>
      </c>
      <c r="F118" s="4"/>
      <c r="G118" s="4">
        <f t="shared" si="4"/>
        <v>0</v>
      </c>
      <c r="H118" s="4">
        <f t="shared" si="3"/>
        <v>0</v>
      </c>
      <c r="I118" s="4">
        <v>8990</v>
      </c>
      <c r="J118" s="4"/>
    </row>
    <row r="119" spans="1:10">
      <c r="A119" s="1">
        <v>118</v>
      </c>
      <c r="B119" s="1" t="s">
        <v>500</v>
      </c>
      <c r="C119" s="9">
        <v>44459</v>
      </c>
      <c r="D119" s="1" t="s">
        <v>39</v>
      </c>
      <c r="E119" s="1">
        <v>102</v>
      </c>
      <c r="F119" s="4"/>
      <c r="G119" s="4">
        <f t="shared" si="4"/>
        <v>0</v>
      </c>
      <c r="H119" s="4">
        <f t="shared" si="3"/>
        <v>0</v>
      </c>
      <c r="I119" s="4">
        <v>18990</v>
      </c>
      <c r="J119" s="4"/>
    </row>
    <row r="120" spans="1:10">
      <c r="A120" s="1">
        <v>119</v>
      </c>
      <c r="B120" s="1" t="s">
        <v>155</v>
      </c>
      <c r="C120" s="9">
        <v>44460</v>
      </c>
      <c r="D120" s="1" t="s">
        <v>39</v>
      </c>
      <c r="E120" s="1">
        <v>103</v>
      </c>
      <c r="F120" s="4"/>
      <c r="G120" s="4">
        <f t="shared" si="4"/>
        <v>0</v>
      </c>
      <c r="H120" s="4">
        <f t="shared" si="3"/>
        <v>0</v>
      </c>
      <c r="I120" s="4">
        <v>8990</v>
      </c>
      <c r="J120" s="4"/>
    </row>
    <row r="121" spans="1:10">
      <c r="A121" s="1">
        <v>120</v>
      </c>
      <c r="B121" s="1" t="s">
        <v>514</v>
      </c>
      <c r="C121" s="9">
        <v>44460</v>
      </c>
      <c r="D121" s="1" t="s">
        <v>39</v>
      </c>
      <c r="E121" s="1">
        <v>104</v>
      </c>
      <c r="F121" s="4">
        <v>6386.55</v>
      </c>
      <c r="G121" s="4">
        <f t="shared" si="4"/>
        <v>1213.4445000000001</v>
      </c>
      <c r="H121" s="4">
        <f t="shared" si="3"/>
        <v>7599.9945000000007</v>
      </c>
      <c r="I121" s="4">
        <v>5364.92</v>
      </c>
      <c r="J121" s="4"/>
    </row>
    <row r="122" spans="1:10">
      <c r="A122" s="1">
        <v>121</v>
      </c>
      <c r="B122" s="1" t="s">
        <v>515</v>
      </c>
      <c r="C122" s="9">
        <v>44461</v>
      </c>
      <c r="D122" s="1" t="s">
        <v>39</v>
      </c>
      <c r="E122" s="1">
        <v>105</v>
      </c>
      <c r="F122" s="4">
        <v>58823.519999999997</v>
      </c>
      <c r="G122" s="4">
        <f t="shared" si="4"/>
        <v>11176.468799999999</v>
      </c>
      <c r="H122" s="4">
        <f t="shared" si="3"/>
        <v>69999.988799999992</v>
      </c>
      <c r="I122" s="4">
        <v>58300.480000000003</v>
      </c>
      <c r="J122" s="4"/>
    </row>
    <row r="123" spans="1:10">
      <c r="A123" s="1">
        <v>122</v>
      </c>
      <c r="B123" s="1" t="s">
        <v>516</v>
      </c>
      <c r="C123" s="9">
        <v>44461</v>
      </c>
      <c r="D123" s="1" t="s">
        <v>39</v>
      </c>
      <c r="E123" s="1">
        <v>106</v>
      </c>
      <c r="F123" s="4">
        <v>15126</v>
      </c>
      <c r="G123" s="4">
        <f t="shared" si="4"/>
        <v>2873.94</v>
      </c>
      <c r="H123" s="4">
        <f t="shared" si="3"/>
        <v>17999.939999999999</v>
      </c>
      <c r="I123" s="4">
        <v>9252.2474999999995</v>
      </c>
      <c r="J123" s="4"/>
    </row>
    <row r="124" spans="1:10">
      <c r="A124" s="1">
        <v>123</v>
      </c>
      <c r="B124" s="1" t="s">
        <v>517</v>
      </c>
      <c r="C124" s="9">
        <v>44462</v>
      </c>
      <c r="D124" s="1" t="s">
        <v>39</v>
      </c>
      <c r="E124" s="1">
        <v>108</v>
      </c>
      <c r="F124" s="4">
        <v>87026</v>
      </c>
      <c r="G124" s="4">
        <f t="shared" si="4"/>
        <v>16534.939999999999</v>
      </c>
      <c r="H124" s="4">
        <f t="shared" si="3"/>
        <v>103560.94</v>
      </c>
      <c r="I124" s="4">
        <v>65459.1325</v>
      </c>
      <c r="J124" s="4"/>
    </row>
    <row r="125" spans="1:10">
      <c r="A125" s="1">
        <v>124</v>
      </c>
      <c r="B125" s="1" t="s">
        <v>518</v>
      </c>
      <c r="C125" s="9">
        <v>44462</v>
      </c>
      <c r="D125" s="1" t="s">
        <v>39</v>
      </c>
      <c r="E125" s="1">
        <v>107</v>
      </c>
      <c r="F125" s="4">
        <v>24369.74</v>
      </c>
      <c r="G125" s="4">
        <f t="shared" si="4"/>
        <v>4630.2506000000003</v>
      </c>
      <c r="H125" s="4">
        <f t="shared" si="3"/>
        <v>28999.990600000001</v>
      </c>
      <c r="I125" s="4">
        <v>20319.25</v>
      </c>
      <c r="J125" s="4"/>
    </row>
    <row r="126" spans="1:10">
      <c r="A126" s="1">
        <v>125</v>
      </c>
      <c r="B126" s="1" t="s">
        <v>75</v>
      </c>
      <c r="C126" s="9">
        <v>44462</v>
      </c>
      <c r="D126" s="1" t="s">
        <v>39</v>
      </c>
      <c r="E126" s="1">
        <v>109</v>
      </c>
      <c r="F126" s="4">
        <v>19327.73</v>
      </c>
      <c r="G126" s="4">
        <f t="shared" si="4"/>
        <v>3672.2687000000001</v>
      </c>
      <c r="H126" s="4">
        <f t="shared" si="3"/>
        <v>22999.9987</v>
      </c>
      <c r="I126" s="4">
        <v>17664</v>
      </c>
      <c r="J126" s="4"/>
    </row>
    <row r="127" spans="1:10">
      <c r="A127" s="1">
        <v>126</v>
      </c>
      <c r="B127" s="1" t="s">
        <v>519</v>
      </c>
      <c r="C127" s="9">
        <v>44467</v>
      </c>
      <c r="D127" s="1"/>
      <c r="F127" s="4">
        <v>20041</v>
      </c>
      <c r="G127" s="4">
        <f t="shared" si="4"/>
        <v>3807.79</v>
      </c>
      <c r="H127" s="4">
        <f t="shared" si="3"/>
        <v>23848.79</v>
      </c>
      <c r="I127" s="4"/>
      <c r="J127" s="4"/>
    </row>
    <row r="128" spans="1:10">
      <c r="A128" s="1">
        <v>127</v>
      </c>
      <c r="B128" s="1" t="s">
        <v>520</v>
      </c>
      <c r="C128" s="9">
        <v>44468</v>
      </c>
      <c r="D128" s="1"/>
      <c r="F128" s="4">
        <v>28571</v>
      </c>
      <c r="G128" s="4">
        <f t="shared" si="4"/>
        <v>5428.49</v>
      </c>
      <c r="H128" s="4">
        <f t="shared" si="3"/>
        <v>33999.49</v>
      </c>
      <c r="I128" s="4"/>
      <c r="J128" s="4"/>
    </row>
    <row r="129" spans="1:10">
      <c r="A129" s="1">
        <v>128</v>
      </c>
      <c r="B129" s="1" t="s">
        <v>83</v>
      </c>
      <c r="C129" s="9">
        <v>44468</v>
      </c>
      <c r="D129" s="1" t="s">
        <v>39</v>
      </c>
      <c r="E129" s="1">
        <v>110</v>
      </c>
      <c r="F129" s="4">
        <v>17647</v>
      </c>
      <c r="G129" s="4">
        <f t="shared" si="4"/>
        <v>3352.93</v>
      </c>
      <c r="H129" s="4">
        <f t="shared" si="3"/>
        <v>20999.93</v>
      </c>
      <c r="I129" s="4">
        <v>10900</v>
      </c>
      <c r="J129" s="4"/>
    </row>
    <row r="130" spans="1:10">
      <c r="A130" s="1">
        <v>129</v>
      </c>
      <c r="B130" s="1" t="s">
        <v>505</v>
      </c>
      <c r="C130" s="9">
        <v>44468</v>
      </c>
      <c r="D130" s="1" t="s">
        <v>39</v>
      </c>
      <c r="E130" s="1">
        <v>111</v>
      </c>
      <c r="F130" s="4">
        <v>12605</v>
      </c>
      <c r="G130" s="4">
        <f t="shared" si="4"/>
        <v>2394.9499999999998</v>
      </c>
      <c r="H130" s="4">
        <f t="shared" si="3"/>
        <v>14999.95</v>
      </c>
      <c r="I130" s="4">
        <v>8990</v>
      </c>
      <c r="J130" s="4"/>
    </row>
    <row r="131" spans="1:10">
      <c r="A131" s="1">
        <v>130</v>
      </c>
      <c r="B131" s="1" t="s">
        <v>521</v>
      </c>
      <c r="C131" s="9">
        <v>44469</v>
      </c>
      <c r="D131" s="1" t="s">
        <v>39</v>
      </c>
      <c r="E131" s="1">
        <v>112</v>
      </c>
      <c r="F131" s="4">
        <v>117815</v>
      </c>
      <c r="G131" s="4">
        <f t="shared" si="4"/>
        <v>22384.85</v>
      </c>
      <c r="H131" s="4">
        <f t="shared" si="3"/>
        <v>140199.85</v>
      </c>
      <c r="I131" s="4">
        <v>103798.94</v>
      </c>
      <c r="J131" s="4"/>
    </row>
    <row r="132" spans="1:10">
      <c r="A132" s="1">
        <v>131</v>
      </c>
      <c r="B132" s="1" t="s">
        <v>505</v>
      </c>
      <c r="C132" s="9">
        <v>44475</v>
      </c>
      <c r="D132" s="1" t="s">
        <v>39</v>
      </c>
      <c r="F132" s="4">
        <v>12605</v>
      </c>
      <c r="G132" s="4">
        <f t="shared" si="4"/>
        <v>2394.9499999999998</v>
      </c>
      <c r="H132" s="4">
        <f t="shared" si="3"/>
        <v>14999.95</v>
      </c>
      <c r="I132" s="4"/>
      <c r="J132" s="4"/>
    </row>
    <row r="133" spans="1:10">
      <c r="A133" s="1">
        <v>132</v>
      </c>
      <c r="B133" s="1" t="s">
        <v>522</v>
      </c>
      <c r="C133" s="9">
        <v>44476</v>
      </c>
      <c r="D133" s="1"/>
      <c r="F133" s="4">
        <v>36717</v>
      </c>
      <c r="G133" s="4">
        <f t="shared" si="4"/>
        <v>6976.2300000000005</v>
      </c>
      <c r="H133" s="4">
        <f t="shared" si="3"/>
        <v>43693.23</v>
      </c>
      <c r="I133" s="4"/>
      <c r="J133" s="4"/>
    </row>
    <row r="134" spans="1:10">
      <c r="A134" s="1">
        <v>133</v>
      </c>
      <c r="B134" s="1" t="s">
        <v>523</v>
      </c>
      <c r="C134" s="9">
        <v>44477</v>
      </c>
      <c r="D134" s="1" t="s">
        <v>39</v>
      </c>
      <c r="E134" s="1">
        <v>114</v>
      </c>
      <c r="F134" s="4">
        <v>142017</v>
      </c>
      <c r="G134" s="4">
        <f t="shared" si="4"/>
        <v>26983.23</v>
      </c>
      <c r="H134" s="4">
        <f t="shared" si="3"/>
        <v>169000.23</v>
      </c>
      <c r="I134" s="4">
        <v>134318</v>
      </c>
      <c r="J134" s="4"/>
    </row>
    <row r="135" spans="1:10">
      <c r="A135" s="1">
        <v>134</v>
      </c>
      <c r="B135" s="1" t="s">
        <v>498</v>
      </c>
      <c r="C135" s="9">
        <v>44477</v>
      </c>
      <c r="D135" s="1" t="s">
        <v>39</v>
      </c>
      <c r="E135" s="1">
        <v>113</v>
      </c>
      <c r="F135" s="4">
        <v>25210</v>
      </c>
      <c r="G135" s="4">
        <f t="shared" si="4"/>
        <v>4789.8999999999996</v>
      </c>
      <c r="H135" s="4">
        <f t="shared" si="3"/>
        <v>29999.9</v>
      </c>
      <c r="I135" s="4">
        <v>19780.18</v>
      </c>
      <c r="J135" s="4"/>
    </row>
    <row r="136" spans="1:10">
      <c r="A136" s="1">
        <v>135</v>
      </c>
      <c r="B136" s="1" t="s">
        <v>524</v>
      </c>
      <c r="C136" s="9">
        <v>44477</v>
      </c>
      <c r="D136" s="1" t="s">
        <v>39</v>
      </c>
      <c r="E136" s="1">
        <v>115</v>
      </c>
      <c r="F136" s="4">
        <v>112605.042</v>
      </c>
      <c r="G136" s="4">
        <f t="shared" si="4"/>
        <v>21394.957979999999</v>
      </c>
      <c r="H136" s="4">
        <f t="shared" si="3"/>
        <v>133999.99997999999</v>
      </c>
      <c r="I136" s="4">
        <v>93999</v>
      </c>
      <c r="J136" s="4"/>
    </row>
    <row r="137" spans="1:10">
      <c r="A137" s="1">
        <v>136</v>
      </c>
      <c r="B137" s="1" t="s">
        <v>457</v>
      </c>
      <c r="C137" s="9">
        <v>44483</v>
      </c>
      <c r="D137" s="1" t="s">
        <v>39</v>
      </c>
      <c r="E137" s="1">
        <v>116</v>
      </c>
      <c r="F137" s="4">
        <v>12605</v>
      </c>
      <c r="G137" s="4">
        <f t="shared" si="4"/>
        <v>2394.9499999999998</v>
      </c>
      <c r="H137" s="4">
        <f t="shared" si="3"/>
        <v>14999.95</v>
      </c>
      <c r="I137" s="4">
        <v>8990</v>
      </c>
      <c r="J137" s="4"/>
    </row>
    <row r="138" spans="1:10">
      <c r="A138" s="1">
        <v>137</v>
      </c>
      <c r="B138" s="1" t="s">
        <v>525</v>
      </c>
      <c r="C138" s="9">
        <v>44483</v>
      </c>
      <c r="D138" s="1" t="s">
        <v>39</v>
      </c>
      <c r="E138" s="1">
        <v>117</v>
      </c>
      <c r="F138" s="4">
        <v>16807</v>
      </c>
      <c r="G138" s="4">
        <f t="shared" si="4"/>
        <v>3193.33</v>
      </c>
      <c r="H138" s="4">
        <f t="shared" si="3"/>
        <v>20000.330000000002</v>
      </c>
      <c r="I138" s="4">
        <v>14990</v>
      </c>
      <c r="J138" s="4"/>
    </row>
    <row r="139" spans="1:10">
      <c r="A139" s="1">
        <v>138</v>
      </c>
      <c r="B139" s="1" t="s">
        <v>526</v>
      </c>
      <c r="C139" s="9">
        <v>44487</v>
      </c>
      <c r="D139" s="1" t="s">
        <v>39</v>
      </c>
      <c r="E139" s="1">
        <v>118</v>
      </c>
      <c r="F139" s="4">
        <v>12605</v>
      </c>
      <c r="G139" s="4">
        <f t="shared" si="4"/>
        <v>2394.9499999999998</v>
      </c>
      <c r="H139" s="4">
        <f t="shared" si="3"/>
        <v>14999.95</v>
      </c>
      <c r="I139" s="4">
        <v>8990</v>
      </c>
      <c r="J139" s="4"/>
    </row>
    <row r="140" spans="1:10">
      <c r="A140" s="1">
        <v>139</v>
      </c>
      <c r="B140" s="1" t="s">
        <v>527</v>
      </c>
      <c r="C140" s="9">
        <v>44489</v>
      </c>
      <c r="D140" s="1"/>
      <c r="F140" s="4">
        <v>31932.77</v>
      </c>
      <c r="G140" s="4">
        <f t="shared" si="4"/>
        <v>6067.2263000000003</v>
      </c>
      <c r="H140" s="4">
        <f t="shared" si="3"/>
        <v>37999.996299999999</v>
      </c>
      <c r="I140" s="4"/>
      <c r="J140" s="4"/>
    </row>
    <row r="141" spans="1:10">
      <c r="A141" s="1">
        <v>140</v>
      </c>
      <c r="B141" s="1" t="s">
        <v>510</v>
      </c>
      <c r="C141" s="9">
        <v>44489</v>
      </c>
      <c r="D141" s="1" t="s">
        <v>39</v>
      </c>
      <c r="E141" s="1">
        <v>119</v>
      </c>
      <c r="F141" s="4">
        <v>16807</v>
      </c>
      <c r="G141" s="4">
        <f t="shared" si="4"/>
        <v>3193.33</v>
      </c>
      <c r="H141" s="4">
        <f t="shared" si="3"/>
        <v>20000.330000000002</v>
      </c>
      <c r="I141" s="4">
        <v>14990</v>
      </c>
      <c r="J141" s="4"/>
    </row>
    <row r="142" spans="1:10">
      <c r="A142" s="1">
        <v>141</v>
      </c>
      <c r="B142" s="1" t="s">
        <v>528</v>
      </c>
      <c r="C142" s="9">
        <v>44493</v>
      </c>
      <c r="D142" s="1"/>
      <c r="F142" s="4">
        <v>10924.36975</v>
      </c>
      <c r="G142" s="4">
        <f t="shared" si="4"/>
        <v>2075.6302525000001</v>
      </c>
      <c r="H142" s="4">
        <f t="shared" si="3"/>
        <v>13000.000002500001</v>
      </c>
      <c r="I142" s="4">
        <v>6800</v>
      </c>
      <c r="J142" s="4"/>
    </row>
    <row r="143" spans="1:10">
      <c r="A143" s="1">
        <v>142</v>
      </c>
      <c r="B143" s="1" t="s">
        <v>18</v>
      </c>
      <c r="C143" s="9">
        <v>44493</v>
      </c>
      <c r="D143" s="1" t="s">
        <v>39</v>
      </c>
      <c r="E143" s="1">
        <v>120</v>
      </c>
      <c r="F143" s="4">
        <v>12605</v>
      </c>
      <c r="G143" s="4">
        <f t="shared" si="4"/>
        <v>2394.9499999999998</v>
      </c>
      <c r="H143" s="4">
        <f t="shared" si="3"/>
        <v>14999.95</v>
      </c>
      <c r="I143" s="4">
        <v>10918.25</v>
      </c>
      <c r="J143" s="4"/>
    </row>
    <row r="144" spans="1:10">
      <c r="A144" s="1">
        <v>143</v>
      </c>
      <c r="B144" s="1" t="s">
        <v>529</v>
      </c>
      <c r="C144" s="9">
        <v>44494</v>
      </c>
      <c r="D144" s="1" t="s">
        <v>39</v>
      </c>
      <c r="E144" s="1">
        <v>121</v>
      </c>
      <c r="F144" s="4">
        <v>109243.69749999999</v>
      </c>
      <c r="G144" s="4">
        <f t="shared" si="4"/>
        <v>20756.302524999999</v>
      </c>
      <c r="H144" s="4">
        <f t="shared" si="3"/>
        <v>130000.00002499999</v>
      </c>
      <c r="I144" s="4">
        <v>99062</v>
      </c>
      <c r="J144" s="4"/>
    </row>
    <row r="145" spans="1:10">
      <c r="A145" s="1">
        <v>144</v>
      </c>
      <c r="B145" s="1" t="s">
        <v>530</v>
      </c>
      <c r="C145" s="9">
        <v>44495</v>
      </c>
      <c r="D145" s="1" t="s">
        <v>39</v>
      </c>
      <c r="E145" s="1">
        <v>122</v>
      </c>
      <c r="F145" s="4">
        <v>32773.109239999998</v>
      </c>
      <c r="G145" s="4">
        <f t="shared" si="4"/>
        <v>6226.8907555999995</v>
      </c>
      <c r="H145" s="4">
        <f t="shared" si="3"/>
        <v>38999.999995599996</v>
      </c>
      <c r="I145" s="4">
        <v>32040.75</v>
      </c>
      <c r="J145" s="4"/>
    </row>
    <row r="146" spans="1:10">
      <c r="A146" s="1">
        <v>145</v>
      </c>
      <c r="B146" s="1" t="s">
        <v>531</v>
      </c>
      <c r="C146" s="9">
        <v>44498</v>
      </c>
      <c r="D146" s="1" t="s">
        <v>39</v>
      </c>
      <c r="E146" s="1">
        <v>123</v>
      </c>
      <c r="F146" s="4">
        <v>15966.386549999999</v>
      </c>
      <c r="G146" s="4">
        <f t="shared" si="4"/>
        <v>3033.6134444999998</v>
      </c>
      <c r="H146" s="4">
        <f t="shared" si="3"/>
        <v>18999.999994499998</v>
      </c>
      <c r="I146" s="4">
        <v>13417.25</v>
      </c>
      <c r="J146" s="4"/>
    </row>
    <row r="147" spans="1:10">
      <c r="A147" s="1">
        <v>146</v>
      </c>
      <c r="B147" s="1" t="s">
        <v>532</v>
      </c>
      <c r="C147" s="9">
        <v>44498</v>
      </c>
      <c r="D147" s="1" t="s">
        <v>39</v>
      </c>
      <c r="E147" s="1">
        <v>124</v>
      </c>
      <c r="F147" s="4">
        <v>2268.9</v>
      </c>
      <c r="G147" s="4">
        <f t="shared" si="4"/>
        <v>431.09100000000001</v>
      </c>
      <c r="H147" s="4">
        <f t="shared" si="3"/>
        <v>2699.991</v>
      </c>
      <c r="I147" s="4">
        <v>2700</v>
      </c>
      <c r="J147" s="4"/>
    </row>
    <row r="148" spans="1:10">
      <c r="A148" s="1">
        <v>147</v>
      </c>
      <c r="B148" s="1" t="s">
        <v>533</v>
      </c>
      <c r="C148" s="9">
        <v>44499</v>
      </c>
      <c r="D148" s="1" t="s">
        <v>39</v>
      </c>
      <c r="E148" s="1">
        <v>125</v>
      </c>
      <c r="F148" s="4">
        <v>85714.285709999996</v>
      </c>
      <c r="G148" s="4">
        <f t="shared" si="4"/>
        <v>16285.714284899999</v>
      </c>
      <c r="H148" s="4">
        <f t="shared" si="3"/>
        <v>101999.99999489999</v>
      </c>
      <c r="I148" s="4">
        <v>80670</v>
      </c>
      <c r="J148" s="4"/>
    </row>
    <row r="149" spans="1:10">
      <c r="A149" s="1">
        <v>148</v>
      </c>
      <c r="B149" s="1" t="s">
        <v>534</v>
      </c>
      <c r="C149" s="9">
        <v>44503</v>
      </c>
      <c r="D149" s="1" t="s">
        <v>39</v>
      </c>
      <c r="E149" s="1">
        <v>126</v>
      </c>
      <c r="F149" s="4">
        <v>16806.72</v>
      </c>
      <c r="G149" s="4">
        <f t="shared" si="4"/>
        <v>3193.2768000000001</v>
      </c>
      <c r="H149" s="4">
        <f t="shared" si="3"/>
        <v>19999.996800000001</v>
      </c>
      <c r="I149" s="4">
        <v>17552.5</v>
      </c>
      <c r="J149" s="4"/>
    </row>
    <row r="150" spans="1:10">
      <c r="A150" s="1">
        <v>149</v>
      </c>
      <c r="B150" s="1" t="s">
        <v>535</v>
      </c>
      <c r="C150" s="9">
        <v>44506</v>
      </c>
      <c r="D150" s="1" t="s">
        <v>39</v>
      </c>
      <c r="E150" s="1">
        <v>127</v>
      </c>
      <c r="F150" s="4">
        <v>50084.033609999999</v>
      </c>
      <c r="G150" s="4">
        <f t="shared" si="4"/>
        <v>9515.9663858999993</v>
      </c>
      <c r="H150" s="4">
        <f t="shared" si="3"/>
        <v>59599.999995899998</v>
      </c>
      <c r="I150" s="4"/>
      <c r="J150" s="4"/>
    </row>
    <row r="151" spans="1:10">
      <c r="A151" s="1">
        <v>150</v>
      </c>
      <c r="B151" s="1" t="s">
        <v>107</v>
      </c>
      <c r="C151" s="9">
        <v>44506</v>
      </c>
      <c r="D151" s="1" t="s">
        <v>39</v>
      </c>
      <c r="E151" s="1">
        <v>128</v>
      </c>
      <c r="F151" s="4">
        <v>16807</v>
      </c>
      <c r="G151" s="4">
        <f t="shared" si="4"/>
        <v>3193.33</v>
      </c>
      <c r="H151" s="4">
        <f t="shared" si="3"/>
        <v>20000.330000000002</v>
      </c>
      <c r="I151" s="4"/>
      <c r="J151" s="4"/>
    </row>
    <row r="152" spans="1:10">
      <c r="A152" s="1">
        <v>151</v>
      </c>
      <c r="B152" s="1" t="s">
        <v>536</v>
      </c>
      <c r="C152" s="9">
        <v>44506</v>
      </c>
      <c r="D152" s="1" t="s">
        <v>39</v>
      </c>
      <c r="E152" s="1">
        <v>129</v>
      </c>
      <c r="F152" s="4">
        <v>16807</v>
      </c>
      <c r="G152" s="4">
        <f t="shared" si="4"/>
        <v>3193.33</v>
      </c>
      <c r="H152" s="4">
        <f t="shared" si="3"/>
        <v>20000.330000000002</v>
      </c>
      <c r="I152" s="4"/>
      <c r="J152" s="4"/>
    </row>
    <row r="153" spans="1:10">
      <c r="A153" s="1">
        <v>152</v>
      </c>
      <c r="B153" s="1" t="s">
        <v>537</v>
      </c>
      <c r="C153" s="9">
        <v>44508</v>
      </c>
      <c r="D153" s="1" t="s">
        <v>39</v>
      </c>
      <c r="E153" s="1">
        <v>130</v>
      </c>
      <c r="F153" s="4">
        <v>25210.080000000002</v>
      </c>
      <c r="G153" s="4">
        <f t="shared" si="4"/>
        <v>4789.9152000000004</v>
      </c>
      <c r="H153" s="4">
        <f t="shared" si="3"/>
        <v>29999.995200000001</v>
      </c>
      <c r="I153" s="4"/>
      <c r="J153" s="4"/>
    </row>
    <row r="154" spans="1:10">
      <c r="A154" s="1">
        <v>153</v>
      </c>
      <c r="B154" s="1" t="s">
        <v>538</v>
      </c>
      <c r="C154" s="9">
        <v>44508</v>
      </c>
      <c r="D154" s="1" t="s">
        <v>39</v>
      </c>
      <c r="E154" s="1">
        <v>131</v>
      </c>
      <c r="F154" s="4">
        <v>4621.848</v>
      </c>
      <c r="G154" s="4">
        <f t="shared" si="4"/>
        <v>878.15111999999999</v>
      </c>
      <c r="H154" s="4">
        <f t="shared" si="3"/>
        <v>5499.9991200000004</v>
      </c>
      <c r="I154" s="4"/>
      <c r="J154" s="4"/>
    </row>
    <row r="155" spans="1:10">
      <c r="A155" s="1">
        <v>154</v>
      </c>
      <c r="B155" s="1" t="s">
        <v>155</v>
      </c>
      <c r="C155" s="9">
        <v>44510</v>
      </c>
      <c r="D155" s="1" t="s">
        <v>39</v>
      </c>
      <c r="E155" s="1">
        <v>132</v>
      </c>
      <c r="F155" s="4">
        <v>12605</v>
      </c>
      <c r="G155" s="4">
        <f t="shared" si="4"/>
        <v>2394.9499999999998</v>
      </c>
      <c r="H155" s="4">
        <f t="shared" si="3"/>
        <v>14999.95</v>
      </c>
      <c r="I155" s="4"/>
      <c r="J155" s="4"/>
    </row>
    <row r="156" spans="1:10">
      <c r="A156" s="1">
        <v>155</v>
      </c>
      <c r="B156" s="1" t="s">
        <v>539</v>
      </c>
      <c r="C156" s="9">
        <v>44511</v>
      </c>
      <c r="D156" s="1" t="s">
        <v>39</v>
      </c>
      <c r="E156" s="1">
        <v>134</v>
      </c>
      <c r="F156" s="4">
        <v>30084</v>
      </c>
      <c r="G156" s="4">
        <f t="shared" si="4"/>
        <v>5715.96</v>
      </c>
      <c r="H156" s="4">
        <f t="shared" si="3"/>
        <v>35799.96</v>
      </c>
      <c r="I156" s="4"/>
      <c r="J156" s="4"/>
    </row>
    <row r="157" spans="1:10">
      <c r="A157" s="1">
        <v>156</v>
      </c>
      <c r="B157" s="1" t="s">
        <v>540</v>
      </c>
      <c r="C157" s="9">
        <v>44513</v>
      </c>
      <c r="D157" s="1" t="s">
        <v>39</v>
      </c>
      <c r="E157" s="1">
        <v>133</v>
      </c>
      <c r="F157" s="4">
        <v>14705.88</v>
      </c>
      <c r="G157" s="4">
        <f t="shared" si="4"/>
        <v>2794.1171999999997</v>
      </c>
      <c r="H157" s="4">
        <f t="shared" si="3"/>
        <v>17499.997199999998</v>
      </c>
      <c r="I157" s="4"/>
      <c r="J157" s="4"/>
    </row>
    <row r="158" spans="1:10">
      <c r="A158" s="1">
        <v>157</v>
      </c>
      <c r="B158" s="1" t="s">
        <v>541</v>
      </c>
      <c r="C158" s="9">
        <v>44522</v>
      </c>
      <c r="D158" s="1" t="s">
        <v>39</v>
      </c>
      <c r="E158" s="1">
        <v>135</v>
      </c>
      <c r="F158" s="4">
        <v>16806.722000000002</v>
      </c>
      <c r="G158" s="4">
        <f t="shared" si="4"/>
        <v>3193.2771800000005</v>
      </c>
      <c r="H158" s="4">
        <f t="shared" si="3"/>
        <v>19999.999180000003</v>
      </c>
      <c r="I158" s="4"/>
      <c r="J158" s="4"/>
    </row>
    <row r="159" spans="1:10">
      <c r="A159" s="1">
        <v>158</v>
      </c>
      <c r="B159" s="1" t="s">
        <v>542</v>
      </c>
      <c r="C159" s="9">
        <v>44521</v>
      </c>
      <c r="D159" s="1" t="s">
        <v>39</v>
      </c>
      <c r="E159" s="1">
        <v>136</v>
      </c>
      <c r="F159" s="4">
        <v>21008.400000000001</v>
      </c>
      <c r="G159" s="4">
        <f t="shared" si="4"/>
        <v>3991.5960000000005</v>
      </c>
      <c r="H159" s="4">
        <f t="shared" si="3"/>
        <v>24999.996000000003</v>
      </c>
      <c r="I159" s="4"/>
      <c r="J159" s="4"/>
    </row>
    <row r="160" spans="1:10">
      <c r="A160" s="1">
        <v>159</v>
      </c>
      <c r="B160" s="1" t="s">
        <v>510</v>
      </c>
      <c r="C160" s="9">
        <v>44530</v>
      </c>
      <c r="D160" s="1" t="s">
        <v>39</v>
      </c>
      <c r="E160" s="1">
        <v>137</v>
      </c>
      <c r="F160" s="4">
        <v>16807</v>
      </c>
      <c r="G160" s="4">
        <f t="shared" si="4"/>
        <v>3193.33</v>
      </c>
      <c r="H160" s="4">
        <f t="shared" si="3"/>
        <v>20000.330000000002</v>
      </c>
      <c r="I160" s="4"/>
      <c r="J160" s="4"/>
    </row>
    <row r="161" spans="1:10">
      <c r="A161" s="1">
        <v>160</v>
      </c>
      <c r="B161" s="1" t="s">
        <v>543</v>
      </c>
      <c r="C161" s="9">
        <v>44530</v>
      </c>
      <c r="D161" s="1" t="s">
        <v>39</v>
      </c>
      <c r="E161" s="1">
        <v>138</v>
      </c>
      <c r="F161" s="4">
        <v>14789.915000000001</v>
      </c>
      <c r="G161" s="4">
        <f t="shared" si="4"/>
        <v>2810.08385</v>
      </c>
      <c r="H161" s="4">
        <f t="shared" si="3"/>
        <v>17599.99885</v>
      </c>
      <c r="I161" s="4"/>
      <c r="J161" s="4"/>
    </row>
    <row r="162" spans="1:10">
      <c r="A162" s="1">
        <v>161</v>
      </c>
      <c r="B162" s="1" t="s">
        <v>544</v>
      </c>
      <c r="C162" s="9">
        <v>44531</v>
      </c>
      <c r="D162" s="1" t="s">
        <v>39</v>
      </c>
      <c r="E162" s="1">
        <v>139</v>
      </c>
      <c r="F162" s="4">
        <v>31932.77</v>
      </c>
      <c r="G162" s="4">
        <f t="shared" si="4"/>
        <v>6067.2263000000003</v>
      </c>
      <c r="H162" s="4">
        <f t="shared" si="3"/>
        <v>37999.996299999999</v>
      </c>
      <c r="I162" s="4"/>
      <c r="J162" s="4"/>
    </row>
    <row r="163" spans="1:10">
      <c r="A163" s="1">
        <v>162</v>
      </c>
      <c r="B163" s="1" t="s">
        <v>545</v>
      </c>
      <c r="C163" s="9">
        <v>44531</v>
      </c>
      <c r="D163" s="1" t="s">
        <v>39</v>
      </c>
      <c r="E163" s="1">
        <v>140</v>
      </c>
      <c r="F163" s="4">
        <v>61344.536999999997</v>
      </c>
      <c r="G163" s="4">
        <f t="shared" si="4"/>
        <v>11655.462029999999</v>
      </c>
      <c r="H163" s="4">
        <f t="shared" si="3"/>
        <v>72999.999029999992</v>
      </c>
      <c r="I163" s="4"/>
      <c r="J163" s="4"/>
    </row>
    <row r="164" spans="1:10">
      <c r="A164" s="1">
        <v>163</v>
      </c>
      <c r="B164" s="1" t="s">
        <v>546</v>
      </c>
      <c r="C164" s="9">
        <v>44531</v>
      </c>
      <c r="D164" s="1" t="s">
        <v>39</v>
      </c>
      <c r="E164" s="1">
        <v>141</v>
      </c>
      <c r="F164" s="4">
        <v>4201.68</v>
      </c>
      <c r="G164" s="4">
        <f t="shared" si="4"/>
        <v>798.31920000000002</v>
      </c>
      <c r="H164" s="4">
        <f t="shared" si="3"/>
        <v>4999.9992000000002</v>
      </c>
      <c r="I164" s="4"/>
      <c r="J164" s="4"/>
    </row>
    <row r="165" spans="1:10">
      <c r="A165" s="1">
        <v>164</v>
      </c>
      <c r="B165" s="1" t="s">
        <v>547</v>
      </c>
      <c r="C165" s="9">
        <v>44534</v>
      </c>
      <c r="D165" s="1" t="s">
        <v>39</v>
      </c>
      <c r="E165" s="1">
        <v>142</v>
      </c>
      <c r="F165" s="4">
        <v>16807</v>
      </c>
      <c r="G165" s="4">
        <f t="shared" si="4"/>
        <v>3193.33</v>
      </c>
      <c r="H165" s="4">
        <f t="shared" si="3"/>
        <v>20000.330000000002</v>
      </c>
      <c r="I165" s="4"/>
      <c r="J165" s="4"/>
    </row>
    <row r="166" spans="1:10">
      <c r="A166" s="1">
        <v>165</v>
      </c>
      <c r="B166" s="1" t="s">
        <v>548</v>
      </c>
      <c r="C166" s="9">
        <v>44535</v>
      </c>
      <c r="D166" s="1" t="s">
        <v>39</v>
      </c>
      <c r="E166" s="1">
        <v>143</v>
      </c>
      <c r="F166" s="4">
        <v>26050.42</v>
      </c>
      <c r="G166" s="4">
        <f t="shared" si="4"/>
        <v>4949.5797999999995</v>
      </c>
      <c r="H166" s="4">
        <f t="shared" si="3"/>
        <v>30999.999799999998</v>
      </c>
      <c r="I166" s="4"/>
      <c r="J166" s="4"/>
    </row>
    <row r="167" spans="1:10">
      <c r="A167" s="1">
        <v>166</v>
      </c>
      <c r="B167" s="1" t="s">
        <v>549</v>
      </c>
      <c r="C167" s="9">
        <v>44539</v>
      </c>
      <c r="D167" s="1" t="s">
        <v>39</v>
      </c>
      <c r="E167" s="1">
        <v>144</v>
      </c>
      <c r="F167" s="4">
        <v>29411.764709999999</v>
      </c>
      <c r="G167" s="4">
        <f t="shared" si="4"/>
        <v>5588.2352948999996</v>
      </c>
      <c r="H167" s="4">
        <f t="shared" si="3"/>
        <v>35000.000004900001</v>
      </c>
      <c r="I167" s="4"/>
      <c r="J167" s="4"/>
    </row>
    <row r="168" spans="1:10">
      <c r="A168" s="1">
        <v>167</v>
      </c>
      <c r="B168" s="1" t="s">
        <v>550</v>
      </c>
      <c r="C168" s="9">
        <v>44540</v>
      </c>
      <c r="D168" s="1" t="s">
        <v>39</v>
      </c>
      <c r="E168" s="1">
        <v>145</v>
      </c>
      <c r="F168" s="4">
        <v>33445.377999999997</v>
      </c>
      <c r="G168" s="4">
        <f t="shared" si="4"/>
        <v>6354.6218199999994</v>
      </c>
      <c r="H168" s="4">
        <f t="shared" si="3"/>
        <v>39799.999819999997</v>
      </c>
      <c r="I168" s="4"/>
      <c r="J168" s="4"/>
    </row>
    <row r="169" spans="1:10">
      <c r="A169" s="1">
        <v>168</v>
      </c>
      <c r="B169" s="1" t="s">
        <v>501</v>
      </c>
      <c r="C169" s="9">
        <v>44544</v>
      </c>
      <c r="D169" s="1" t="s">
        <v>39</v>
      </c>
      <c r="E169" s="1">
        <v>146</v>
      </c>
      <c r="F169" s="4">
        <v>12605</v>
      </c>
      <c r="G169" s="4">
        <f t="shared" si="4"/>
        <v>2394.9499999999998</v>
      </c>
      <c r="H169" s="4">
        <f t="shared" si="3"/>
        <v>14999.95</v>
      </c>
      <c r="I169" s="4"/>
      <c r="J169" s="4"/>
    </row>
    <row r="170" spans="1:10">
      <c r="A170" s="1">
        <v>169</v>
      </c>
      <c r="B170" s="1" t="s">
        <v>551</v>
      </c>
      <c r="C170" s="9">
        <v>44544</v>
      </c>
      <c r="D170" s="1" t="s">
        <v>39</v>
      </c>
      <c r="E170" s="1">
        <v>147</v>
      </c>
      <c r="F170" s="4">
        <v>8403.36</v>
      </c>
      <c r="G170" s="4">
        <f t="shared" si="4"/>
        <v>1596.6384</v>
      </c>
      <c r="H170" s="4">
        <f t="shared" si="3"/>
        <v>9999.9984000000004</v>
      </c>
      <c r="I170" s="4"/>
      <c r="J170" s="4"/>
    </row>
    <row r="171" spans="1:10">
      <c r="A171" s="1">
        <v>170</v>
      </c>
      <c r="B171" s="1" t="s">
        <v>124</v>
      </c>
      <c r="C171" s="9">
        <v>44546</v>
      </c>
      <c r="D171" s="1" t="s">
        <v>39</v>
      </c>
      <c r="E171" s="1">
        <v>148</v>
      </c>
      <c r="F171" s="4">
        <v>12605</v>
      </c>
      <c r="G171" s="4">
        <f t="shared" si="4"/>
        <v>2394.9499999999998</v>
      </c>
      <c r="H171" s="4">
        <f t="shared" si="3"/>
        <v>14999.95</v>
      </c>
      <c r="I171" s="4"/>
      <c r="J171" s="4"/>
    </row>
    <row r="172" spans="1:10">
      <c r="A172" s="1">
        <v>171</v>
      </c>
      <c r="B172" s="1" t="s">
        <v>552</v>
      </c>
      <c r="C172" s="9">
        <v>44546</v>
      </c>
      <c r="D172" s="1" t="s">
        <v>39</v>
      </c>
      <c r="E172" s="1">
        <v>149</v>
      </c>
      <c r="F172" s="4">
        <v>16806.72</v>
      </c>
      <c r="G172" s="4">
        <f t="shared" si="4"/>
        <v>3193.2768000000001</v>
      </c>
      <c r="H172" s="4">
        <f t="shared" si="3"/>
        <v>19999.996800000001</v>
      </c>
      <c r="I172" s="4"/>
      <c r="J172" s="4"/>
    </row>
    <row r="173" spans="1:10">
      <c r="A173" s="1">
        <v>172</v>
      </c>
      <c r="B173" s="1" t="s">
        <v>553</v>
      </c>
      <c r="C173" s="9">
        <v>44546</v>
      </c>
      <c r="D173" s="1"/>
      <c r="F173" s="4">
        <v>4202</v>
      </c>
      <c r="G173" s="4">
        <f t="shared" si="4"/>
        <v>798.38</v>
      </c>
      <c r="H173" s="4">
        <f t="shared" si="3"/>
        <v>5000.38</v>
      </c>
      <c r="I173" s="4"/>
      <c r="J173" s="4"/>
    </row>
    <row r="174" spans="1:10">
      <c r="A174" s="1">
        <v>173</v>
      </c>
      <c r="B174" s="1" t="s">
        <v>554</v>
      </c>
      <c r="C174" s="9">
        <v>44546</v>
      </c>
      <c r="D174" s="1" t="s">
        <v>39</v>
      </c>
      <c r="E174" s="1">
        <v>150</v>
      </c>
      <c r="F174" s="4">
        <v>17647.05</v>
      </c>
      <c r="G174" s="4">
        <f t="shared" si="4"/>
        <v>3352.9395</v>
      </c>
      <c r="H174" s="4">
        <f t="shared" si="3"/>
        <v>20999.9895</v>
      </c>
      <c r="I174" s="4"/>
      <c r="J174" s="4"/>
    </row>
    <row r="175" spans="1:10">
      <c r="A175" s="1">
        <v>174</v>
      </c>
      <c r="B175" s="1" t="s">
        <v>501</v>
      </c>
      <c r="C175" s="9">
        <v>44549</v>
      </c>
      <c r="D175" s="1" t="s">
        <v>39</v>
      </c>
      <c r="E175" s="1">
        <v>152</v>
      </c>
      <c r="F175" s="4">
        <v>12605</v>
      </c>
      <c r="G175" s="4">
        <f t="shared" si="4"/>
        <v>2394.9499999999998</v>
      </c>
      <c r="H175" s="4">
        <f t="shared" si="3"/>
        <v>14999.95</v>
      </c>
      <c r="I175" s="4"/>
      <c r="J175" s="4"/>
    </row>
    <row r="176" spans="1:10">
      <c r="A176" s="1">
        <v>175</v>
      </c>
      <c r="B176" s="1" t="s">
        <v>555</v>
      </c>
      <c r="C176" s="9"/>
      <c r="D176" s="1"/>
      <c r="E176" s="1">
        <v>151</v>
      </c>
      <c r="F176" s="4"/>
      <c r="G176" s="4"/>
      <c r="H176" s="4"/>
      <c r="I176" s="4"/>
      <c r="J176" s="4"/>
    </row>
    <row r="177" spans="1:10">
      <c r="A177" s="1">
        <v>176</v>
      </c>
      <c r="B177" s="1" t="s">
        <v>556</v>
      </c>
      <c r="C177" s="9">
        <v>44549</v>
      </c>
      <c r="D177" s="1" t="s">
        <v>39</v>
      </c>
      <c r="E177" s="1">
        <v>153</v>
      </c>
      <c r="F177" s="4">
        <v>39495.798000000003</v>
      </c>
      <c r="G177" s="4">
        <f t="shared" ref="G177:G431" si="5">F177*0.19</f>
        <v>7504.2016200000007</v>
      </c>
      <c r="H177" s="4">
        <f t="shared" ref="H177:H431" si="6">F177+G177</f>
        <v>46999.999620000002</v>
      </c>
      <c r="I177" s="4"/>
      <c r="J177" s="4"/>
    </row>
    <row r="178" spans="1:10">
      <c r="A178" s="1">
        <v>177</v>
      </c>
      <c r="B178" s="1" t="s">
        <v>557</v>
      </c>
      <c r="C178" s="9">
        <v>44551</v>
      </c>
      <c r="D178" s="1" t="s">
        <v>39</v>
      </c>
      <c r="E178" s="1">
        <v>154</v>
      </c>
      <c r="F178" s="4">
        <v>33613.445</v>
      </c>
      <c r="G178" s="4">
        <f t="shared" si="5"/>
        <v>6386.5545499999998</v>
      </c>
      <c r="H178" s="4">
        <f t="shared" si="6"/>
        <v>39999.99955</v>
      </c>
      <c r="I178" s="4"/>
      <c r="J178" s="4"/>
    </row>
    <row r="179" spans="1:10">
      <c r="A179" s="1">
        <v>178</v>
      </c>
      <c r="B179" s="1" t="s">
        <v>453</v>
      </c>
      <c r="C179" s="9">
        <v>44552</v>
      </c>
      <c r="D179" s="1" t="s">
        <v>39</v>
      </c>
      <c r="E179" s="1">
        <v>155</v>
      </c>
      <c r="F179" s="4">
        <v>4873.9489999999996</v>
      </c>
      <c r="G179" s="4">
        <f t="shared" si="5"/>
        <v>926.05030999999997</v>
      </c>
      <c r="H179" s="4">
        <f t="shared" si="6"/>
        <v>5799.9993099999992</v>
      </c>
      <c r="I179" s="4"/>
      <c r="J179" s="4"/>
    </row>
    <row r="180" spans="1:10">
      <c r="A180" s="1">
        <v>179</v>
      </c>
      <c r="B180" s="1" t="s">
        <v>558</v>
      </c>
      <c r="C180" s="9">
        <v>44552</v>
      </c>
      <c r="D180" s="1" t="s">
        <v>39</v>
      </c>
      <c r="E180" s="1">
        <v>156</v>
      </c>
      <c r="F180" s="4">
        <v>30252.1</v>
      </c>
      <c r="G180" s="4">
        <f t="shared" si="5"/>
        <v>5747.8989999999994</v>
      </c>
      <c r="H180" s="4">
        <f t="shared" si="6"/>
        <v>35999.998999999996</v>
      </c>
      <c r="I180" s="4"/>
      <c r="J180" s="4"/>
    </row>
    <row r="181" spans="1:10">
      <c r="A181" s="1">
        <v>180</v>
      </c>
      <c r="B181" s="1" t="s">
        <v>559</v>
      </c>
      <c r="C181" s="9">
        <v>44554</v>
      </c>
      <c r="D181" s="1" t="s">
        <v>39</v>
      </c>
      <c r="E181" s="1">
        <v>157</v>
      </c>
      <c r="F181" s="4">
        <v>33613.445</v>
      </c>
      <c r="G181" s="4">
        <f t="shared" si="5"/>
        <v>6386.5545499999998</v>
      </c>
      <c r="H181" s="4">
        <f t="shared" si="6"/>
        <v>39999.99955</v>
      </c>
      <c r="I181" s="4"/>
      <c r="J181" s="4"/>
    </row>
    <row r="182" spans="1:10">
      <c r="A182" s="1">
        <v>181</v>
      </c>
      <c r="B182" s="1" t="s">
        <v>560</v>
      </c>
      <c r="C182" s="9">
        <v>44554</v>
      </c>
      <c r="D182" s="1" t="s">
        <v>39</v>
      </c>
      <c r="E182" s="1">
        <v>158</v>
      </c>
      <c r="F182" s="4">
        <v>12605</v>
      </c>
      <c r="G182" s="4">
        <f t="shared" si="5"/>
        <v>2394.9499999999998</v>
      </c>
      <c r="H182" s="4">
        <f t="shared" si="6"/>
        <v>14999.95</v>
      </c>
      <c r="I182" s="4"/>
      <c r="J182" s="4"/>
    </row>
    <row r="183" spans="1:10">
      <c r="A183" s="1">
        <v>182</v>
      </c>
      <c r="B183" s="1" t="s">
        <v>510</v>
      </c>
      <c r="C183" s="9">
        <v>44554</v>
      </c>
      <c r="D183" s="1" t="s">
        <v>39</v>
      </c>
      <c r="E183" s="1">
        <v>159</v>
      </c>
      <c r="F183" s="4">
        <v>16807</v>
      </c>
      <c r="G183" s="4">
        <f t="shared" si="5"/>
        <v>3193.33</v>
      </c>
      <c r="H183" s="4">
        <f t="shared" si="6"/>
        <v>20000.330000000002</v>
      </c>
      <c r="I183" s="4"/>
      <c r="J183" s="4"/>
    </row>
    <row r="184" spans="1:10">
      <c r="A184" s="1">
        <v>183</v>
      </c>
      <c r="B184" s="1" t="s">
        <v>510</v>
      </c>
      <c r="C184" s="9">
        <v>44555</v>
      </c>
      <c r="D184" s="1" t="s">
        <v>39</v>
      </c>
      <c r="E184" s="1">
        <v>160</v>
      </c>
      <c r="F184" s="4">
        <v>16807</v>
      </c>
      <c r="G184" s="4">
        <f t="shared" si="5"/>
        <v>3193.33</v>
      </c>
      <c r="H184" s="4">
        <f t="shared" si="6"/>
        <v>20000.330000000002</v>
      </c>
      <c r="I184" s="4"/>
      <c r="J184" s="4"/>
    </row>
    <row r="185" spans="1:10">
      <c r="A185" s="1">
        <v>184</v>
      </c>
      <c r="B185" s="1" t="s">
        <v>561</v>
      </c>
      <c r="C185" s="9">
        <v>44560</v>
      </c>
      <c r="D185" s="1" t="s">
        <v>39</v>
      </c>
      <c r="E185" s="1">
        <v>162</v>
      </c>
      <c r="F185" s="4">
        <v>42016.805999999997</v>
      </c>
      <c r="G185" s="4">
        <f t="shared" si="5"/>
        <v>7983.1931399999994</v>
      </c>
      <c r="H185" s="4">
        <f t="shared" si="6"/>
        <v>49999.99914</v>
      </c>
      <c r="I185" s="4"/>
      <c r="J185" s="4"/>
    </row>
    <row r="186" spans="1:10">
      <c r="A186" s="1">
        <v>185</v>
      </c>
      <c r="B186" s="1" t="s">
        <v>562</v>
      </c>
      <c r="C186" s="9">
        <v>44560</v>
      </c>
      <c r="D186" s="1" t="s">
        <v>39</v>
      </c>
      <c r="E186" s="1">
        <v>161</v>
      </c>
      <c r="F186" s="4">
        <v>26890.756000000001</v>
      </c>
      <c r="G186" s="4">
        <f t="shared" si="5"/>
        <v>5109.2436400000006</v>
      </c>
      <c r="H186" s="4">
        <f t="shared" si="6"/>
        <v>31999.999640000002</v>
      </c>
      <c r="I186" s="4"/>
      <c r="J186" s="4"/>
    </row>
    <row r="187" spans="1:10">
      <c r="A187" s="1">
        <v>186</v>
      </c>
      <c r="B187" s="1" t="s">
        <v>563</v>
      </c>
      <c r="C187" s="9">
        <v>44565</v>
      </c>
      <c r="D187" s="1" t="s">
        <v>39</v>
      </c>
      <c r="E187" s="1">
        <v>163</v>
      </c>
      <c r="F187" s="4">
        <v>28571.428</v>
      </c>
      <c r="G187" s="4">
        <f t="shared" si="5"/>
        <v>5428.57132</v>
      </c>
      <c r="H187" s="4">
        <f t="shared" si="6"/>
        <v>33999.999320000003</v>
      </c>
      <c r="I187" s="4"/>
      <c r="J187" s="4"/>
    </row>
    <row r="188" spans="1:10">
      <c r="A188" s="1">
        <v>187</v>
      </c>
      <c r="B188" s="1" t="s">
        <v>564</v>
      </c>
      <c r="C188" s="9">
        <v>44565</v>
      </c>
      <c r="D188" s="1" t="s">
        <v>39</v>
      </c>
      <c r="E188" s="1">
        <v>164</v>
      </c>
      <c r="F188" s="4">
        <v>26890.75</v>
      </c>
      <c r="G188" s="4">
        <f t="shared" si="5"/>
        <v>5109.2425000000003</v>
      </c>
      <c r="H188" s="4">
        <f t="shared" si="6"/>
        <v>31999.9925</v>
      </c>
      <c r="I188" s="4"/>
      <c r="J188" s="4"/>
    </row>
    <row r="189" spans="1:10">
      <c r="A189" s="1">
        <v>188</v>
      </c>
      <c r="B189" s="14" t="s">
        <v>155</v>
      </c>
      <c r="C189" s="9">
        <v>44565</v>
      </c>
      <c r="D189" s="1" t="s">
        <v>39</v>
      </c>
      <c r="E189" s="1">
        <v>165</v>
      </c>
      <c r="F189" s="4">
        <v>12605</v>
      </c>
      <c r="G189" s="4">
        <f t="shared" si="5"/>
        <v>2394.9499999999998</v>
      </c>
      <c r="H189" s="4">
        <f t="shared" si="6"/>
        <v>14999.95</v>
      </c>
      <c r="I189" s="4"/>
      <c r="J189" s="4"/>
    </row>
    <row r="190" spans="1:10">
      <c r="A190" s="1">
        <v>189</v>
      </c>
      <c r="B190" s="1" t="s">
        <v>565</v>
      </c>
      <c r="C190" s="9">
        <v>44568</v>
      </c>
      <c r="D190" s="1" t="s">
        <v>39</v>
      </c>
      <c r="E190" s="1">
        <v>166</v>
      </c>
      <c r="F190" s="4">
        <v>23529.411</v>
      </c>
      <c r="G190" s="4">
        <f t="shared" si="5"/>
        <v>4470.5880900000002</v>
      </c>
      <c r="H190" s="4">
        <f t="shared" si="6"/>
        <v>27999.999090000001</v>
      </c>
      <c r="I190" s="4"/>
      <c r="J190" s="4"/>
    </row>
    <row r="191" spans="1:10">
      <c r="A191" s="1">
        <v>190</v>
      </c>
      <c r="B191" s="1" t="s">
        <v>512</v>
      </c>
      <c r="C191" s="9">
        <v>44570</v>
      </c>
      <c r="D191" s="1" t="s">
        <v>39</v>
      </c>
      <c r="E191" s="1">
        <v>167</v>
      </c>
      <c r="F191" s="4">
        <v>12605</v>
      </c>
      <c r="G191" s="4">
        <f t="shared" si="5"/>
        <v>2394.9499999999998</v>
      </c>
      <c r="H191" s="4">
        <f t="shared" si="6"/>
        <v>14999.95</v>
      </c>
      <c r="I191" s="4"/>
      <c r="J191" s="4"/>
    </row>
    <row r="192" spans="1:10">
      <c r="A192" s="1">
        <v>191</v>
      </c>
      <c r="B192" s="1" t="s">
        <v>566</v>
      </c>
      <c r="C192" s="9">
        <v>44572</v>
      </c>
      <c r="D192" s="1" t="s">
        <v>39</v>
      </c>
      <c r="E192" s="1">
        <v>168</v>
      </c>
      <c r="F192" s="4">
        <v>33613.445</v>
      </c>
      <c r="G192" s="4">
        <f t="shared" si="5"/>
        <v>6386.5545499999998</v>
      </c>
      <c r="H192" s="4">
        <f t="shared" si="6"/>
        <v>39999.99955</v>
      </c>
      <c r="I192" s="4"/>
      <c r="J192" s="4"/>
    </row>
    <row r="193" spans="1:10">
      <c r="A193" s="1">
        <v>192</v>
      </c>
      <c r="B193" s="1" t="s">
        <v>567</v>
      </c>
      <c r="C193" s="9">
        <v>44572</v>
      </c>
      <c r="D193" s="1" t="s">
        <v>39</v>
      </c>
      <c r="E193" s="1">
        <v>169</v>
      </c>
      <c r="F193" s="4">
        <v>105210.084</v>
      </c>
      <c r="G193" s="4">
        <f t="shared" si="5"/>
        <v>19989.915960000002</v>
      </c>
      <c r="H193" s="4">
        <f t="shared" si="6"/>
        <v>125199.99996</v>
      </c>
      <c r="I193" s="4"/>
      <c r="J193" s="4"/>
    </row>
    <row r="194" spans="1:10">
      <c r="A194" s="1">
        <v>193</v>
      </c>
      <c r="B194" s="1" t="s">
        <v>567</v>
      </c>
      <c r="C194" s="9">
        <v>44574</v>
      </c>
      <c r="D194" s="1"/>
      <c r="E194" s="1"/>
      <c r="F194" s="4">
        <v>105210</v>
      </c>
      <c r="G194" s="4">
        <v>19990</v>
      </c>
      <c r="H194" s="4">
        <v>125200</v>
      </c>
      <c r="I194" s="4"/>
      <c r="J194" s="4"/>
    </row>
    <row r="195" spans="1:10">
      <c r="A195" s="1">
        <v>194</v>
      </c>
      <c r="B195" s="1" t="s">
        <v>505</v>
      </c>
      <c r="C195" s="9">
        <v>44572</v>
      </c>
      <c r="D195" s="1" t="s">
        <v>39</v>
      </c>
      <c r="E195" s="1">
        <v>170</v>
      </c>
      <c r="F195" s="4">
        <v>12605</v>
      </c>
      <c r="G195" s="4">
        <f t="shared" si="5"/>
        <v>2394.9499999999998</v>
      </c>
      <c r="H195" s="4">
        <f t="shared" si="6"/>
        <v>14999.95</v>
      </c>
      <c r="I195" s="4"/>
      <c r="J195" s="4"/>
    </row>
    <row r="196" spans="1:10">
      <c r="A196" s="1">
        <v>195</v>
      </c>
      <c r="B196" s="1" t="s">
        <v>567</v>
      </c>
      <c r="C196" s="9">
        <v>44574</v>
      </c>
      <c r="D196" s="1" t="s">
        <v>12</v>
      </c>
      <c r="E196" s="1">
        <v>3</v>
      </c>
      <c r="F196" s="4">
        <v>105210</v>
      </c>
      <c r="G196" s="4">
        <f t="shared" si="5"/>
        <v>19989.900000000001</v>
      </c>
      <c r="H196" s="4">
        <f t="shared" si="6"/>
        <v>125199.9</v>
      </c>
      <c r="I196" s="4"/>
      <c r="J196" s="4"/>
    </row>
    <row r="197" spans="1:10">
      <c r="A197" s="1">
        <v>196</v>
      </c>
      <c r="B197" s="1" t="s">
        <v>568</v>
      </c>
      <c r="C197" s="7">
        <v>44574</v>
      </c>
      <c r="D197" s="1" t="s">
        <v>39</v>
      </c>
      <c r="E197" s="1">
        <v>171</v>
      </c>
      <c r="F197" s="4">
        <v>33109.24</v>
      </c>
      <c r="G197" s="4">
        <f t="shared" si="5"/>
        <v>6290.7555999999995</v>
      </c>
      <c r="H197" s="4">
        <f t="shared" si="6"/>
        <v>39399.995599999995</v>
      </c>
      <c r="I197" s="4"/>
      <c r="J197" s="4"/>
    </row>
    <row r="198" spans="1:10">
      <c r="A198" s="1">
        <v>197</v>
      </c>
      <c r="B198" s="1" t="s">
        <v>569</v>
      </c>
      <c r="C198" s="9">
        <v>44576</v>
      </c>
      <c r="D198" s="1" t="s">
        <v>39</v>
      </c>
      <c r="E198" s="1">
        <v>172</v>
      </c>
      <c r="F198" s="4">
        <v>50420.167999999998</v>
      </c>
      <c r="G198" s="4">
        <f t="shared" si="5"/>
        <v>9579.8319200000005</v>
      </c>
      <c r="H198" s="4">
        <f t="shared" si="6"/>
        <v>59999.999920000002</v>
      </c>
      <c r="I198" s="4"/>
      <c r="J198" s="4"/>
    </row>
    <row r="199" spans="1:10">
      <c r="A199" s="1">
        <v>198</v>
      </c>
      <c r="B199" s="1" t="s">
        <v>155</v>
      </c>
      <c r="C199" s="7">
        <v>44579</v>
      </c>
      <c r="D199" s="1" t="s">
        <v>39</v>
      </c>
      <c r="E199" s="1">
        <v>173</v>
      </c>
      <c r="F199" s="4">
        <v>12605</v>
      </c>
      <c r="G199" s="4">
        <f t="shared" si="5"/>
        <v>2394.9499999999998</v>
      </c>
      <c r="H199" s="4">
        <f t="shared" si="6"/>
        <v>14999.95</v>
      </c>
      <c r="I199" s="4"/>
      <c r="J199" s="4"/>
    </row>
    <row r="200" spans="1:10">
      <c r="A200" s="1">
        <v>199</v>
      </c>
      <c r="B200" s="1" t="s">
        <v>570</v>
      </c>
      <c r="C200" s="9">
        <v>44579</v>
      </c>
      <c r="D200" s="1" t="s">
        <v>39</v>
      </c>
      <c r="E200" s="1">
        <v>174</v>
      </c>
      <c r="F200" s="4">
        <v>25210.080000000002</v>
      </c>
      <c r="G200" s="4">
        <f t="shared" si="5"/>
        <v>4789.9152000000004</v>
      </c>
      <c r="H200" s="4">
        <f t="shared" si="6"/>
        <v>29999.995200000001</v>
      </c>
      <c r="I200" s="4"/>
      <c r="J200" s="4"/>
    </row>
    <row r="201" spans="1:10">
      <c r="A201" s="1">
        <v>200</v>
      </c>
      <c r="B201" s="1" t="s">
        <v>138</v>
      </c>
      <c r="C201" s="9">
        <v>44580</v>
      </c>
      <c r="D201" s="1" t="s">
        <v>39</v>
      </c>
      <c r="E201" s="1">
        <v>175</v>
      </c>
      <c r="F201" s="4">
        <v>52941.175999999999</v>
      </c>
      <c r="G201" s="4">
        <f t="shared" si="5"/>
        <v>10058.82344</v>
      </c>
      <c r="H201" s="4">
        <f t="shared" si="6"/>
        <v>62999.99944</v>
      </c>
      <c r="I201" s="4"/>
      <c r="J201" s="4"/>
    </row>
    <row r="202" spans="1:10">
      <c r="A202" s="1">
        <v>201</v>
      </c>
      <c r="B202" s="1" t="s">
        <v>571</v>
      </c>
      <c r="C202" s="9">
        <v>44582</v>
      </c>
      <c r="D202" s="1" t="s">
        <v>39</v>
      </c>
      <c r="E202" s="1">
        <v>176</v>
      </c>
      <c r="F202" s="4">
        <v>25210</v>
      </c>
      <c r="G202" s="4">
        <f t="shared" si="5"/>
        <v>4789.8999999999996</v>
      </c>
      <c r="H202" s="4">
        <f t="shared" si="6"/>
        <v>29999.9</v>
      </c>
      <c r="I202" s="4"/>
      <c r="J202" s="4"/>
    </row>
    <row r="203" spans="1:10">
      <c r="A203" s="1">
        <v>202</v>
      </c>
      <c r="B203" s="1" t="s">
        <v>512</v>
      </c>
      <c r="C203" s="9">
        <v>44583</v>
      </c>
      <c r="D203" s="1" t="s">
        <v>39</v>
      </c>
      <c r="E203" s="1">
        <v>177</v>
      </c>
      <c r="F203" s="4">
        <v>12605</v>
      </c>
      <c r="G203" s="4">
        <f t="shared" si="5"/>
        <v>2394.9499999999998</v>
      </c>
      <c r="H203" s="4">
        <f t="shared" si="6"/>
        <v>14999.95</v>
      </c>
      <c r="I203" s="4"/>
      <c r="J203" s="4"/>
    </row>
    <row r="204" spans="1:10">
      <c r="A204" s="1">
        <v>203</v>
      </c>
      <c r="B204" s="1" t="s">
        <v>155</v>
      </c>
      <c r="C204" s="7">
        <v>44587</v>
      </c>
      <c r="D204" s="1" t="s">
        <v>39</v>
      </c>
      <c r="E204" s="1">
        <v>178</v>
      </c>
      <c r="F204" s="4">
        <v>12605</v>
      </c>
      <c r="G204" s="4">
        <f t="shared" si="5"/>
        <v>2394.9499999999998</v>
      </c>
      <c r="H204" s="4">
        <f t="shared" si="6"/>
        <v>14999.95</v>
      </c>
      <c r="I204" s="4"/>
      <c r="J204" s="4"/>
    </row>
    <row r="205" spans="1:10">
      <c r="A205" s="1">
        <v>204</v>
      </c>
      <c r="B205" s="1" t="s">
        <v>155</v>
      </c>
      <c r="C205" s="7">
        <v>44587</v>
      </c>
      <c r="D205" s="1" t="s">
        <v>39</v>
      </c>
      <c r="E205" s="1">
        <v>179</v>
      </c>
      <c r="F205" s="4">
        <v>12605</v>
      </c>
      <c r="G205" s="4">
        <f t="shared" si="5"/>
        <v>2394.9499999999998</v>
      </c>
      <c r="H205" s="4">
        <f t="shared" si="6"/>
        <v>14999.95</v>
      </c>
      <c r="I205" s="4"/>
      <c r="J205" s="4"/>
    </row>
    <row r="206" spans="1:10">
      <c r="A206" s="1">
        <v>205</v>
      </c>
      <c r="B206" s="1" t="s">
        <v>572</v>
      </c>
      <c r="C206" s="9">
        <v>44593</v>
      </c>
      <c r="D206" s="1" t="s">
        <v>39</v>
      </c>
      <c r="E206" s="1">
        <v>180</v>
      </c>
      <c r="F206" s="4">
        <v>10084</v>
      </c>
      <c r="G206" s="4">
        <f t="shared" si="5"/>
        <v>1915.96</v>
      </c>
      <c r="H206" s="4">
        <f t="shared" si="6"/>
        <v>11999.96</v>
      </c>
      <c r="I206" s="4"/>
      <c r="J206" s="4"/>
    </row>
    <row r="207" spans="1:10">
      <c r="A207" s="1">
        <v>206</v>
      </c>
      <c r="B207" s="1" t="s">
        <v>155</v>
      </c>
      <c r="C207" s="9">
        <v>44593</v>
      </c>
      <c r="D207" s="1" t="s">
        <v>39</v>
      </c>
      <c r="E207" s="1">
        <v>181</v>
      </c>
      <c r="F207" s="4">
        <v>12605</v>
      </c>
      <c r="G207" s="4">
        <f t="shared" si="5"/>
        <v>2394.9499999999998</v>
      </c>
      <c r="H207" s="4">
        <f t="shared" si="6"/>
        <v>14999.95</v>
      </c>
      <c r="I207" s="4"/>
      <c r="J207" s="4"/>
    </row>
    <row r="208" spans="1:10">
      <c r="A208" s="1">
        <v>207</v>
      </c>
      <c r="B208" s="1" t="s">
        <v>573</v>
      </c>
      <c r="C208" s="9">
        <v>44598</v>
      </c>
      <c r="D208" s="1" t="s">
        <v>39</v>
      </c>
      <c r="E208" s="1">
        <v>182</v>
      </c>
      <c r="F208" s="4">
        <v>18487</v>
      </c>
      <c r="G208" s="4">
        <f t="shared" si="5"/>
        <v>3512.53</v>
      </c>
      <c r="H208" s="4">
        <f t="shared" si="6"/>
        <v>21999.53</v>
      </c>
      <c r="I208" s="4"/>
      <c r="J208" s="4"/>
    </row>
    <row r="209" spans="1:10">
      <c r="A209" s="1">
        <v>208</v>
      </c>
      <c r="B209" s="1" t="s">
        <v>574</v>
      </c>
      <c r="C209" s="9">
        <v>44598</v>
      </c>
      <c r="D209" s="1" t="s">
        <v>39</v>
      </c>
      <c r="E209" s="1">
        <v>183</v>
      </c>
      <c r="F209" s="4">
        <v>25210</v>
      </c>
      <c r="G209" s="4">
        <f t="shared" si="5"/>
        <v>4789.8999999999996</v>
      </c>
      <c r="H209" s="4">
        <f t="shared" si="6"/>
        <v>29999.9</v>
      </c>
      <c r="I209" s="4"/>
      <c r="J209" s="4"/>
    </row>
    <row r="210" spans="1:10">
      <c r="A210" s="1">
        <v>209</v>
      </c>
      <c r="B210" s="1" t="s">
        <v>575</v>
      </c>
      <c r="C210" s="9">
        <v>44598</v>
      </c>
      <c r="D210" s="1" t="s">
        <v>39</v>
      </c>
      <c r="E210" s="1">
        <v>184</v>
      </c>
      <c r="F210" s="4">
        <v>63949.578999999998</v>
      </c>
      <c r="G210" s="4">
        <f t="shared" si="5"/>
        <v>12150.42001</v>
      </c>
      <c r="H210" s="4">
        <f t="shared" si="6"/>
        <v>76099.99901</v>
      </c>
      <c r="I210" s="4"/>
      <c r="J210" s="4"/>
    </row>
    <row r="211" spans="1:10">
      <c r="A211" s="1">
        <v>210</v>
      </c>
      <c r="B211" s="1" t="s">
        <v>576</v>
      </c>
      <c r="C211" s="9">
        <v>44599</v>
      </c>
      <c r="D211" s="1" t="s">
        <v>39</v>
      </c>
      <c r="E211" s="1">
        <v>185</v>
      </c>
      <c r="F211" s="4">
        <v>16806.72</v>
      </c>
      <c r="G211" s="4">
        <f t="shared" si="5"/>
        <v>3193.2768000000001</v>
      </c>
      <c r="H211" s="4">
        <f t="shared" si="6"/>
        <v>19999.996800000001</v>
      </c>
      <c r="I211" s="4"/>
      <c r="J211" s="4"/>
    </row>
    <row r="212" spans="1:10">
      <c r="A212" s="1">
        <v>211</v>
      </c>
      <c r="B212" s="1" t="s">
        <v>577</v>
      </c>
      <c r="C212" s="9">
        <v>44599</v>
      </c>
      <c r="D212" s="1" t="s">
        <v>39</v>
      </c>
      <c r="E212" s="1">
        <v>186</v>
      </c>
      <c r="F212" s="4">
        <v>33613.445</v>
      </c>
      <c r="G212" s="4">
        <f t="shared" si="5"/>
        <v>6386.5545499999998</v>
      </c>
      <c r="H212" s="4">
        <f t="shared" si="6"/>
        <v>39999.99955</v>
      </c>
      <c r="I212" s="4"/>
      <c r="J212" s="4"/>
    </row>
    <row r="213" spans="1:10">
      <c r="A213" s="1">
        <v>212</v>
      </c>
      <c r="B213" s="1" t="s">
        <v>155</v>
      </c>
      <c r="C213" s="9">
        <v>44602</v>
      </c>
      <c r="D213" s="1" t="s">
        <v>39</v>
      </c>
      <c r="E213" s="1">
        <v>187</v>
      </c>
      <c r="F213" s="4">
        <v>12605</v>
      </c>
      <c r="G213" s="4">
        <f t="shared" si="5"/>
        <v>2394.9499999999998</v>
      </c>
      <c r="H213" s="4">
        <f t="shared" si="6"/>
        <v>14999.95</v>
      </c>
      <c r="I213" s="4"/>
      <c r="J213" s="4"/>
    </row>
    <row r="214" spans="1:10">
      <c r="A214" s="1">
        <v>213</v>
      </c>
      <c r="B214" s="1" t="s">
        <v>155</v>
      </c>
      <c r="C214" s="9">
        <v>44602</v>
      </c>
      <c r="D214" s="1" t="s">
        <v>39</v>
      </c>
      <c r="E214" s="1">
        <v>188</v>
      </c>
      <c r="F214" s="4">
        <v>12605</v>
      </c>
      <c r="G214" s="4">
        <f t="shared" si="5"/>
        <v>2394.9499999999998</v>
      </c>
      <c r="H214" s="4">
        <f t="shared" si="6"/>
        <v>14999.95</v>
      </c>
      <c r="I214" s="4"/>
      <c r="J214" s="4"/>
    </row>
    <row r="215" spans="1:10">
      <c r="A215" s="1">
        <v>214</v>
      </c>
      <c r="B215" s="1" t="s">
        <v>547</v>
      </c>
      <c r="C215" s="9">
        <v>44604</v>
      </c>
      <c r="D215" s="1" t="s">
        <v>39</v>
      </c>
      <c r="E215" s="1">
        <v>189</v>
      </c>
      <c r="F215" s="4">
        <v>16807</v>
      </c>
      <c r="G215" s="4">
        <f t="shared" si="5"/>
        <v>3193.33</v>
      </c>
      <c r="H215" s="4">
        <f t="shared" si="6"/>
        <v>20000.330000000002</v>
      </c>
      <c r="I215" s="4"/>
      <c r="J215" s="4"/>
    </row>
    <row r="216" spans="1:10">
      <c r="A216" s="1">
        <v>215</v>
      </c>
      <c r="B216" s="1" t="s">
        <v>578</v>
      </c>
      <c r="C216" s="9">
        <v>44606</v>
      </c>
      <c r="D216" s="1" t="s">
        <v>39</v>
      </c>
      <c r="E216" s="1">
        <v>190</v>
      </c>
      <c r="F216" s="4">
        <v>6890.7560000000003</v>
      </c>
      <c r="G216" s="4">
        <f t="shared" si="5"/>
        <v>1309.2436400000001</v>
      </c>
      <c r="H216" s="4">
        <f t="shared" si="6"/>
        <v>8199.99964</v>
      </c>
      <c r="I216" s="4"/>
      <c r="J216" s="4"/>
    </row>
    <row r="217" spans="1:10">
      <c r="A217" s="1">
        <v>216</v>
      </c>
      <c r="B217" s="1" t="s">
        <v>579</v>
      </c>
      <c r="C217" s="9">
        <v>44608</v>
      </c>
      <c r="D217" s="1" t="s">
        <v>39</v>
      </c>
      <c r="E217" s="1">
        <v>191</v>
      </c>
      <c r="F217" s="4">
        <v>70588.23</v>
      </c>
      <c r="G217" s="4">
        <f t="shared" si="5"/>
        <v>13411.7637</v>
      </c>
      <c r="H217" s="4">
        <f t="shared" si="6"/>
        <v>83999.993699999992</v>
      </c>
      <c r="I217" s="4"/>
      <c r="J217" s="4"/>
    </row>
    <row r="218" spans="1:10">
      <c r="A218" s="1">
        <v>217</v>
      </c>
      <c r="B218" s="1" t="s">
        <v>580</v>
      </c>
      <c r="C218" s="9">
        <v>44609</v>
      </c>
      <c r="D218" s="1" t="s">
        <v>39</v>
      </c>
      <c r="E218" s="1">
        <v>192</v>
      </c>
      <c r="F218" s="4">
        <v>16807</v>
      </c>
      <c r="G218" s="4">
        <f t="shared" si="5"/>
        <v>3193.33</v>
      </c>
      <c r="H218" s="4">
        <f t="shared" si="6"/>
        <v>20000.330000000002</v>
      </c>
      <c r="I218" s="4"/>
      <c r="J218" s="4"/>
    </row>
    <row r="219" spans="1:10">
      <c r="A219" s="1">
        <v>218</v>
      </c>
      <c r="B219" s="1" t="s">
        <v>580</v>
      </c>
      <c r="C219" s="9">
        <v>44610</v>
      </c>
      <c r="D219" s="1" t="s">
        <v>39</v>
      </c>
      <c r="E219" s="1">
        <v>193</v>
      </c>
      <c r="F219" s="4">
        <v>16807</v>
      </c>
      <c r="G219" s="4">
        <f t="shared" si="5"/>
        <v>3193.33</v>
      </c>
      <c r="H219" s="4">
        <f t="shared" si="6"/>
        <v>20000.330000000002</v>
      </c>
      <c r="I219" s="4"/>
      <c r="J219" s="4"/>
    </row>
    <row r="220" spans="1:10">
      <c r="A220" s="1">
        <v>219</v>
      </c>
      <c r="B220" s="1" t="s">
        <v>581</v>
      </c>
      <c r="C220" s="9">
        <v>44610</v>
      </c>
      <c r="D220" s="1" t="s">
        <v>39</v>
      </c>
      <c r="E220" s="1">
        <v>195</v>
      </c>
      <c r="F220" s="4">
        <v>2521</v>
      </c>
      <c r="G220" s="4">
        <f t="shared" si="5"/>
        <v>478.99</v>
      </c>
      <c r="H220" s="4">
        <f t="shared" si="6"/>
        <v>2999.99</v>
      </c>
      <c r="I220" s="4"/>
      <c r="J220" s="4"/>
    </row>
    <row r="221" spans="1:10">
      <c r="A221" s="1">
        <v>220</v>
      </c>
      <c r="B221" s="1" t="s">
        <v>582</v>
      </c>
      <c r="C221" s="9">
        <v>44612</v>
      </c>
      <c r="D221" s="1" t="s">
        <v>39</v>
      </c>
      <c r="E221" s="1">
        <v>194</v>
      </c>
      <c r="F221" s="4">
        <v>27310.92</v>
      </c>
      <c r="G221" s="4">
        <f t="shared" si="5"/>
        <v>5189.0747999999994</v>
      </c>
      <c r="H221" s="4">
        <f t="shared" si="6"/>
        <v>32499.994799999997</v>
      </c>
      <c r="I221" s="4"/>
      <c r="J221" s="4"/>
    </row>
    <row r="222" spans="1:10">
      <c r="A222" s="1">
        <v>221</v>
      </c>
      <c r="B222" s="1" t="s">
        <v>583</v>
      </c>
      <c r="C222" s="9">
        <v>44616</v>
      </c>
      <c r="D222" s="1" t="s">
        <v>39</v>
      </c>
      <c r="E222" s="1">
        <v>196</v>
      </c>
      <c r="F222" s="4">
        <v>4201.68</v>
      </c>
      <c r="G222" s="4">
        <f t="shared" si="5"/>
        <v>798.31920000000002</v>
      </c>
      <c r="H222" s="4">
        <f t="shared" si="6"/>
        <v>4999.9992000000002</v>
      </c>
      <c r="I222" s="4"/>
      <c r="J222" s="4"/>
    </row>
    <row r="223" spans="1:10">
      <c r="A223" s="1">
        <v>222</v>
      </c>
      <c r="B223" s="1" t="s">
        <v>584</v>
      </c>
      <c r="C223" s="9">
        <v>44616</v>
      </c>
      <c r="D223" s="1" t="s">
        <v>39</v>
      </c>
      <c r="E223" s="1">
        <v>197</v>
      </c>
      <c r="F223" s="4">
        <v>16806.72</v>
      </c>
      <c r="G223" s="4">
        <f t="shared" si="5"/>
        <v>3193.2768000000001</v>
      </c>
      <c r="H223" s="4">
        <f t="shared" si="6"/>
        <v>19999.996800000001</v>
      </c>
      <c r="I223" s="4"/>
      <c r="J223" s="4"/>
    </row>
    <row r="224" spans="1:10">
      <c r="A224" s="1">
        <v>223</v>
      </c>
      <c r="B224" s="1" t="s">
        <v>585</v>
      </c>
      <c r="C224" s="9">
        <v>44617</v>
      </c>
      <c r="D224" s="1" t="s">
        <v>12</v>
      </c>
      <c r="E224" s="1">
        <v>4</v>
      </c>
      <c r="F224" s="4">
        <v>45210.080000000002</v>
      </c>
      <c r="G224" s="4">
        <f t="shared" si="5"/>
        <v>8589.9152000000013</v>
      </c>
      <c r="H224" s="4">
        <f t="shared" si="6"/>
        <v>53799.995200000005</v>
      </c>
      <c r="I224" s="4"/>
      <c r="J224" s="4"/>
    </row>
    <row r="225" spans="1:10">
      <c r="A225" s="1">
        <v>224</v>
      </c>
      <c r="B225" s="1" t="s">
        <v>586</v>
      </c>
      <c r="C225" s="9">
        <v>44620</v>
      </c>
      <c r="D225" s="1" t="s">
        <v>39</v>
      </c>
      <c r="E225" s="1">
        <v>198</v>
      </c>
      <c r="F225" s="4">
        <v>16806.722000000002</v>
      </c>
      <c r="G225" s="4">
        <f t="shared" si="5"/>
        <v>3193.2771800000005</v>
      </c>
      <c r="H225" s="4">
        <f t="shared" si="6"/>
        <v>19999.999180000003</v>
      </c>
      <c r="I225" s="4"/>
      <c r="J225" s="4"/>
    </row>
    <row r="226" spans="1:10">
      <c r="A226" s="1">
        <v>225</v>
      </c>
      <c r="B226" s="1" t="s">
        <v>587</v>
      </c>
      <c r="C226" s="9">
        <v>44621</v>
      </c>
      <c r="D226" s="1" t="s">
        <v>39</v>
      </c>
      <c r="E226" s="1">
        <v>199</v>
      </c>
      <c r="F226" s="4">
        <v>26890.75</v>
      </c>
      <c r="G226" s="4">
        <f t="shared" si="5"/>
        <v>5109.2425000000003</v>
      </c>
      <c r="H226" s="4">
        <f t="shared" si="6"/>
        <v>31999.9925</v>
      </c>
      <c r="I226" s="4"/>
      <c r="J226" s="4"/>
    </row>
    <row r="227" spans="1:10">
      <c r="A227" s="1">
        <v>226</v>
      </c>
      <c r="B227" s="1" t="s">
        <v>588</v>
      </c>
      <c r="C227" s="9">
        <v>44623</v>
      </c>
      <c r="D227" s="1" t="s">
        <v>39</v>
      </c>
      <c r="E227" s="1">
        <v>200</v>
      </c>
      <c r="F227" s="4">
        <v>28571.42</v>
      </c>
      <c r="G227" s="4">
        <f t="shared" si="5"/>
        <v>5428.5697999999993</v>
      </c>
      <c r="H227" s="4">
        <f t="shared" si="6"/>
        <v>33999.989799999996</v>
      </c>
      <c r="I227" s="4"/>
      <c r="J227" s="4"/>
    </row>
    <row r="228" spans="1:10">
      <c r="A228" s="1">
        <v>227</v>
      </c>
      <c r="B228" s="1" t="s">
        <v>589</v>
      </c>
      <c r="C228" s="9">
        <v>44625</v>
      </c>
      <c r="D228" s="1" t="s">
        <v>39</v>
      </c>
      <c r="E228" s="1">
        <v>201</v>
      </c>
      <c r="F228" s="4">
        <v>8403.36</v>
      </c>
      <c r="G228" s="4">
        <f t="shared" si="5"/>
        <v>1596.6384</v>
      </c>
      <c r="H228" s="4">
        <f t="shared" si="6"/>
        <v>9999.9984000000004</v>
      </c>
      <c r="I228" s="4"/>
      <c r="J228" s="4"/>
    </row>
    <row r="229" spans="1:10">
      <c r="A229" s="1">
        <v>228</v>
      </c>
      <c r="B229" s="1" t="s">
        <v>492</v>
      </c>
      <c r="C229" s="9">
        <v>44625</v>
      </c>
      <c r="D229" s="1" t="s">
        <v>39</v>
      </c>
      <c r="E229" s="1">
        <v>202</v>
      </c>
      <c r="F229" s="4">
        <v>4621.8500000000004</v>
      </c>
      <c r="G229" s="4">
        <f t="shared" si="5"/>
        <v>878.15150000000006</v>
      </c>
      <c r="H229" s="4">
        <f t="shared" si="6"/>
        <v>5500.0015000000003</v>
      </c>
      <c r="I229" s="4"/>
      <c r="J229" s="4"/>
    </row>
    <row r="230" spans="1:10">
      <c r="A230" s="1">
        <v>229</v>
      </c>
      <c r="B230" s="1" t="s">
        <v>590</v>
      </c>
      <c r="C230" s="9">
        <v>44625</v>
      </c>
      <c r="D230" s="1" t="s">
        <v>39</v>
      </c>
      <c r="E230" s="1">
        <v>203</v>
      </c>
      <c r="F230" s="4">
        <v>12605</v>
      </c>
      <c r="G230" s="4">
        <f t="shared" si="5"/>
        <v>2394.9499999999998</v>
      </c>
      <c r="H230" s="4">
        <f t="shared" si="6"/>
        <v>14999.95</v>
      </c>
      <c r="I230" s="4"/>
      <c r="J230" s="4"/>
    </row>
    <row r="231" spans="1:10">
      <c r="A231" s="1">
        <v>230</v>
      </c>
      <c r="B231" s="1" t="s">
        <v>580</v>
      </c>
      <c r="C231" s="9">
        <v>44625</v>
      </c>
      <c r="D231" s="1" t="s">
        <v>39</v>
      </c>
      <c r="E231" s="1">
        <v>204</v>
      </c>
      <c r="F231" s="4">
        <v>16807</v>
      </c>
      <c r="G231" s="4">
        <f t="shared" si="5"/>
        <v>3193.33</v>
      </c>
      <c r="H231" s="4">
        <f t="shared" si="6"/>
        <v>20000.330000000002</v>
      </c>
      <c r="I231" s="4"/>
      <c r="J231" s="4"/>
    </row>
    <row r="232" spans="1:10">
      <c r="A232" s="1">
        <v>231</v>
      </c>
      <c r="B232" s="1" t="s">
        <v>591</v>
      </c>
      <c r="C232" s="9">
        <v>44625</v>
      </c>
      <c r="D232" s="1" t="s">
        <v>39</v>
      </c>
      <c r="E232" s="1">
        <v>205</v>
      </c>
      <c r="F232" s="4">
        <v>27731</v>
      </c>
      <c r="G232" s="4">
        <f t="shared" si="5"/>
        <v>5268.89</v>
      </c>
      <c r="H232" s="4">
        <f t="shared" si="6"/>
        <v>32999.89</v>
      </c>
      <c r="I232" s="4"/>
      <c r="J232" s="4"/>
    </row>
    <row r="233" spans="1:10">
      <c r="A233" s="1">
        <v>232</v>
      </c>
      <c r="B233" s="1" t="s">
        <v>592</v>
      </c>
      <c r="C233" s="9">
        <v>44627</v>
      </c>
      <c r="D233" s="1" t="s">
        <v>39</v>
      </c>
      <c r="E233" s="1">
        <v>206</v>
      </c>
      <c r="F233" s="4">
        <v>87394.956999999995</v>
      </c>
      <c r="G233" s="4">
        <f t="shared" si="5"/>
        <v>16605.041829999998</v>
      </c>
      <c r="H233" s="4">
        <f t="shared" si="6"/>
        <v>103999.99883</v>
      </c>
      <c r="I233" s="4"/>
      <c r="J233" s="4"/>
    </row>
    <row r="234" spans="1:10">
      <c r="A234" s="1">
        <v>233</v>
      </c>
      <c r="B234" s="1" t="s">
        <v>593</v>
      </c>
      <c r="C234" s="9">
        <v>44627</v>
      </c>
      <c r="D234" s="1" t="s">
        <v>39</v>
      </c>
      <c r="E234" s="1">
        <v>207</v>
      </c>
      <c r="F234" s="4">
        <v>23529.41</v>
      </c>
      <c r="G234" s="4">
        <f t="shared" si="5"/>
        <v>4470.5879000000004</v>
      </c>
      <c r="H234" s="4">
        <f t="shared" si="6"/>
        <v>27999.997900000002</v>
      </c>
      <c r="I234" s="4"/>
      <c r="J234" s="4"/>
    </row>
    <row r="235" spans="1:10">
      <c r="A235" s="1">
        <v>234</v>
      </c>
      <c r="B235" s="1" t="s">
        <v>594</v>
      </c>
      <c r="C235" s="9">
        <v>44627</v>
      </c>
      <c r="D235" s="1" t="s">
        <v>39</v>
      </c>
      <c r="E235" s="1">
        <v>208</v>
      </c>
      <c r="F235" s="4">
        <v>21008.400000000001</v>
      </c>
      <c r="G235" s="4">
        <f t="shared" si="5"/>
        <v>3991.5960000000005</v>
      </c>
      <c r="H235" s="4">
        <f t="shared" si="6"/>
        <v>24999.996000000003</v>
      </c>
      <c r="I235" s="4"/>
      <c r="J235" s="4"/>
    </row>
    <row r="236" spans="1:10">
      <c r="A236" s="1">
        <v>235</v>
      </c>
      <c r="B236" s="1" t="s">
        <v>595</v>
      </c>
      <c r="C236" s="9">
        <v>44628</v>
      </c>
      <c r="D236" s="1" t="s">
        <v>39</v>
      </c>
      <c r="E236" s="1">
        <v>209</v>
      </c>
      <c r="F236" s="4">
        <v>10924.36</v>
      </c>
      <c r="G236" s="4">
        <f t="shared" si="5"/>
        <v>2075.6284000000001</v>
      </c>
      <c r="H236" s="4">
        <f t="shared" si="6"/>
        <v>12999.9884</v>
      </c>
      <c r="I236" s="4"/>
      <c r="J236" s="4"/>
    </row>
    <row r="237" spans="1:10">
      <c r="A237" s="1">
        <v>236</v>
      </c>
      <c r="B237" s="1" t="s">
        <v>576</v>
      </c>
      <c r="C237" s="9">
        <v>44630</v>
      </c>
      <c r="D237" s="1" t="s">
        <v>39</v>
      </c>
      <c r="E237" s="1">
        <v>210</v>
      </c>
      <c r="F237" s="4">
        <v>16807</v>
      </c>
      <c r="G237" s="4">
        <f t="shared" si="5"/>
        <v>3193.33</v>
      </c>
      <c r="H237" s="4">
        <f t="shared" si="6"/>
        <v>20000.330000000002</v>
      </c>
      <c r="I237" s="4"/>
      <c r="J237" s="4"/>
    </row>
    <row r="238" spans="1:10">
      <c r="A238" s="1">
        <v>237</v>
      </c>
      <c r="B238" s="1" t="s">
        <v>596</v>
      </c>
      <c r="C238" s="9">
        <v>44632</v>
      </c>
      <c r="D238" s="1" t="s">
        <v>39</v>
      </c>
      <c r="E238" s="1">
        <v>211</v>
      </c>
      <c r="F238" s="4">
        <v>16807</v>
      </c>
      <c r="G238" s="4">
        <f t="shared" si="5"/>
        <v>3193.33</v>
      </c>
      <c r="H238" s="4">
        <f t="shared" si="6"/>
        <v>20000.330000000002</v>
      </c>
      <c r="I238" s="4"/>
      <c r="J238" s="4"/>
    </row>
    <row r="239" spans="1:10">
      <c r="A239" s="1">
        <v>238</v>
      </c>
      <c r="B239" s="1" t="s">
        <v>597</v>
      </c>
      <c r="C239" s="9">
        <v>44636</v>
      </c>
      <c r="D239" s="1" t="s">
        <v>39</v>
      </c>
      <c r="E239" s="1">
        <v>212</v>
      </c>
      <c r="F239" s="4">
        <v>22689.08</v>
      </c>
      <c r="G239" s="4">
        <f t="shared" si="5"/>
        <v>4310.9252000000006</v>
      </c>
      <c r="H239" s="4">
        <f t="shared" si="6"/>
        <v>27000.005200000003</v>
      </c>
      <c r="I239" s="4"/>
      <c r="J239" s="4"/>
    </row>
    <row r="240" spans="1:10">
      <c r="A240" s="1">
        <v>239</v>
      </c>
      <c r="B240" s="1" t="s">
        <v>598</v>
      </c>
      <c r="C240" s="9">
        <v>44636</v>
      </c>
      <c r="D240" s="1" t="s">
        <v>39</v>
      </c>
      <c r="E240" s="1">
        <v>213</v>
      </c>
      <c r="F240" s="4">
        <v>42016.800000000003</v>
      </c>
      <c r="G240" s="4">
        <f t="shared" si="5"/>
        <v>7983.1920000000009</v>
      </c>
      <c r="H240" s="4">
        <f t="shared" si="6"/>
        <v>49999.992000000006</v>
      </c>
      <c r="I240" s="4"/>
      <c r="J240" s="4"/>
    </row>
    <row r="241" spans="1:10">
      <c r="A241" s="1">
        <v>240</v>
      </c>
      <c r="B241" s="1" t="s">
        <v>599</v>
      </c>
      <c r="C241" s="9">
        <v>44638</v>
      </c>
      <c r="D241" s="1" t="s">
        <v>39</v>
      </c>
      <c r="E241" s="1">
        <v>214</v>
      </c>
      <c r="F241" s="4">
        <v>49579.83</v>
      </c>
      <c r="G241" s="4">
        <f t="shared" si="5"/>
        <v>9420.1677</v>
      </c>
      <c r="H241" s="4">
        <f t="shared" si="6"/>
        <v>58999.9977</v>
      </c>
      <c r="I241" s="4"/>
      <c r="J241" s="4"/>
    </row>
    <row r="242" spans="1:10">
      <c r="A242" s="1">
        <v>241</v>
      </c>
      <c r="B242" s="1" t="s">
        <v>600</v>
      </c>
      <c r="C242" s="9">
        <v>44639</v>
      </c>
      <c r="D242" s="1" t="s">
        <v>39</v>
      </c>
      <c r="E242" s="1">
        <v>215</v>
      </c>
      <c r="F242" s="4">
        <v>4201.68</v>
      </c>
      <c r="G242" s="4">
        <f t="shared" si="5"/>
        <v>798.31920000000002</v>
      </c>
      <c r="H242" s="4">
        <f t="shared" si="6"/>
        <v>4999.9992000000002</v>
      </c>
      <c r="I242" s="4"/>
      <c r="J242" s="4"/>
    </row>
    <row r="243" spans="1:10">
      <c r="A243" s="1">
        <v>242</v>
      </c>
      <c r="B243" s="1" t="s">
        <v>601</v>
      </c>
      <c r="C243" s="9">
        <v>44642</v>
      </c>
      <c r="D243" s="1" t="s">
        <v>39</v>
      </c>
      <c r="E243" s="1">
        <v>216</v>
      </c>
      <c r="F243" s="4">
        <v>13361.34</v>
      </c>
      <c r="G243" s="4">
        <f t="shared" si="5"/>
        <v>2538.6545999999998</v>
      </c>
      <c r="H243" s="4">
        <f t="shared" si="6"/>
        <v>15899.9946</v>
      </c>
      <c r="I243" s="4"/>
      <c r="J243" s="4"/>
    </row>
    <row r="244" spans="1:10">
      <c r="A244" s="1">
        <v>243</v>
      </c>
      <c r="B244" s="1" t="s">
        <v>602</v>
      </c>
      <c r="C244" s="9">
        <v>44644</v>
      </c>
      <c r="D244" s="1" t="s">
        <v>39</v>
      </c>
      <c r="E244" s="1">
        <v>217</v>
      </c>
      <c r="F244" s="4">
        <v>39495.798000000003</v>
      </c>
      <c r="G244" s="4">
        <f t="shared" si="5"/>
        <v>7504.2016200000007</v>
      </c>
      <c r="H244" s="4">
        <f t="shared" si="6"/>
        <v>46999.999620000002</v>
      </c>
      <c r="I244" s="4"/>
      <c r="J244" s="4"/>
    </row>
    <row r="245" spans="1:10">
      <c r="A245" s="1">
        <v>244</v>
      </c>
      <c r="B245" s="1" t="s">
        <v>603</v>
      </c>
      <c r="C245" s="9">
        <v>44646</v>
      </c>
      <c r="D245" s="1"/>
      <c r="F245" s="4">
        <v>21008.400000000001</v>
      </c>
      <c r="G245" s="4">
        <f t="shared" si="5"/>
        <v>3991.5960000000005</v>
      </c>
      <c r="H245" s="4">
        <f t="shared" si="6"/>
        <v>24999.996000000003</v>
      </c>
      <c r="I245" s="4"/>
      <c r="J245" s="4"/>
    </row>
    <row r="246" spans="1:10">
      <c r="A246" s="1">
        <v>245</v>
      </c>
      <c r="B246" s="1" t="s">
        <v>604</v>
      </c>
      <c r="C246" s="9">
        <v>44646</v>
      </c>
      <c r="D246" s="1" t="s">
        <v>39</v>
      </c>
      <c r="E246" s="1">
        <v>218</v>
      </c>
      <c r="F246" s="4">
        <v>14789.91</v>
      </c>
      <c r="G246" s="4">
        <f t="shared" si="5"/>
        <v>2810.0828999999999</v>
      </c>
      <c r="H246" s="4">
        <f t="shared" si="6"/>
        <v>17599.992900000001</v>
      </c>
      <c r="I246" s="4"/>
      <c r="J246" s="4"/>
    </row>
    <row r="247" spans="1:10">
      <c r="A247" s="1">
        <v>246</v>
      </c>
      <c r="B247" s="1" t="s">
        <v>605</v>
      </c>
      <c r="C247" s="9">
        <v>44650</v>
      </c>
      <c r="D247" s="1" t="s">
        <v>39</v>
      </c>
      <c r="E247" s="1">
        <v>91023</v>
      </c>
      <c r="F247" s="4">
        <v>3697.48</v>
      </c>
      <c r="G247" s="4">
        <f t="shared" si="5"/>
        <v>702.52120000000002</v>
      </c>
      <c r="H247" s="4">
        <f t="shared" si="6"/>
        <v>4400.0011999999997</v>
      </c>
      <c r="I247" s="4"/>
      <c r="J247" s="4"/>
    </row>
    <row r="248" spans="1:10">
      <c r="A248" s="1">
        <v>247</v>
      </c>
      <c r="B248" s="1" t="s">
        <v>606</v>
      </c>
      <c r="C248" s="9">
        <v>44654</v>
      </c>
      <c r="D248" s="1" t="s">
        <v>39</v>
      </c>
      <c r="E248" s="1">
        <v>91024</v>
      </c>
      <c r="F248" s="4">
        <v>49075.6</v>
      </c>
      <c r="G248" s="4">
        <f t="shared" si="5"/>
        <v>9324.3639999999996</v>
      </c>
      <c r="H248" s="4">
        <f t="shared" si="6"/>
        <v>58399.964</v>
      </c>
      <c r="I248" s="4"/>
      <c r="J248" s="4"/>
    </row>
    <row r="249" spans="1:10">
      <c r="A249" s="1">
        <v>248</v>
      </c>
      <c r="B249" s="1" t="s">
        <v>607</v>
      </c>
      <c r="C249" s="9">
        <v>44656</v>
      </c>
      <c r="D249" s="1" t="s">
        <v>39</v>
      </c>
      <c r="E249" s="1">
        <v>91025</v>
      </c>
      <c r="F249" s="4">
        <v>28571.428</v>
      </c>
      <c r="G249" s="4">
        <f t="shared" si="5"/>
        <v>5428.57132</v>
      </c>
      <c r="H249" s="4">
        <f t="shared" si="6"/>
        <v>33999.999320000003</v>
      </c>
      <c r="I249" s="4"/>
      <c r="J249" s="4"/>
    </row>
    <row r="250" spans="1:10">
      <c r="A250" s="1">
        <v>249</v>
      </c>
      <c r="B250" s="1" t="s">
        <v>608</v>
      </c>
      <c r="C250" s="9">
        <v>44657</v>
      </c>
      <c r="D250" s="1" t="s">
        <v>39</v>
      </c>
      <c r="E250" s="1">
        <v>91026</v>
      </c>
      <c r="F250" s="4">
        <v>6806.72</v>
      </c>
      <c r="G250" s="4">
        <f t="shared" si="5"/>
        <v>1293.2768000000001</v>
      </c>
      <c r="H250" s="4">
        <f t="shared" si="6"/>
        <v>8099.9968000000008</v>
      </c>
      <c r="I250" s="4"/>
      <c r="J250" s="4"/>
    </row>
    <row r="251" spans="1:10">
      <c r="A251" s="1">
        <v>250</v>
      </c>
      <c r="B251" s="1" t="s">
        <v>609</v>
      </c>
      <c r="C251" s="9">
        <v>44662</v>
      </c>
      <c r="D251" s="1" t="s">
        <v>39</v>
      </c>
      <c r="E251" s="1">
        <v>91027</v>
      </c>
      <c r="F251" s="4">
        <v>62941.17</v>
      </c>
      <c r="G251" s="4">
        <f t="shared" si="5"/>
        <v>11958.8223</v>
      </c>
      <c r="H251" s="4">
        <f t="shared" si="6"/>
        <v>74899.992299999998</v>
      </c>
      <c r="I251" s="4"/>
      <c r="J251" s="4"/>
    </row>
    <row r="252" spans="1:10">
      <c r="A252" s="1">
        <v>251</v>
      </c>
      <c r="B252" s="1" t="s">
        <v>610</v>
      </c>
      <c r="C252" s="9">
        <v>44662</v>
      </c>
      <c r="D252" s="1" t="s">
        <v>39</v>
      </c>
      <c r="E252" s="1">
        <v>91028</v>
      </c>
      <c r="F252" s="4">
        <v>71428.570000000007</v>
      </c>
      <c r="G252" s="4">
        <f t="shared" si="5"/>
        <v>13571.428300000001</v>
      </c>
      <c r="H252" s="4">
        <f t="shared" si="6"/>
        <v>84999.998300000007</v>
      </c>
      <c r="I252" s="4"/>
      <c r="J252" s="4"/>
    </row>
    <row r="253" spans="1:10">
      <c r="A253" s="1">
        <v>252</v>
      </c>
      <c r="B253" s="1" t="s">
        <v>590</v>
      </c>
      <c r="C253" s="9">
        <v>44663</v>
      </c>
      <c r="D253" s="1" t="s">
        <v>39</v>
      </c>
      <c r="E253" s="1">
        <v>91029</v>
      </c>
      <c r="F253" s="4">
        <v>12605</v>
      </c>
      <c r="G253" s="4">
        <f t="shared" si="5"/>
        <v>2394.9499999999998</v>
      </c>
      <c r="H253" s="4">
        <f t="shared" si="6"/>
        <v>14999.95</v>
      </c>
      <c r="I253" s="4"/>
      <c r="J253" s="4"/>
    </row>
    <row r="254" spans="1:10">
      <c r="A254" s="1">
        <v>253</v>
      </c>
      <c r="B254" s="1" t="s">
        <v>611</v>
      </c>
      <c r="C254" s="9">
        <v>44663</v>
      </c>
      <c r="D254" s="1" t="s">
        <v>39</v>
      </c>
      <c r="E254" s="1">
        <v>91030</v>
      </c>
      <c r="F254" s="4">
        <v>12605</v>
      </c>
      <c r="G254" s="4">
        <f t="shared" si="5"/>
        <v>2394.9499999999998</v>
      </c>
      <c r="H254" s="4">
        <f t="shared" si="6"/>
        <v>14999.95</v>
      </c>
      <c r="I254" s="4"/>
      <c r="J254" s="4"/>
    </row>
    <row r="255" spans="1:10">
      <c r="A255" s="1">
        <v>254</v>
      </c>
      <c r="B255" s="1" t="s">
        <v>510</v>
      </c>
      <c r="C255" s="9">
        <v>44663</v>
      </c>
      <c r="D255" s="1" t="s">
        <v>39</v>
      </c>
      <c r="E255" s="1">
        <v>91031</v>
      </c>
      <c r="F255" s="4">
        <v>16806.72</v>
      </c>
      <c r="G255" s="4">
        <f t="shared" si="5"/>
        <v>3193.2768000000001</v>
      </c>
      <c r="H255" s="4">
        <f t="shared" si="6"/>
        <v>19999.996800000001</v>
      </c>
      <c r="I255" s="4"/>
      <c r="J255" s="4"/>
    </row>
    <row r="256" spans="1:10">
      <c r="A256" s="1">
        <v>255</v>
      </c>
      <c r="B256" s="1" t="s">
        <v>612</v>
      </c>
      <c r="C256" s="9">
        <v>44664</v>
      </c>
      <c r="D256" s="1" t="s">
        <v>39</v>
      </c>
      <c r="E256" s="1">
        <v>91032</v>
      </c>
      <c r="F256" s="4">
        <v>33613.449999999997</v>
      </c>
      <c r="G256" s="4">
        <f t="shared" si="5"/>
        <v>6386.5554999999995</v>
      </c>
      <c r="H256" s="4">
        <f t="shared" si="6"/>
        <v>40000.005499999999</v>
      </c>
      <c r="I256" s="4"/>
      <c r="J256" s="4"/>
    </row>
    <row r="257" spans="1:10">
      <c r="A257" s="1">
        <v>256</v>
      </c>
      <c r="B257" s="1" t="s">
        <v>613</v>
      </c>
      <c r="C257" s="9">
        <v>44663</v>
      </c>
      <c r="D257" s="1" t="s">
        <v>39</v>
      </c>
      <c r="E257" s="1">
        <v>91034</v>
      </c>
      <c r="F257" s="4">
        <v>9915.9699999999993</v>
      </c>
      <c r="G257" s="4">
        <f t="shared" si="5"/>
        <v>1884.0342999999998</v>
      </c>
      <c r="H257" s="4">
        <f t="shared" si="6"/>
        <v>11800.004299999999</v>
      </c>
      <c r="I257" s="4"/>
      <c r="J257" s="4"/>
    </row>
    <row r="258" spans="1:10">
      <c r="A258" s="1">
        <v>257</v>
      </c>
      <c r="B258" s="1" t="s">
        <v>614</v>
      </c>
      <c r="C258" s="9">
        <v>44665</v>
      </c>
      <c r="D258" s="1" t="s">
        <v>39</v>
      </c>
      <c r="E258" s="1">
        <v>91033</v>
      </c>
      <c r="F258" s="4">
        <v>44537.81</v>
      </c>
      <c r="G258" s="4">
        <f t="shared" si="5"/>
        <v>8462.1839</v>
      </c>
      <c r="H258" s="4">
        <f t="shared" si="6"/>
        <v>52999.993900000001</v>
      </c>
      <c r="I258" s="4"/>
      <c r="J258" s="4"/>
    </row>
    <row r="259" spans="1:10">
      <c r="A259" s="1">
        <v>258</v>
      </c>
      <c r="B259" s="1" t="s">
        <v>615</v>
      </c>
      <c r="C259" s="9">
        <v>44670</v>
      </c>
      <c r="D259" s="1" t="s">
        <v>39</v>
      </c>
      <c r="E259" s="1">
        <v>91036</v>
      </c>
      <c r="F259" s="4">
        <v>8403.36</v>
      </c>
      <c r="G259" s="4">
        <f t="shared" si="5"/>
        <v>1596.6384</v>
      </c>
      <c r="H259" s="4">
        <f t="shared" si="6"/>
        <v>9999.9984000000004</v>
      </c>
      <c r="I259" s="4"/>
      <c r="J259" s="4"/>
    </row>
    <row r="260" spans="1:10">
      <c r="A260" s="1">
        <v>259</v>
      </c>
      <c r="B260" s="1" t="s">
        <v>580</v>
      </c>
      <c r="C260" s="9">
        <v>44670</v>
      </c>
      <c r="D260" s="1" t="s">
        <v>39</v>
      </c>
      <c r="E260" s="1">
        <v>91035</v>
      </c>
      <c r="F260" s="4">
        <v>16807</v>
      </c>
      <c r="G260" s="4">
        <f t="shared" si="5"/>
        <v>3193.33</v>
      </c>
      <c r="H260" s="4">
        <f t="shared" si="6"/>
        <v>20000.330000000002</v>
      </c>
      <c r="I260" s="4"/>
      <c r="J260" s="4"/>
    </row>
    <row r="261" spans="1:10">
      <c r="A261" s="1">
        <v>260</v>
      </c>
      <c r="B261" s="1" t="s">
        <v>616</v>
      </c>
      <c r="C261" s="9">
        <v>44670</v>
      </c>
      <c r="D261" s="1" t="s">
        <v>39</v>
      </c>
      <c r="E261" s="1">
        <v>91037</v>
      </c>
      <c r="F261" s="4">
        <v>12605</v>
      </c>
      <c r="G261" s="4">
        <f t="shared" si="5"/>
        <v>2394.9499999999998</v>
      </c>
      <c r="H261" s="4">
        <f t="shared" si="6"/>
        <v>14999.95</v>
      </c>
      <c r="I261" s="4"/>
      <c r="J261" s="4"/>
    </row>
    <row r="262" spans="1:10">
      <c r="A262" s="1">
        <v>261</v>
      </c>
      <c r="B262" s="1" t="s">
        <v>617</v>
      </c>
      <c r="C262" s="9">
        <v>44671</v>
      </c>
      <c r="D262" s="1" t="s">
        <v>39</v>
      </c>
      <c r="E262" s="1">
        <v>91038</v>
      </c>
      <c r="F262" s="4">
        <v>38571.428</v>
      </c>
      <c r="G262" s="4">
        <f t="shared" si="5"/>
        <v>7328.57132</v>
      </c>
      <c r="H262" s="4">
        <f t="shared" si="6"/>
        <v>45899.999320000003</v>
      </c>
      <c r="I262" s="4"/>
      <c r="J262" s="4"/>
    </row>
    <row r="263" spans="1:10">
      <c r="A263" s="1">
        <v>262</v>
      </c>
      <c r="B263" s="1" t="s">
        <v>580</v>
      </c>
      <c r="C263" s="9">
        <v>44674</v>
      </c>
      <c r="D263" s="1" t="s">
        <v>39</v>
      </c>
      <c r="E263" s="1">
        <v>91039</v>
      </c>
      <c r="F263" s="4">
        <v>16807</v>
      </c>
      <c r="G263" s="4">
        <f t="shared" si="5"/>
        <v>3193.33</v>
      </c>
      <c r="H263" s="4">
        <f t="shared" si="6"/>
        <v>20000.330000000002</v>
      </c>
      <c r="I263" s="4"/>
      <c r="J263" s="4"/>
    </row>
    <row r="264" spans="1:10">
      <c r="A264" s="1">
        <v>263</v>
      </c>
      <c r="B264" s="1" t="s">
        <v>618</v>
      </c>
      <c r="C264" s="9">
        <v>44676</v>
      </c>
      <c r="D264" s="1" t="s">
        <v>39</v>
      </c>
      <c r="E264" s="1">
        <v>91040</v>
      </c>
      <c r="F264" s="4">
        <v>6806.7226000000001</v>
      </c>
      <c r="G264" s="4">
        <f t="shared" si="5"/>
        <v>1293.277294</v>
      </c>
      <c r="H264" s="4">
        <f t="shared" si="6"/>
        <v>8099.9998940000005</v>
      </c>
      <c r="I264" s="4"/>
      <c r="J264" s="4"/>
    </row>
    <row r="265" spans="1:10">
      <c r="A265" s="1">
        <v>264</v>
      </c>
      <c r="B265" s="1" t="s">
        <v>619</v>
      </c>
      <c r="C265" s="9">
        <v>44676</v>
      </c>
      <c r="D265" s="1" t="s">
        <v>39</v>
      </c>
      <c r="E265" s="1">
        <v>91041</v>
      </c>
      <c r="F265" s="4">
        <v>6806.7226000000001</v>
      </c>
      <c r="G265" s="4">
        <f t="shared" si="5"/>
        <v>1293.277294</v>
      </c>
      <c r="H265" s="4">
        <f t="shared" si="6"/>
        <v>8099.9998940000005</v>
      </c>
      <c r="I265" s="4"/>
      <c r="J265" s="4"/>
    </row>
    <row r="266" spans="1:10">
      <c r="A266" s="1">
        <v>265</v>
      </c>
      <c r="B266" s="1" t="s">
        <v>620</v>
      </c>
      <c r="C266" s="9">
        <v>44676</v>
      </c>
      <c r="D266" s="1" t="s">
        <v>39</v>
      </c>
      <c r="E266" s="1">
        <v>91042</v>
      </c>
      <c r="F266" s="4">
        <v>6806.7226000000001</v>
      </c>
      <c r="G266" s="4">
        <f t="shared" si="5"/>
        <v>1293.277294</v>
      </c>
      <c r="H266" s="4">
        <f t="shared" si="6"/>
        <v>8099.9998940000005</v>
      </c>
      <c r="I266" s="4"/>
      <c r="J266" s="4"/>
    </row>
    <row r="267" spans="1:10">
      <c r="A267" s="1">
        <v>266</v>
      </c>
      <c r="B267" s="1" t="s">
        <v>621</v>
      </c>
      <c r="C267" s="9">
        <v>44676</v>
      </c>
      <c r="D267" s="1" t="s">
        <v>39</v>
      </c>
      <c r="E267" s="1">
        <v>91043</v>
      </c>
      <c r="F267" s="4">
        <v>6806.7226000000001</v>
      </c>
      <c r="G267" s="4">
        <f t="shared" si="5"/>
        <v>1293.277294</v>
      </c>
      <c r="H267" s="4">
        <f t="shared" si="6"/>
        <v>8099.9998940000005</v>
      </c>
      <c r="I267" s="4"/>
      <c r="J267" s="4"/>
    </row>
    <row r="268" spans="1:10">
      <c r="A268" s="1">
        <v>267</v>
      </c>
      <c r="B268" s="1" t="s">
        <v>622</v>
      </c>
      <c r="C268" s="9">
        <v>44676</v>
      </c>
      <c r="D268" s="1" t="s">
        <v>39</v>
      </c>
      <c r="E268" s="1">
        <v>91044</v>
      </c>
      <c r="F268" s="4">
        <v>6806.7226000000001</v>
      </c>
      <c r="G268" s="4">
        <f t="shared" si="5"/>
        <v>1293.277294</v>
      </c>
      <c r="H268" s="4">
        <f t="shared" si="6"/>
        <v>8099.9998940000005</v>
      </c>
      <c r="I268" s="4"/>
      <c r="J268" s="4"/>
    </row>
    <row r="269" spans="1:10">
      <c r="A269" s="1">
        <v>268</v>
      </c>
      <c r="B269" s="1" t="s">
        <v>623</v>
      </c>
      <c r="C269" s="9">
        <v>44676</v>
      </c>
      <c r="D269" s="1" t="s">
        <v>39</v>
      </c>
      <c r="E269" s="1">
        <v>91045</v>
      </c>
      <c r="F269" s="4">
        <v>13613.445</v>
      </c>
      <c r="G269" s="4">
        <f t="shared" si="5"/>
        <v>2586.5545499999998</v>
      </c>
      <c r="H269" s="4">
        <f t="shared" si="6"/>
        <v>16199.99955</v>
      </c>
      <c r="I269" s="4"/>
      <c r="J269" s="4"/>
    </row>
    <row r="270" spans="1:10">
      <c r="A270" s="1">
        <v>269</v>
      </c>
      <c r="B270" s="1" t="s">
        <v>624</v>
      </c>
      <c r="C270" s="9">
        <v>44676</v>
      </c>
      <c r="D270" s="1" t="s">
        <v>39</v>
      </c>
      <c r="E270" s="1">
        <v>91046</v>
      </c>
      <c r="F270" s="4">
        <v>7563.0249999999996</v>
      </c>
      <c r="G270" s="4">
        <f t="shared" si="5"/>
        <v>1436.9747499999999</v>
      </c>
      <c r="H270" s="4">
        <f t="shared" si="6"/>
        <v>8999.999749999999</v>
      </c>
      <c r="I270" s="4"/>
      <c r="J270" s="4"/>
    </row>
    <row r="271" spans="1:10">
      <c r="A271" s="1">
        <v>270</v>
      </c>
      <c r="B271" s="1" t="s">
        <v>625</v>
      </c>
      <c r="C271" s="9">
        <v>44676</v>
      </c>
      <c r="D271" s="1" t="s">
        <v>39</v>
      </c>
      <c r="E271" s="1">
        <v>91047</v>
      </c>
      <c r="F271" s="4">
        <v>13613.445</v>
      </c>
      <c r="G271" s="4">
        <f t="shared" si="5"/>
        <v>2586.5545499999998</v>
      </c>
      <c r="H271" s="4">
        <f t="shared" si="6"/>
        <v>16199.99955</v>
      </c>
      <c r="I271" s="4"/>
      <c r="J271" s="4"/>
    </row>
    <row r="272" spans="1:10">
      <c r="A272" s="1">
        <v>271</v>
      </c>
      <c r="B272" s="1" t="s">
        <v>168</v>
      </c>
      <c r="C272" s="9">
        <v>44679</v>
      </c>
      <c r="D272" s="1" t="s">
        <v>39</v>
      </c>
      <c r="E272" s="1">
        <v>91048</v>
      </c>
      <c r="F272" s="4">
        <v>21848.7395</v>
      </c>
      <c r="G272" s="4">
        <f t="shared" si="5"/>
        <v>4151.2605050000002</v>
      </c>
      <c r="H272" s="4">
        <f t="shared" si="6"/>
        <v>26000.000005000002</v>
      </c>
      <c r="I272" s="4"/>
      <c r="J272" s="4"/>
    </row>
    <row r="273" spans="1:10">
      <c r="A273" s="1">
        <v>272</v>
      </c>
      <c r="B273" s="1" t="s">
        <v>626</v>
      </c>
      <c r="C273" s="9">
        <v>44681</v>
      </c>
      <c r="D273" s="1" t="s">
        <v>39</v>
      </c>
      <c r="E273" s="1">
        <v>91049</v>
      </c>
      <c r="F273" s="4">
        <v>28571.43</v>
      </c>
      <c r="G273" s="4">
        <f t="shared" si="5"/>
        <v>5428.5717000000004</v>
      </c>
      <c r="H273" s="4">
        <f t="shared" si="6"/>
        <v>34000.001700000001</v>
      </c>
      <c r="I273" s="4"/>
      <c r="J273" s="4"/>
    </row>
    <row r="274" spans="1:10">
      <c r="A274" s="1">
        <v>273</v>
      </c>
      <c r="B274" s="1" t="s">
        <v>627</v>
      </c>
      <c r="C274" s="9">
        <v>44682</v>
      </c>
      <c r="D274" s="1" t="s">
        <v>39</v>
      </c>
      <c r="E274" s="1">
        <v>91050</v>
      </c>
      <c r="F274" s="4">
        <v>12605</v>
      </c>
      <c r="G274" s="4">
        <f t="shared" si="5"/>
        <v>2394.9499999999998</v>
      </c>
      <c r="H274" s="4">
        <f t="shared" si="6"/>
        <v>14999.95</v>
      </c>
      <c r="I274" s="4"/>
      <c r="J274" s="4"/>
    </row>
    <row r="275" spans="1:10">
      <c r="A275" s="1">
        <v>274</v>
      </c>
      <c r="B275" s="1" t="s">
        <v>595</v>
      </c>
      <c r="C275" s="9">
        <v>44685</v>
      </c>
      <c r="D275" s="1" t="s">
        <v>39</v>
      </c>
      <c r="E275" s="1">
        <v>91051</v>
      </c>
      <c r="F275" s="4">
        <v>12605</v>
      </c>
      <c r="G275" s="4">
        <f t="shared" si="5"/>
        <v>2394.9499999999998</v>
      </c>
      <c r="H275" s="4">
        <f t="shared" si="6"/>
        <v>14999.95</v>
      </c>
      <c r="I275" s="4"/>
      <c r="J275" s="4"/>
    </row>
    <row r="276" spans="1:10">
      <c r="A276" s="1">
        <v>275</v>
      </c>
      <c r="B276" s="1" t="s">
        <v>580</v>
      </c>
      <c r="C276" s="9">
        <v>44685</v>
      </c>
      <c r="D276" s="1"/>
      <c r="F276" s="4">
        <v>16807</v>
      </c>
      <c r="G276" s="4">
        <f t="shared" si="5"/>
        <v>3193.33</v>
      </c>
      <c r="H276" s="4">
        <f t="shared" si="6"/>
        <v>20000.330000000002</v>
      </c>
      <c r="I276" s="4"/>
      <c r="J276" s="4"/>
    </row>
    <row r="277" spans="1:10">
      <c r="A277" s="1">
        <v>276</v>
      </c>
      <c r="B277" s="1" t="s">
        <v>628</v>
      </c>
      <c r="C277" s="9">
        <v>44685</v>
      </c>
      <c r="D277" s="1" t="s">
        <v>39</v>
      </c>
      <c r="E277" s="1">
        <v>91052</v>
      </c>
      <c r="F277" s="4">
        <v>40420.167999999998</v>
      </c>
      <c r="G277" s="4">
        <f t="shared" si="5"/>
        <v>7679.8319199999996</v>
      </c>
      <c r="H277" s="4">
        <f t="shared" si="6"/>
        <v>48099.999919999995</v>
      </c>
      <c r="I277" s="4"/>
      <c r="J277" s="4"/>
    </row>
    <row r="278" spans="1:10">
      <c r="A278" s="1">
        <v>277</v>
      </c>
      <c r="B278" s="1" t="s">
        <v>629</v>
      </c>
      <c r="C278" s="9">
        <v>44685</v>
      </c>
      <c r="D278" s="1" t="s">
        <v>39</v>
      </c>
      <c r="E278" s="1">
        <v>91053</v>
      </c>
      <c r="F278" s="4">
        <v>6807</v>
      </c>
      <c r="G278" s="4">
        <f t="shared" si="5"/>
        <v>1293.33</v>
      </c>
      <c r="H278" s="4">
        <f t="shared" si="6"/>
        <v>8100.33</v>
      </c>
      <c r="I278" s="4"/>
      <c r="J278" s="4"/>
    </row>
    <row r="279" spans="1:10">
      <c r="A279" s="1">
        <v>278</v>
      </c>
      <c r="B279" s="1" t="s">
        <v>630</v>
      </c>
      <c r="C279" s="9">
        <v>44686</v>
      </c>
      <c r="D279" s="1" t="s">
        <v>39</v>
      </c>
      <c r="E279" s="1">
        <v>91054</v>
      </c>
      <c r="F279" s="4">
        <v>6807</v>
      </c>
      <c r="G279" s="4">
        <f t="shared" si="5"/>
        <v>1293.33</v>
      </c>
      <c r="H279" s="4">
        <f t="shared" si="6"/>
        <v>8100.33</v>
      </c>
      <c r="I279" s="4"/>
      <c r="J279" s="4"/>
    </row>
    <row r="280" spans="1:10">
      <c r="A280" s="1">
        <v>279</v>
      </c>
      <c r="B280" s="1" t="s">
        <v>631</v>
      </c>
      <c r="C280" s="9">
        <v>44687</v>
      </c>
      <c r="D280" s="1" t="s">
        <v>39</v>
      </c>
      <c r="E280" s="1">
        <v>91055</v>
      </c>
      <c r="F280" s="4">
        <v>33613.445</v>
      </c>
      <c r="G280" s="4">
        <f t="shared" si="5"/>
        <v>6386.5545499999998</v>
      </c>
      <c r="H280" s="4">
        <f t="shared" si="6"/>
        <v>39999.99955</v>
      </c>
      <c r="I280" s="4"/>
      <c r="J280" s="4"/>
    </row>
    <row r="281" spans="1:10">
      <c r="A281" s="1">
        <v>280</v>
      </c>
      <c r="B281" s="1" t="s">
        <v>632</v>
      </c>
      <c r="C281" s="9">
        <v>44687</v>
      </c>
      <c r="D281" s="1" t="s">
        <v>39</v>
      </c>
      <c r="E281" s="1">
        <v>91056</v>
      </c>
      <c r="F281" s="4">
        <v>11344.537</v>
      </c>
      <c r="G281" s="4">
        <f t="shared" si="5"/>
        <v>2155.4620300000001</v>
      </c>
      <c r="H281" s="4">
        <f t="shared" si="6"/>
        <v>13499.999030000001</v>
      </c>
      <c r="I281" s="4"/>
      <c r="J281" s="4"/>
    </row>
    <row r="282" spans="1:10">
      <c r="A282" s="1">
        <v>281</v>
      </c>
      <c r="B282" s="1" t="s">
        <v>633</v>
      </c>
      <c r="C282" s="9">
        <v>44690</v>
      </c>
      <c r="D282" s="1" t="s">
        <v>39</v>
      </c>
      <c r="E282" s="1">
        <v>91057</v>
      </c>
      <c r="F282" s="4">
        <v>6807</v>
      </c>
      <c r="G282" s="4">
        <f t="shared" si="5"/>
        <v>1293.33</v>
      </c>
      <c r="H282" s="4">
        <f t="shared" si="6"/>
        <v>8100.33</v>
      </c>
      <c r="I282" s="4"/>
      <c r="J282" s="4"/>
    </row>
    <row r="283" spans="1:10">
      <c r="A283" s="1">
        <v>282</v>
      </c>
      <c r="B283" s="1" t="s">
        <v>634</v>
      </c>
      <c r="C283" s="9">
        <v>44690</v>
      </c>
      <c r="D283" s="1" t="s">
        <v>39</v>
      </c>
      <c r="E283" s="1">
        <v>91058</v>
      </c>
      <c r="F283" s="4">
        <v>23529.41</v>
      </c>
      <c r="G283" s="4">
        <f t="shared" si="5"/>
        <v>4470.5879000000004</v>
      </c>
      <c r="H283" s="4">
        <f t="shared" si="6"/>
        <v>27999.997900000002</v>
      </c>
      <c r="I283" s="4"/>
      <c r="J283" s="4"/>
    </row>
    <row r="284" spans="1:10">
      <c r="A284" s="1">
        <v>283</v>
      </c>
      <c r="B284" s="1" t="s">
        <v>635</v>
      </c>
      <c r="C284" s="9">
        <v>44690</v>
      </c>
      <c r="D284" s="1" t="s">
        <v>39</v>
      </c>
      <c r="E284" s="1">
        <v>91059</v>
      </c>
      <c r="F284" s="4">
        <v>16807</v>
      </c>
      <c r="G284" s="4">
        <f t="shared" si="5"/>
        <v>3193.33</v>
      </c>
      <c r="H284" s="4">
        <f t="shared" si="6"/>
        <v>20000.330000000002</v>
      </c>
      <c r="I284" s="4"/>
      <c r="J284" s="4"/>
    </row>
    <row r="285" spans="1:10">
      <c r="A285" s="1">
        <v>284</v>
      </c>
      <c r="B285" s="1" t="s">
        <v>636</v>
      </c>
      <c r="C285" s="9">
        <v>44691</v>
      </c>
      <c r="D285" s="1" t="s">
        <v>39</v>
      </c>
      <c r="E285" s="1">
        <v>91060</v>
      </c>
      <c r="F285" s="4">
        <v>53781.51</v>
      </c>
      <c r="G285" s="4">
        <f t="shared" si="5"/>
        <v>10218.4869</v>
      </c>
      <c r="H285" s="4">
        <f t="shared" si="6"/>
        <v>63999.996899999998</v>
      </c>
      <c r="I285" s="4"/>
      <c r="J285" s="4"/>
    </row>
    <row r="286" spans="1:10">
      <c r="A286" s="1">
        <v>285</v>
      </c>
      <c r="B286" s="1" t="s">
        <v>637</v>
      </c>
      <c r="C286" s="9">
        <v>44691</v>
      </c>
      <c r="D286" s="1" t="s">
        <v>39</v>
      </c>
      <c r="E286" s="1">
        <v>91061</v>
      </c>
      <c r="F286" s="4">
        <v>43193.277000000002</v>
      </c>
      <c r="G286" s="4">
        <f t="shared" si="5"/>
        <v>8206.7226300000002</v>
      </c>
      <c r="H286" s="4">
        <f t="shared" si="6"/>
        <v>51399.999630000006</v>
      </c>
      <c r="I286" s="4"/>
      <c r="J286" s="4"/>
    </row>
    <row r="287" spans="1:10">
      <c r="A287" s="1">
        <v>286</v>
      </c>
      <c r="B287" s="1" t="s">
        <v>638</v>
      </c>
      <c r="C287" s="9">
        <v>44692</v>
      </c>
      <c r="D287" s="1" t="s">
        <v>39</v>
      </c>
      <c r="E287" s="1">
        <v>91062</v>
      </c>
      <c r="F287" s="4">
        <v>6722.6890000000003</v>
      </c>
      <c r="G287" s="4">
        <f t="shared" si="5"/>
        <v>1277.3109100000001</v>
      </c>
      <c r="H287" s="4">
        <f t="shared" si="6"/>
        <v>7999.9999100000005</v>
      </c>
      <c r="I287" s="4"/>
      <c r="J287" s="4"/>
    </row>
    <row r="288" spans="1:10">
      <c r="A288" s="1">
        <v>287</v>
      </c>
      <c r="B288" s="1" t="s">
        <v>639</v>
      </c>
      <c r="C288" s="9">
        <v>44692</v>
      </c>
      <c r="D288" s="1" t="s">
        <v>39</v>
      </c>
      <c r="E288" s="1">
        <v>91063</v>
      </c>
      <c r="F288" s="4">
        <v>20084</v>
      </c>
      <c r="G288" s="4">
        <f t="shared" si="5"/>
        <v>3815.96</v>
      </c>
      <c r="H288" s="4">
        <f t="shared" si="6"/>
        <v>23899.96</v>
      </c>
      <c r="I288" s="4"/>
      <c r="J288" s="4"/>
    </row>
    <row r="289" spans="1:10">
      <c r="A289" s="1">
        <v>288</v>
      </c>
      <c r="B289" s="1" t="s">
        <v>590</v>
      </c>
      <c r="C289" s="9">
        <v>44692</v>
      </c>
      <c r="D289" s="1" t="s">
        <v>39</v>
      </c>
      <c r="E289" s="1">
        <v>91064</v>
      </c>
      <c r="F289" s="4">
        <v>12605</v>
      </c>
      <c r="G289" s="4">
        <f t="shared" si="5"/>
        <v>2394.9499999999998</v>
      </c>
      <c r="H289" s="4">
        <f t="shared" si="6"/>
        <v>14999.95</v>
      </c>
      <c r="I289" s="4"/>
      <c r="J289" s="4"/>
    </row>
    <row r="290" spans="1:10">
      <c r="A290" s="1">
        <v>289</v>
      </c>
      <c r="B290" s="1" t="s">
        <v>622</v>
      </c>
      <c r="C290" s="9">
        <v>44693</v>
      </c>
      <c r="D290" s="1" t="s">
        <v>39</v>
      </c>
      <c r="E290" s="1">
        <v>91065</v>
      </c>
      <c r="F290" s="4">
        <v>7563</v>
      </c>
      <c r="G290" s="4">
        <f t="shared" si="5"/>
        <v>1436.97</v>
      </c>
      <c r="H290" s="4">
        <f t="shared" si="6"/>
        <v>8999.9699999999993</v>
      </c>
      <c r="I290" s="4"/>
      <c r="J290" s="4"/>
    </row>
    <row r="291" spans="1:10">
      <c r="A291" s="1">
        <v>290</v>
      </c>
      <c r="B291" s="1" t="s">
        <v>640</v>
      </c>
      <c r="C291" s="9">
        <v>44693</v>
      </c>
      <c r="D291" s="1" t="s">
        <v>39</v>
      </c>
      <c r="E291" s="1">
        <v>91066</v>
      </c>
      <c r="F291" s="4">
        <v>48739.495000000003</v>
      </c>
      <c r="G291" s="4">
        <f t="shared" si="5"/>
        <v>9260.5040500000014</v>
      </c>
      <c r="H291" s="4">
        <f t="shared" si="6"/>
        <v>57999.999050000006</v>
      </c>
      <c r="I291" s="4"/>
      <c r="J291" s="4"/>
    </row>
    <row r="292" spans="1:10">
      <c r="A292" s="1">
        <v>291</v>
      </c>
      <c r="B292" s="1" t="s">
        <v>641</v>
      </c>
      <c r="C292" s="9">
        <v>44696</v>
      </c>
      <c r="D292" s="1" t="s">
        <v>39</v>
      </c>
      <c r="E292" s="1">
        <v>91067</v>
      </c>
      <c r="F292" s="4">
        <v>20168.066999999999</v>
      </c>
      <c r="G292" s="4">
        <f t="shared" si="5"/>
        <v>3831.93273</v>
      </c>
      <c r="H292" s="4">
        <f t="shared" si="6"/>
        <v>23999.99973</v>
      </c>
      <c r="I292" s="4"/>
      <c r="J292" s="4"/>
    </row>
    <row r="293" spans="1:10">
      <c r="A293" s="1">
        <v>292</v>
      </c>
      <c r="B293" s="1" t="s">
        <v>642</v>
      </c>
      <c r="C293" s="9">
        <v>44696</v>
      </c>
      <c r="D293" s="1" t="s">
        <v>39</v>
      </c>
      <c r="E293" s="1">
        <v>91068</v>
      </c>
      <c r="F293" s="4">
        <v>6722.6890000000003</v>
      </c>
      <c r="G293" s="4">
        <f t="shared" si="5"/>
        <v>1277.3109100000001</v>
      </c>
      <c r="H293" s="4">
        <f t="shared" si="6"/>
        <v>7999.9999100000005</v>
      </c>
      <c r="I293" s="4"/>
      <c r="J293" s="4"/>
    </row>
    <row r="294" spans="1:10">
      <c r="A294" s="1">
        <v>293</v>
      </c>
      <c r="B294" s="1" t="s">
        <v>643</v>
      </c>
      <c r="C294" s="9">
        <v>44696</v>
      </c>
      <c r="D294" s="1" t="s">
        <v>39</v>
      </c>
      <c r="E294" s="1">
        <v>91069</v>
      </c>
      <c r="F294" s="4">
        <v>56218.487000000001</v>
      </c>
      <c r="G294" s="4">
        <f t="shared" si="5"/>
        <v>10681.51253</v>
      </c>
      <c r="H294" s="4">
        <f t="shared" si="6"/>
        <v>66899.999530000001</v>
      </c>
      <c r="I294" s="4"/>
      <c r="J294" s="4"/>
    </row>
    <row r="295" spans="1:10">
      <c r="A295" s="1">
        <v>294</v>
      </c>
      <c r="B295" s="1" t="s">
        <v>644</v>
      </c>
      <c r="C295" s="9">
        <v>44698</v>
      </c>
      <c r="D295" s="1" t="s">
        <v>39</v>
      </c>
      <c r="E295" s="1">
        <v>91070</v>
      </c>
      <c r="F295" s="4">
        <v>12605</v>
      </c>
      <c r="G295" s="4">
        <f t="shared" si="5"/>
        <v>2394.9499999999998</v>
      </c>
      <c r="H295" s="4">
        <f t="shared" si="6"/>
        <v>14999.95</v>
      </c>
      <c r="I295" s="4"/>
      <c r="J295" s="4"/>
    </row>
    <row r="296" spans="1:10">
      <c r="A296" s="1">
        <v>295</v>
      </c>
      <c r="B296" s="1" t="s">
        <v>580</v>
      </c>
      <c r="C296" s="9">
        <v>44699</v>
      </c>
      <c r="D296" s="1"/>
      <c r="F296" s="4">
        <v>16807</v>
      </c>
      <c r="G296" s="4">
        <f t="shared" si="5"/>
        <v>3193.33</v>
      </c>
      <c r="H296" s="4">
        <f t="shared" si="6"/>
        <v>20000.330000000002</v>
      </c>
      <c r="I296" s="4"/>
      <c r="J296" s="4"/>
    </row>
    <row r="297" spans="1:10">
      <c r="A297" s="1">
        <v>296</v>
      </c>
      <c r="B297" s="1" t="s">
        <v>645</v>
      </c>
      <c r="C297" s="9">
        <v>44700</v>
      </c>
      <c r="D297" s="1" t="s">
        <v>39</v>
      </c>
      <c r="E297" s="1">
        <v>91071</v>
      </c>
      <c r="F297" s="4">
        <v>6807</v>
      </c>
      <c r="G297" s="4">
        <f t="shared" si="5"/>
        <v>1293.33</v>
      </c>
      <c r="H297" s="4">
        <f t="shared" si="6"/>
        <v>8100.33</v>
      </c>
      <c r="I297" s="4"/>
      <c r="J297" s="4"/>
    </row>
    <row r="298" spans="1:10">
      <c r="A298" s="1">
        <v>297</v>
      </c>
      <c r="B298" s="1" t="s">
        <v>638</v>
      </c>
      <c r="C298" s="9">
        <v>44701</v>
      </c>
      <c r="D298" s="1" t="s">
        <v>39</v>
      </c>
      <c r="E298" s="1">
        <v>91072</v>
      </c>
      <c r="F298" s="4">
        <v>6807</v>
      </c>
      <c r="G298" s="4">
        <f t="shared" si="5"/>
        <v>1293.33</v>
      </c>
      <c r="H298" s="4">
        <f t="shared" si="6"/>
        <v>8100.33</v>
      </c>
      <c r="I298" s="4"/>
      <c r="J298" s="4"/>
    </row>
    <row r="299" spans="1:10">
      <c r="A299" s="1">
        <v>298</v>
      </c>
      <c r="B299" s="1" t="s">
        <v>580</v>
      </c>
      <c r="C299" s="9">
        <v>44702</v>
      </c>
      <c r="D299" s="1"/>
      <c r="F299" s="4">
        <v>16807</v>
      </c>
      <c r="G299" s="4">
        <f t="shared" si="5"/>
        <v>3193.33</v>
      </c>
      <c r="H299" s="4">
        <f t="shared" si="6"/>
        <v>20000.330000000002</v>
      </c>
      <c r="I299" s="4"/>
      <c r="J299" s="4"/>
    </row>
    <row r="300" spans="1:10">
      <c r="A300" s="1">
        <v>299</v>
      </c>
      <c r="B300" s="1" t="s">
        <v>646</v>
      </c>
      <c r="C300" s="9">
        <v>44702</v>
      </c>
      <c r="D300" s="1" t="s">
        <v>39</v>
      </c>
      <c r="E300" s="1">
        <v>91073</v>
      </c>
      <c r="F300" s="4">
        <v>6807</v>
      </c>
      <c r="G300" s="4">
        <f t="shared" si="5"/>
        <v>1293.33</v>
      </c>
      <c r="H300" s="4">
        <f t="shared" si="6"/>
        <v>8100.33</v>
      </c>
      <c r="I300" s="4"/>
      <c r="J300" s="4"/>
    </row>
    <row r="301" spans="1:10">
      <c r="A301" s="1">
        <v>300</v>
      </c>
      <c r="B301" s="1" t="s">
        <v>647</v>
      </c>
      <c r="C301" s="9">
        <v>44702</v>
      </c>
      <c r="D301" s="1" t="s">
        <v>39</v>
      </c>
      <c r="E301" s="1">
        <v>91074</v>
      </c>
      <c r="F301" s="4">
        <v>5294.1170000000002</v>
      </c>
      <c r="G301" s="4">
        <f t="shared" si="5"/>
        <v>1005.88223</v>
      </c>
      <c r="H301" s="4">
        <f t="shared" si="6"/>
        <v>6299.9992300000004</v>
      </c>
      <c r="I301" s="4"/>
      <c r="J301" s="4"/>
    </row>
    <row r="302" spans="1:10">
      <c r="A302" s="1">
        <v>301</v>
      </c>
      <c r="B302" s="1" t="s">
        <v>648</v>
      </c>
      <c r="C302" s="9">
        <v>44703</v>
      </c>
      <c r="D302" s="1" t="s">
        <v>39</v>
      </c>
      <c r="E302" s="1">
        <v>91075</v>
      </c>
      <c r="F302" s="4">
        <v>6807</v>
      </c>
      <c r="G302" s="4">
        <f t="shared" si="5"/>
        <v>1293.33</v>
      </c>
      <c r="H302" s="4">
        <f t="shared" si="6"/>
        <v>8100.33</v>
      </c>
      <c r="I302" s="4"/>
      <c r="J302" s="4"/>
    </row>
    <row r="303" spans="1:10">
      <c r="A303" s="1">
        <v>302</v>
      </c>
      <c r="B303" s="1" t="s">
        <v>649</v>
      </c>
      <c r="C303" s="7">
        <v>44705</v>
      </c>
      <c r="D303" s="1" t="s">
        <v>39</v>
      </c>
      <c r="E303" s="1">
        <v>91076</v>
      </c>
      <c r="F303" s="4">
        <v>16807</v>
      </c>
      <c r="G303" s="4">
        <f t="shared" si="5"/>
        <v>3193.33</v>
      </c>
      <c r="H303" s="4">
        <f t="shared" si="6"/>
        <v>20000.330000000002</v>
      </c>
      <c r="I303" s="4"/>
      <c r="J303" s="4"/>
    </row>
    <row r="304" spans="1:10">
      <c r="A304" s="1">
        <v>303</v>
      </c>
      <c r="B304" s="1" t="s">
        <v>650</v>
      </c>
      <c r="C304" s="9">
        <v>44705</v>
      </c>
      <c r="D304" s="1" t="s">
        <v>39</v>
      </c>
      <c r="E304" s="1">
        <v>91077</v>
      </c>
      <c r="F304" s="4">
        <v>21008.400000000001</v>
      </c>
      <c r="G304" s="4">
        <f t="shared" si="5"/>
        <v>3991.5960000000005</v>
      </c>
      <c r="H304" s="4">
        <f t="shared" si="6"/>
        <v>24999.996000000003</v>
      </c>
      <c r="I304" s="4"/>
      <c r="J304" s="4"/>
    </row>
    <row r="305" spans="1:10">
      <c r="A305" s="1">
        <v>304</v>
      </c>
      <c r="B305" s="1" t="s">
        <v>580</v>
      </c>
      <c r="C305" s="9">
        <v>44706</v>
      </c>
      <c r="D305" s="1"/>
      <c r="F305" s="4">
        <v>16807</v>
      </c>
      <c r="G305" s="4">
        <f t="shared" si="5"/>
        <v>3193.33</v>
      </c>
      <c r="H305" s="4">
        <f t="shared" si="6"/>
        <v>20000.330000000002</v>
      </c>
      <c r="I305" s="4"/>
      <c r="J305" s="4"/>
    </row>
    <row r="306" spans="1:10">
      <c r="A306" s="1">
        <v>305</v>
      </c>
      <c r="B306" s="1" t="s">
        <v>185</v>
      </c>
      <c r="C306" s="9">
        <v>44706</v>
      </c>
      <c r="D306" s="1" t="s">
        <v>39</v>
      </c>
      <c r="E306" s="1">
        <v>91078</v>
      </c>
      <c r="F306" s="4">
        <v>97478.99</v>
      </c>
      <c r="G306" s="4">
        <f t="shared" si="5"/>
        <v>18521.008100000003</v>
      </c>
      <c r="H306" s="4">
        <f t="shared" si="6"/>
        <v>115999.99810000001</v>
      </c>
      <c r="I306" s="4"/>
      <c r="J306" s="4"/>
    </row>
    <row r="307" spans="1:10">
      <c r="A307" s="1">
        <v>306</v>
      </c>
      <c r="B307" s="1" t="s">
        <v>651</v>
      </c>
      <c r="C307" s="9">
        <v>44706</v>
      </c>
      <c r="D307" s="1" t="s">
        <v>39</v>
      </c>
      <c r="E307" s="1">
        <v>91079</v>
      </c>
      <c r="F307" s="4">
        <v>104201.68</v>
      </c>
      <c r="G307" s="4">
        <f t="shared" si="5"/>
        <v>19798.319199999998</v>
      </c>
      <c r="H307" s="4">
        <f t="shared" si="6"/>
        <v>123999.99919999999</v>
      </c>
      <c r="I307" s="4"/>
      <c r="J307" s="4"/>
    </row>
    <row r="308" spans="1:10">
      <c r="A308" s="1">
        <v>307</v>
      </c>
      <c r="B308" s="1" t="s">
        <v>580</v>
      </c>
      <c r="C308" s="9">
        <v>44707</v>
      </c>
      <c r="D308" s="1"/>
      <c r="F308" s="4">
        <v>16807</v>
      </c>
      <c r="G308" s="4">
        <f t="shared" si="5"/>
        <v>3193.33</v>
      </c>
      <c r="H308" s="4">
        <f t="shared" si="6"/>
        <v>20000.330000000002</v>
      </c>
      <c r="I308" s="4"/>
      <c r="J308" s="4"/>
    </row>
    <row r="309" spans="1:10">
      <c r="A309" s="1">
        <v>308</v>
      </c>
      <c r="B309" s="1" t="s">
        <v>652</v>
      </c>
      <c r="C309" s="9">
        <v>44709</v>
      </c>
      <c r="D309" s="1" t="s">
        <v>39</v>
      </c>
      <c r="E309" s="1">
        <v>91080</v>
      </c>
      <c r="F309" s="4">
        <v>25210</v>
      </c>
      <c r="G309" s="4">
        <f t="shared" si="5"/>
        <v>4789.8999999999996</v>
      </c>
      <c r="H309" s="4">
        <f t="shared" si="6"/>
        <v>29999.9</v>
      </c>
      <c r="I309" s="4"/>
      <c r="J309" s="4"/>
    </row>
    <row r="310" spans="1:10">
      <c r="A310" s="1">
        <v>309</v>
      </c>
      <c r="B310" s="1" t="s">
        <v>653</v>
      </c>
      <c r="C310" s="9">
        <v>44710</v>
      </c>
      <c r="D310" s="1" t="s">
        <v>39</v>
      </c>
      <c r="E310" s="1">
        <v>91081</v>
      </c>
      <c r="F310" s="4">
        <v>22689.076000000001</v>
      </c>
      <c r="G310" s="4">
        <f t="shared" si="5"/>
        <v>4310.9244399999998</v>
      </c>
      <c r="H310" s="4">
        <f t="shared" si="6"/>
        <v>27000.00044</v>
      </c>
      <c r="I310" s="4"/>
      <c r="J310" s="4"/>
    </row>
    <row r="311" spans="1:10">
      <c r="A311" s="1">
        <v>310</v>
      </c>
      <c r="B311" s="1" t="s">
        <v>654</v>
      </c>
      <c r="C311" s="9">
        <v>44710</v>
      </c>
      <c r="D311" s="1" t="s">
        <v>39</v>
      </c>
      <c r="E311" s="1">
        <v>91082</v>
      </c>
      <c r="F311" s="4">
        <v>18487.395</v>
      </c>
      <c r="G311" s="4">
        <f t="shared" si="5"/>
        <v>3512.6050500000001</v>
      </c>
      <c r="H311" s="4">
        <f t="shared" si="6"/>
        <v>22000.000050000002</v>
      </c>
      <c r="I311" s="4"/>
      <c r="J311" s="4"/>
    </row>
    <row r="312" spans="1:10">
      <c r="A312" s="1">
        <v>311</v>
      </c>
      <c r="B312" s="1" t="s">
        <v>655</v>
      </c>
      <c r="C312" s="9">
        <v>44710</v>
      </c>
      <c r="D312" s="1" t="s">
        <v>39</v>
      </c>
      <c r="E312" s="1">
        <v>91083</v>
      </c>
      <c r="F312" s="4">
        <v>7563.0249999999996</v>
      </c>
      <c r="G312" s="4">
        <f t="shared" si="5"/>
        <v>1436.9747499999999</v>
      </c>
      <c r="H312" s="4">
        <f t="shared" si="6"/>
        <v>8999.999749999999</v>
      </c>
      <c r="I312" s="4"/>
      <c r="J312" s="4"/>
    </row>
    <row r="313" spans="1:10">
      <c r="A313" s="1">
        <v>312</v>
      </c>
      <c r="B313" s="1" t="s">
        <v>656</v>
      </c>
      <c r="C313" s="9">
        <v>44710</v>
      </c>
      <c r="D313" s="1" t="s">
        <v>39</v>
      </c>
      <c r="E313" s="1">
        <v>91084</v>
      </c>
      <c r="F313" s="4">
        <v>18487.395</v>
      </c>
      <c r="G313" s="4">
        <f t="shared" si="5"/>
        <v>3512.6050500000001</v>
      </c>
      <c r="H313" s="4">
        <f t="shared" si="6"/>
        <v>22000.000050000002</v>
      </c>
      <c r="I313" s="4"/>
      <c r="J313" s="4"/>
    </row>
    <row r="314" spans="1:10">
      <c r="A314" s="1">
        <v>313</v>
      </c>
      <c r="B314" s="1" t="s">
        <v>657</v>
      </c>
      <c r="C314" s="9">
        <v>44710</v>
      </c>
      <c r="D314" s="1" t="s">
        <v>39</v>
      </c>
      <c r="E314" s="1">
        <v>91085</v>
      </c>
      <c r="F314" s="4">
        <v>21008.400000000001</v>
      </c>
      <c r="G314" s="4">
        <f t="shared" si="5"/>
        <v>3991.5960000000005</v>
      </c>
      <c r="H314" s="4">
        <f t="shared" si="6"/>
        <v>24999.996000000003</v>
      </c>
      <c r="I314" s="4"/>
      <c r="J314" s="4"/>
    </row>
    <row r="315" spans="1:10">
      <c r="A315" s="1">
        <v>314</v>
      </c>
      <c r="B315" s="1" t="s">
        <v>658</v>
      </c>
      <c r="C315" s="9">
        <v>44710</v>
      </c>
      <c r="D315" s="1" t="s">
        <v>39</v>
      </c>
      <c r="E315" s="1">
        <v>91086</v>
      </c>
      <c r="F315" s="4">
        <v>18487.395</v>
      </c>
      <c r="G315" s="4">
        <f t="shared" si="5"/>
        <v>3512.6050500000001</v>
      </c>
      <c r="H315" s="4">
        <f t="shared" si="6"/>
        <v>22000.000050000002</v>
      </c>
      <c r="I315" s="4"/>
      <c r="J315" s="4"/>
    </row>
    <row r="316" spans="1:10">
      <c r="A316" s="1">
        <v>315</v>
      </c>
      <c r="B316" s="1" t="s">
        <v>659</v>
      </c>
      <c r="C316" s="9">
        <v>44711</v>
      </c>
      <c r="D316" s="1" t="s">
        <v>39</v>
      </c>
      <c r="E316" s="1">
        <v>91087</v>
      </c>
      <c r="F316" s="4">
        <v>22689.076000000001</v>
      </c>
      <c r="G316" s="4">
        <f t="shared" si="5"/>
        <v>4310.9244399999998</v>
      </c>
      <c r="H316" s="4">
        <f t="shared" si="6"/>
        <v>27000.00044</v>
      </c>
      <c r="I316" s="4"/>
      <c r="J316" s="4"/>
    </row>
    <row r="317" spans="1:10">
      <c r="A317" s="1">
        <v>316</v>
      </c>
      <c r="B317" s="1" t="s">
        <v>660</v>
      </c>
      <c r="C317" s="9">
        <v>44711</v>
      </c>
      <c r="D317" s="1" t="s">
        <v>39</v>
      </c>
      <c r="E317" s="1">
        <v>91088</v>
      </c>
      <c r="F317" s="4">
        <v>18487.395</v>
      </c>
      <c r="G317" s="4">
        <f t="shared" si="5"/>
        <v>3512.6050500000001</v>
      </c>
      <c r="H317" s="4">
        <f t="shared" si="6"/>
        <v>22000.000050000002</v>
      </c>
      <c r="I317" s="4"/>
      <c r="J317" s="4"/>
    </row>
    <row r="318" spans="1:10">
      <c r="A318" s="1">
        <v>317</v>
      </c>
      <c r="B318" s="1" t="s">
        <v>661</v>
      </c>
      <c r="C318" s="9">
        <v>44711</v>
      </c>
      <c r="D318" s="1" t="s">
        <v>39</v>
      </c>
      <c r="E318" s="1">
        <v>91089</v>
      </c>
      <c r="F318" s="4">
        <v>18487.395</v>
      </c>
      <c r="G318" s="4">
        <f t="shared" si="5"/>
        <v>3512.6050500000001</v>
      </c>
      <c r="H318" s="4">
        <f t="shared" si="6"/>
        <v>22000.000050000002</v>
      </c>
      <c r="I318" s="4"/>
      <c r="J318" s="4"/>
    </row>
    <row r="319" spans="1:10">
      <c r="A319" s="1">
        <v>318</v>
      </c>
      <c r="B319" s="1" t="s">
        <v>662</v>
      </c>
      <c r="C319" s="9">
        <v>44711</v>
      </c>
      <c r="D319" s="1" t="s">
        <v>39</v>
      </c>
      <c r="E319" s="1">
        <v>91090</v>
      </c>
      <c r="F319" s="4">
        <v>18487.395</v>
      </c>
      <c r="G319" s="4">
        <f t="shared" si="5"/>
        <v>3512.6050500000001</v>
      </c>
      <c r="H319" s="4">
        <f t="shared" si="6"/>
        <v>22000.000050000002</v>
      </c>
      <c r="I319" s="4"/>
      <c r="J319" s="4"/>
    </row>
    <row r="320" spans="1:10">
      <c r="A320" s="1">
        <v>319</v>
      </c>
      <c r="B320" s="1" t="s">
        <v>663</v>
      </c>
      <c r="C320" s="9">
        <v>44712</v>
      </c>
      <c r="D320" s="1" t="s">
        <v>39</v>
      </c>
      <c r="E320" s="1">
        <v>91091</v>
      </c>
      <c r="F320" s="4">
        <v>22689.076000000001</v>
      </c>
      <c r="G320" s="4">
        <f t="shared" si="5"/>
        <v>4310.9244399999998</v>
      </c>
      <c r="H320" s="4">
        <f t="shared" si="6"/>
        <v>27000.00044</v>
      </c>
      <c r="I320" s="4"/>
      <c r="J320" s="4"/>
    </row>
    <row r="321" spans="1:10">
      <c r="A321" s="1">
        <v>320</v>
      </c>
      <c r="B321" s="1" t="s">
        <v>664</v>
      </c>
      <c r="C321" s="9">
        <v>44712</v>
      </c>
      <c r="D321" s="1" t="s">
        <v>39</v>
      </c>
      <c r="E321" s="1">
        <v>91092</v>
      </c>
      <c r="F321" s="4">
        <v>22689.076000000001</v>
      </c>
      <c r="G321" s="4">
        <f t="shared" si="5"/>
        <v>4310.9244399999998</v>
      </c>
      <c r="H321" s="4">
        <f t="shared" si="6"/>
        <v>27000.00044</v>
      </c>
      <c r="I321" s="4"/>
      <c r="J321" s="4"/>
    </row>
    <row r="322" spans="1:10">
      <c r="A322" s="1">
        <v>321</v>
      </c>
      <c r="B322" s="1" t="s">
        <v>665</v>
      </c>
      <c r="C322" s="9">
        <v>44712</v>
      </c>
      <c r="D322" s="1" t="s">
        <v>39</v>
      </c>
      <c r="E322" s="1">
        <v>91093</v>
      </c>
      <c r="F322" s="4">
        <v>18487.395</v>
      </c>
      <c r="G322" s="4">
        <f t="shared" si="5"/>
        <v>3512.6050500000001</v>
      </c>
      <c r="H322" s="4">
        <f t="shared" si="6"/>
        <v>22000.000050000002</v>
      </c>
      <c r="I322" s="4"/>
      <c r="J322" s="4"/>
    </row>
    <row r="323" spans="1:10">
      <c r="A323" s="1">
        <v>322</v>
      </c>
      <c r="B323" s="1" t="s">
        <v>666</v>
      </c>
      <c r="C323" s="9">
        <v>44713</v>
      </c>
      <c r="D323" s="1" t="s">
        <v>39</v>
      </c>
      <c r="E323" s="1">
        <v>91094</v>
      </c>
      <c r="F323" s="4">
        <v>18487.395</v>
      </c>
      <c r="G323" s="4">
        <f t="shared" si="5"/>
        <v>3512.6050500000001</v>
      </c>
      <c r="H323" s="4">
        <f t="shared" si="6"/>
        <v>22000.000050000002</v>
      </c>
      <c r="I323" s="4"/>
      <c r="J323" s="4"/>
    </row>
    <row r="324" spans="1:10">
      <c r="A324" s="1">
        <v>323</v>
      </c>
      <c r="B324" s="1" t="s">
        <v>667</v>
      </c>
      <c r="C324" s="9">
        <v>44714</v>
      </c>
      <c r="D324" s="1" t="s">
        <v>39</v>
      </c>
      <c r="E324" s="1">
        <v>91095</v>
      </c>
      <c r="F324" s="4">
        <v>21008.402999999998</v>
      </c>
      <c r="G324" s="4">
        <f t="shared" si="5"/>
        <v>3991.5965699999997</v>
      </c>
      <c r="H324" s="4">
        <f t="shared" si="6"/>
        <v>24999.99957</v>
      </c>
      <c r="I324" s="4"/>
      <c r="J324" s="4"/>
    </row>
    <row r="325" spans="1:10">
      <c r="A325" s="1">
        <v>324</v>
      </c>
      <c r="B325" s="1" t="s">
        <v>668</v>
      </c>
      <c r="C325" s="9">
        <v>44714</v>
      </c>
      <c r="D325" s="1" t="s">
        <v>39</v>
      </c>
      <c r="E325" s="1">
        <v>91096</v>
      </c>
      <c r="F325" s="4">
        <v>13445.378000000001</v>
      </c>
      <c r="G325" s="4">
        <f t="shared" si="5"/>
        <v>2554.6218200000003</v>
      </c>
      <c r="H325" s="4">
        <f t="shared" si="6"/>
        <v>15999.999820000001</v>
      </c>
      <c r="I325" s="4"/>
      <c r="J325" s="4"/>
    </row>
    <row r="326" spans="1:10">
      <c r="A326" s="1">
        <v>325</v>
      </c>
      <c r="B326" s="1" t="s">
        <v>580</v>
      </c>
      <c r="C326" s="9">
        <v>44714</v>
      </c>
      <c r="D326" s="1"/>
      <c r="F326" s="4">
        <v>16807</v>
      </c>
      <c r="G326" s="4">
        <f t="shared" si="5"/>
        <v>3193.33</v>
      </c>
      <c r="H326" s="4">
        <f t="shared" si="6"/>
        <v>20000.330000000002</v>
      </c>
      <c r="I326" s="4"/>
      <c r="J326" s="4"/>
    </row>
    <row r="327" spans="1:10">
      <c r="A327" s="1">
        <v>326</v>
      </c>
      <c r="B327" s="1" t="s">
        <v>669</v>
      </c>
      <c r="C327" s="9">
        <v>44715</v>
      </c>
      <c r="D327" s="1" t="s">
        <v>39</v>
      </c>
      <c r="E327" s="1">
        <v>91097</v>
      </c>
      <c r="F327" s="4">
        <v>7563.0249999999996</v>
      </c>
      <c r="G327" s="4">
        <f t="shared" si="5"/>
        <v>1436.9747499999999</v>
      </c>
      <c r="H327" s="4">
        <f t="shared" si="6"/>
        <v>8999.999749999999</v>
      </c>
      <c r="I327" s="4"/>
      <c r="J327" s="4"/>
    </row>
    <row r="328" spans="1:10">
      <c r="A328" s="1">
        <v>327</v>
      </c>
      <c r="B328" s="1" t="s">
        <v>655</v>
      </c>
      <c r="C328" s="9">
        <v>44715</v>
      </c>
      <c r="D328" s="1" t="s">
        <v>39</v>
      </c>
      <c r="E328" s="1">
        <v>91098</v>
      </c>
      <c r="F328" s="4">
        <v>6806.7219999999998</v>
      </c>
      <c r="G328" s="4">
        <f t="shared" si="5"/>
        <v>1293.27718</v>
      </c>
      <c r="H328" s="4">
        <f t="shared" si="6"/>
        <v>8099.9991799999998</v>
      </c>
      <c r="I328" s="4"/>
      <c r="J328" s="4"/>
    </row>
    <row r="329" spans="1:10">
      <c r="A329" s="1">
        <v>328</v>
      </c>
      <c r="B329" s="1" t="s">
        <v>670</v>
      </c>
      <c r="C329" s="9">
        <v>44716</v>
      </c>
      <c r="D329" s="1" t="s">
        <v>39</v>
      </c>
      <c r="E329" s="1">
        <v>91099</v>
      </c>
      <c r="F329" s="4">
        <v>18487.395</v>
      </c>
      <c r="G329" s="4">
        <f t="shared" si="5"/>
        <v>3512.6050500000001</v>
      </c>
      <c r="H329" s="4">
        <f t="shared" si="6"/>
        <v>22000.000050000002</v>
      </c>
      <c r="I329" s="4"/>
      <c r="J329" s="4"/>
    </row>
    <row r="330" spans="1:10">
      <c r="A330" s="1">
        <v>329</v>
      </c>
      <c r="B330" s="1" t="s">
        <v>671</v>
      </c>
      <c r="C330" s="9">
        <v>44716</v>
      </c>
      <c r="D330" s="1" t="s">
        <v>39</v>
      </c>
      <c r="E330" s="1">
        <v>91100</v>
      </c>
      <c r="F330" s="4">
        <v>6806.7219999999998</v>
      </c>
      <c r="G330" s="4">
        <f t="shared" si="5"/>
        <v>1293.27718</v>
      </c>
      <c r="H330" s="4">
        <f t="shared" si="6"/>
        <v>8099.9991799999998</v>
      </c>
      <c r="I330" s="4"/>
      <c r="J330" s="4"/>
    </row>
    <row r="331" spans="1:10">
      <c r="A331" s="1">
        <v>330</v>
      </c>
      <c r="B331" s="1" t="s">
        <v>672</v>
      </c>
      <c r="C331" s="9">
        <v>44717</v>
      </c>
      <c r="D331" s="1" t="s">
        <v>39</v>
      </c>
      <c r="E331" s="1">
        <v>91101</v>
      </c>
      <c r="F331" s="4">
        <v>13613.445</v>
      </c>
      <c r="G331" s="4">
        <f t="shared" si="5"/>
        <v>2586.5545499999998</v>
      </c>
      <c r="H331" s="4">
        <f t="shared" si="6"/>
        <v>16199.99955</v>
      </c>
      <c r="I331" s="4"/>
      <c r="J331" s="4"/>
    </row>
    <row r="332" spans="1:10">
      <c r="A332" s="1">
        <v>331</v>
      </c>
      <c r="B332" s="1" t="s">
        <v>673</v>
      </c>
      <c r="C332" s="9">
        <v>44717</v>
      </c>
      <c r="D332" s="1" t="s">
        <v>39</v>
      </c>
      <c r="E332" s="1">
        <v>91102</v>
      </c>
      <c r="F332" s="4">
        <v>18487.395</v>
      </c>
      <c r="G332" s="4">
        <f t="shared" si="5"/>
        <v>3512.6050500000001</v>
      </c>
      <c r="H332" s="4">
        <f t="shared" si="6"/>
        <v>22000.000050000002</v>
      </c>
      <c r="I332" s="4"/>
      <c r="J332" s="4"/>
    </row>
    <row r="333" spans="1:10">
      <c r="A333" s="1">
        <v>332</v>
      </c>
      <c r="B333" s="1" t="s">
        <v>674</v>
      </c>
      <c r="C333" s="9">
        <v>44717</v>
      </c>
      <c r="D333" s="1" t="s">
        <v>39</v>
      </c>
      <c r="E333" s="1">
        <v>91103</v>
      </c>
      <c r="F333" s="4">
        <v>18487.395</v>
      </c>
      <c r="G333" s="4">
        <f t="shared" si="5"/>
        <v>3512.6050500000001</v>
      </c>
      <c r="H333" s="4">
        <f t="shared" si="6"/>
        <v>22000.000050000002</v>
      </c>
      <c r="I333" s="4"/>
      <c r="J333" s="4"/>
    </row>
    <row r="334" spans="1:10">
      <c r="A334" s="1">
        <v>333</v>
      </c>
      <c r="B334" s="1" t="s">
        <v>675</v>
      </c>
      <c r="C334" s="9">
        <v>44718</v>
      </c>
      <c r="D334" s="1" t="s">
        <v>39</v>
      </c>
      <c r="E334" s="1">
        <v>91104</v>
      </c>
      <c r="F334" s="4">
        <v>8403.36</v>
      </c>
      <c r="G334" s="4">
        <f t="shared" si="5"/>
        <v>1596.6384</v>
      </c>
      <c r="H334" s="4">
        <f t="shared" si="6"/>
        <v>9999.9984000000004</v>
      </c>
      <c r="I334" s="4"/>
      <c r="J334" s="4"/>
    </row>
    <row r="335" spans="1:10">
      <c r="A335" s="1">
        <v>334</v>
      </c>
      <c r="B335" s="1" t="s">
        <v>676</v>
      </c>
      <c r="C335" s="9">
        <v>44718</v>
      </c>
      <c r="D335" s="1" t="s">
        <v>39</v>
      </c>
      <c r="E335" s="1">
        <v>91105</v>
      </c>
      <c r="F335" s="4">
        <v>81932.77</v>
      </c>
      <c r="G335" s="4">
        <f t="shared" si="5"/>
        <v>15567.2263</v>
      </c>
      <c r="H335" s="4">
        <f t="shared" si="6"/>
        <v>97499.996299999999</v>
      </c>
      <c r="I335" s="4"/>
      <c r="J335" s="4"/>
    </row>
    <row r="336" spans="1:10">
      <c r="A336" s="1">
        <v>335</v>
      </c>
      <c r="B336" s="1" t="s">
        <v>677</v>
      </c>
      <c r="C336" s="9">
        <v>44722</v>
      </c>
      <c r="D336" s="1" t="s">
        <v>39</v>
      </c>
      <c r="E336" s="1">
        <v>91106</v>
      </c>
      <c r="F336" s="4">
        <v>16806.72</v>
      </c>
      <c r="G336" s="4">
        <f t="shared" si="5"/>
        <v>3193.2768000000001</v>
      </c>
      <c r="H336" s="4">
        <f t="shared" si="6"/>
        <v>19999.996800000001</v>
      </c>
      <c r="I336" s="4"/>
      <c r="J336" s="4"/>
    </row>
    <row r="337" spans="1:10">
      <c r="A337" s="1">
        <v>336</v>
      </c>
      <c r="B337" s="1" t="s">
        <v>678</v>
      </c>
      <c r="C337" s="9">
        <v>44722</v>
      </c>
      <c r="D337" s="1" t="s">
        <v>39</v>
      </c>
      <c r="E337" s="1">
        <v>91107</v>
      </c>
      <c r="F337" s="4">
        <v>18487.395</v>
      </c>
      <c r="G337" s="4">
        <f t="shared" si="5"/>
        <v>3512.6050500000001</v>
      </c>
      <c r="H337" s="4">
        <f t="shared" si="6"/>
        <v>22000.000050000002</v>
      </c>
      <c r="I337" s="4"/>
      <c r="J337" s="4"/>
    </row>
    <row r="338" spans="1:10">
      <c r="A338" s="1">
        <v>337</v>
      </c>
      <c r="B338" s="1" t="s">
        <v>198</v>
      </c>
      <c r="C338" s="9">
        <v>44725</v>
      </c>
      <c r="D338" s="1" t="s">
        <v>39</v>
      </c>
      <c r="F338" s="4">
        <v>24664</v>
      </c>
      <c r="G338" s="4">
        <f t="shared" si="5"/>
        <v>4686.16</v>
      </c>
      <c r="H338" s="4">
        <f t="shared" si="6"/>
        <v>29350.16</v>
      </c>
      <c r="I338" s="4"/>
      <c r="J338" s="4"/>
    </row>
    <row r="339" spans="1:10">
      <c r="A339" s="1">
        <v>338</v>
      </c>
      <c r="B339" s="1" t="s">
        <v>679</v>
      </c>
      <c r="C339" s="9">
        <v>44728</v>
      </c>
      <c r="D339" s="1" t="s">
        <v>39</v>
      </c>
      <c r="E339" s="1">
        <v>91108</v>
      </c>
      <c r="F339" s="4">
        <v>14621.848</v>
      </c>
      <c r="G339" s="4">
        <f t="shared" si="5"/>
        <v>2778.15112</v>
      </c>
      <c r="H339" s="4">
        <f t="shared" si="6"/>
        <v>17399.99912</v>
      </c>
      <c r="I339" s="4"/>
      <c r="J339" s="4"/>
    </row>
    <row r="340" spans="1:10">
      <c r="A340" s="1">
        <v>339</v>
      </c>
      <c r="B340" s="1" t="s">
        <v>680</v>
      </c>
      <c r="C340" s="9">
        <v>44729</v>
      </c>
      <c r="D340" s="1" t="s">
        <v>39</v>
      </c>
      <c r="E340" s="1">
        <v>91109</v>
      </c>
      <c r="F340" s="4">
        <v>16806.72</v>
      </c>
      <c r="G340" s="4">
        <f t="shared" si="5"/>
        <v>3193.2768000000001</v>
      </c>
      <c r="H340" s="4">
        <f t="shared" si="6"/>
        <v>19999.996800000001</v>
      </c>
      <c r="I340" s="4"/>
      <c r="J340" s="4"/>
    </row>
    <row r="341" spans="1:10">
      <c r="A341" s="1">
        <v>340</v>
      </c>
      <c r="B341" s="1" t="s">
        <v>681</v>
      </c>
      <c r="C341" s="9">
        <v>44729</v>
      </c>
      <c r="D341" s="1" t="s">
        <v>39</v>
      </c>
      <c r="E341" s="1">
        <v>91110</v>
      </c>
      <c r="F341" s="4">
        <v>18487.395</v>
      </c>
      <c r="G341" s="4">
        <f t="shared" si="5"/>
        <v>3512.6050500000001</v>
      </c>
      <c r="H341" s="4">
        <f t="shared" si="6"/>
        <v>22000.000050000002</v>
      </c>
      <c r="I341" s="4"/>
      <c r="J341" s="4"/>
    </row>
    <row r="342" spans="1:10">
      <c r="A342" s="1">
        <v>341</v>
      </c>
      <c r="B342" s="1" t="s">
        <v>682</v>
      </c>
      <c r="C342" s="9">
        <v>44731</v>
      </c>
      <c r="D342" s="1" t="s">
        <v>39</v>
      </c>
      <c r="E342" s="1">
        <v>91111</v>
      </c>
      <c r="F342" s="4">
        <v>18487.395</v>
      </c>
      <c r="G342" s="4">
        <f t="shared" si="5"/>
        <v>3512.6050500000001</v>
      </c>
      <c r="H342" s="4">
        <f t="shared" si="6"/>
        <v>22000.000050000002</v>
      </c>
      <c r="I342" s="4"/>
      <c r="J342" s="4"/>
    </row>
    <row r="343" spans="1:10">
      <c r="A343" s="1">
        <v>342</v>
      </c>
      <c r="B343" s="1" t="s">
        <v>683</v>
      </c>
      <c r="C343" s="9">
        <v>44732</v>
      </c>
      <c r="D343" s="1" t="s">
        <v>39</v>
      </c>
      <c r="E343" s="1">
        <v>91112</v>
      </c>
      <c r="F343" s="4">
        <v>18487.395</v>
      </c>
      <c r="G343" s="4">
        <f t="shared" si="5"/>
        <v>3512.6050500000001</v>
      </c>
      <c r="H343" s="4">
        <f t="shared" si="6"/>
        <v>22000.000050000002</v>
      </c>
      <c r="I343" s="4"/>
      <c r="J343" s="4"/>
    </row>
    <row r="344" spans="1:10">
      <c r="A344" s="1">
        <v>343</v>
      </c>
      <c r="B344" s="1" t="s">
        <v>684</v>
      </c>
      <c r="C344" s="9">
        <v>44732</v>
      </c>
      <c r="D344" s="1" t="s">
        <v>39</v>
      </c>
      <c r="E344" s="1">
        <v>91113</v>
      </c>
      <c r="F344" s="4">
        <v>22689.076000000001</v>
      </c>
      <c r="G344" s="4">
        <f t="shared" si="5"/>
        <v>4310.9244399999998</v>
      </c>
      <c r="H344" s="4">
        <f t="shared" si="6"/>
        <v>27000.00044</v>
      </c>
      <c r="I344" s="4"/>
      <c r="J344" s="4"/>
    </row>
    <row r="345" spans="1:10">
      <c r="A345" s="1">
        <v>344</v>
      </c>
      <c r="B345" s="1" t="s">
        <v>685</v>
      </c>
      <c r="C345" s="9">
        <v>44735</v>
      </c>
      <c r="D345" s="1" t="s">
        <v>39</v>
      </c>
      <c r="E345" s="1">
        <v>91114</v>
      </c>
      <c r="F345" s="4">
        <v>8403.36</v>
      </c>
      <c r="G345" s="4">
        <f t="shared" si="5"/>
        <v>1596.6384</v>
      </c>
      <c r="H345" s="4">
        <f t="shared" si="6"/>
        <v>9999.9984000000004</v>
      </c>
      <c r="I345" s="4"/>
      <c r="J345" s="4"/>
    </row>
    <row r="346" spans="1:10">
      <c r="A346" s="1">
        <v>345</v>
      </c>
      <c r="B346" s="1" t="s">
        <v>580</v>
      </c>
      <c r="C346" s="9">
        <v>44736</v>
      </c>
      <c r="D346" s="1" t="s">
        <v>39</v>
      </c>
      <c r="F346" s="4">
        <v>16807</v>
      </c>
      <c r="G346" s="4">
        <f t="shared" si="5"/>
        <v>3193.33</v>
      </c>
      <c r="H346" s="4">
        <f t="shared" si="6"/>
        <v>20000.330000000002</v>
      </c>
      <c r="I346" s="4"/>
      <c r="J346" s="4"/>
    </row>
    <row r="347" spans="1:10">
      <c r="A347" s="1">
        <v>346</v>
      </c>
      <c r="B347" s="1" t="s">
        <v>686</v>
      </c>
      <c r="C347" s="9">
        <v>44737</v>
      </c>
      <c r="D347" s="1" t="s">
        <v>39</v>
      </c>
      <c r="E347" s="1">
        <v>91115</v>
      </c>
      <c r="F347" s="4">
        <v>6806.7219999999998</v>
      </c>
      <c r="G347" s="4">
        <f t="shared" si="5"/>
        <v>1293.27718</v>
      </c>
      <c r="H347" s="4">
        <f t="shared" si="6"/>
        <v>8099.9991799999998</v>
      </c>
      <c r="I347" s="4"/>
      <c r="J347" s="4"/>
    </row>
    <row r="348" spans="1:10">
      <c r="A348" s="1">
        <v>347</v>
      </c>
      <c r="B348" s="1" t="s">
        <v>687</v>
      </c>
      <c r="C348" s="9">
        <v>44737</v>
      </c>
      <c r="D348" s="1" t="s">
        <v>39</v>
      </c>
      <c r="E348" s="1">
        <v>91116</v>
      </c>
      <c r="F348" s="4">
        <v>6806.7219999999998</v>
      </c>
      <c r="G348" s="4">
        <f t="shared" si="5"/>
        <v>1293.27718</v>
      </c>
      <c r="H348" s="4">
        <f t="shared" si="6"/>
        <v>8099.9991799999998</v>
      </c>
      <c r="I348" s="4"/>
      <c r="J348" s="4"/>
    </row>
    <row r="349" spans="1:10">
      <c r="A349" s="1">
        <v>348</v>
      </c>
      <c r="B349" s="1" t="s">
        <v>688</v>
      </c>
      <c r="C349" s="9">
        <v>44737</v>
      </c>
      <c r="D349" s="1" t="s">
        <v>39</v>
      </c>
      <c r="E349" s="1">
        <v>91117</v>
      </c>
      <c r="F349" s="4">
        <v>18487.395</v>
      </c>
      <c r="G349" s="4">
        <f t="shared" si="5"/>
        <v>3512.6050500000001</v>
      </c>
      <c r="H349" s="4">
        <f t="shared" si="6"/>
        <v>22000.000050000002</v>
      </c>
      <c r="I349" s="4"/>
      <c r="J349" s="4"/>
    </row>
    <row r="350" spans="1:10">
      <c r="A350" s="1">
        <v>349</v>
      </c>
      <c r="B350" s="1" t="s">
        <v>689</v>
      </c>
      <c r="C350" s="9">
        <v>44737</v>
      </c>
      <c r="D350" s="1" t="s">
        <v>39</v>
      </c>
      <c r="E350" s="1">
        <v>91118</v>
      </c>
      <c r="F350" s="4">
        <v>18487.395</v>
      </c>
      <c r="G350" s="4">
        <f t="shared" si="5"/>
        <v>3512.6050500000001</v>
      </c>
      <c r="H350" s="4">
        <f t="shared" si="6"/>
        <v>22000.000050000002</v>
      </c>
      <c r="I350" s="4"/>
      <c r="J350" s="4"/>
    </row>
    <row r="351" spans="1:10">
      <c r="A351" s="1">
        <v>350</v>
      </c>
      <c r="B351" s="1" t="s">
        <v>690</v>
      </c>
      <c r="C351" s="9">
        <v>44741</v>
      </c>
      <c r="D351" s="1" t="s">
        <v>39</v>
      </c>
      <c r="E351" s="1">
        <v>91119</v>
      </c>
      <c r="F351" s="4">
        <v>23529.41</v>
      </c>
      <c r="G351" s="4">
        <f t="shared" si="5"/>
        <v>4470.5879000000004</v>
      </c>
      <c r="H351" s="4">
        <f t="shared" si="6"/>
        <v>27999.997900000002</v>
      </c>
      <c r="I351" s="4"/>
      <c r="J351" s="4"/>
    </row>
    <row r="352" spans="1:10">
      <c r="A352" s="1">
        <v>351</v>
      </c>
      <c r="B352" s="1" t="s">
        <v>649</v>
      </c>
      <c r="C352" s="9">
        <v>44744</v>
      </c>
      <c r="D352" s="1"/>
      <c r="F352" s="4">
        <v>16806.72</v>
      </c>
      <c r="G352" s="4">
        <f t="shared" si="5"/>
        <v>3193.2768000000001</v>
      </c>
      <c r="H352" s="4">
        <f t="shared" si="6"/>
        <v>19999.996800000001</v>
      </c>
      <c r="I352" s="4"/>
      <c r="J352" s="4"/>
    </row>
    <row r="353" spans="1:10">
      <c r="A353" s="1">
        <v>352</v>
      </c>
      <c r="B353" s="1" t="s">
        <v>580</v>
      </c>
      <c r="C353" s="9">
        <v>44744</v>
      </c>
      <c r="D353" s="1"/>
      <c r="F353" s="4">
        <v>16806.72</v>
      </c>
      <c r="G353" s="4">
        <f t="shared" si="5"/>
        <v>3193.2768000000001</v>
      </c>
      <c r="H353" s="4">
        <f t="shared" si="6"/>
        <v>19999.996800000001</v>
      </c>
      <c r="I353" s="4"/>
      <c r="J353" s="4"/>
    </row>
    <row r="354" spans="1:10">
      <c r="A354" s="1">
        <v>353</v>
      </c>
      <c r="B354" s="1" t="s">
        <v>691</v>
      </c>
      <c r="C354" s="9">
        <v>44745</v>
      </c>
      <c r="D354" s="1" t="s">
        <v>39</v>
      </c>
      <c r="E354" s="1">
        <v>91120</v>
      </c>
      <c r="F354" s="4">
        <v>9243.6970000000001</v>
      </c>
      <c r="G354" s="4">
        <f t="shared" si="5"/>
        <v>1756.30243</v>
      </c>
      <c r="H354" s="4">
        <f t="shared" si="6"/>
        <v>10999.99943</v>
      </c>
      <c r="I354" s="4"/>
      <c r="J354" s="4"/>
    </row>
    <row r="355" spans="1:10">
      <c r="A355" s="1">
        <v>354</v>
      </c>
      <c r="B355" s="1" t="s">
        <v>692</v>
      </c>
      <c r="C355" s="9">
        <v>44745</v>
      </c>
      <c r="D355" s="1" t="s">
        <v>39</v>
      </c>
      <c r="F355" s="4">
        <v>7563.02</v>
      </c>
      <c r="G355" s="4">
        <f t="shared" si="5"/>
        <v>1436.9738000000002</v>
      </c>
      <c r="H355" s="4">
        <f t="shared" si="6"/>
        <v>8999.9938000000002</v>
      </c>
      <c r="I355" s="4"/>
      <c r="J355" s="4"/>
    </row>
    <row r="356" spans="1:10">
      <c r="A356" s="1">
        <v>355</v>
      </c>
      <c r="B356" s="1" t="s">
        <v>693</v>
      </c>
      <c r="C356" s="9">
        <v>44746</v>
      </c>
      <c r="D356" s="1" t="s">
        <v>39</v>
      </c>
      <c r="E356" s="1">
        <v>91121</v>
      </c>
      <c r="F356" s="4">
        <v>6806.7219999999998</v>
      </c>
      <c r="G356" s="4">
        <f t="shared" si="5"/>
        <v>1293.27718</v>
      </c>
      <c r="H356" s="4">
        <f t="shared" si="6"/>
        <v>8099.9991799999998</v>
      </c>
      <c r="I356" s="4"/>
      <c r="J356" s="4"/>
    </row>
    <row r="357" spans="1:10">
      <c r="A357" s="1">
        <v>356</v>
      </c>
      <c r="B357" s="1" t="s">
        <v>694</v>
      </c>
      <c r="C357" s="9">
        <v>44747</v>
      </c>
      <c r="D357" s="1" t="s">
        <v>39</v>
      </c>
      <c r="E357" s="1">
        <v>91122</v>
      </c>
      <c r="F357" s="4">
        <v>26890.75</v>
      </c>
      <c r="G357" s="4">
        <f t="shared" si="5"/>
        <v>5109.2425000000003</v>
      </c>
      <c r="H357" s="4">
        <f t="shared" si="6"/>
        <v>31999.9925</v>
      </c>
      <c r="I357" s="4"/>
      <c r="J357" s="4"/>
    </row>
    <row r="358" spans="1:10">
      <c r="A358" s="1">
        <v>357</v>
      </c>
      <c r="B358" s="1" t="s">
        <v>695</v>
      </c>
      <c r="C358" s="9">
        <v>44747</v>
      </c>
      <c r="D358" s="1"/>
      <c r="F358" s="4">
        <v>16806.72</v>
      </c>
      <c r="G358" s="4">
        <f t="shared" si="5"/>
        <v>3193.2768000000001</v>
      </c>
      <c r="H358" s="4">
        <f t="shared" si="6"/>
        <v>19999.996800000001</v>
      </c>
      <c r="I358" s="4"/>
      <c r="J358" s="4"/>
    </row>
    <row r="359" spans="1:10">
      <c r="A359" s="1">
        <v>358</v>
      </c>
      <c r="B359" s="1" t="s">
        <v>696</v>
      </c>
      <c r="C359" s="9">
        <v>44747</v>
      </c>
      <c r="D359" s="1" t="s">
        <v>39</v>
      </c>
      <c r="E359" s="1">
        <v>91123</v>
      </c>
      <c r="F359" s="4">
        <v>23529.41</v>
      </c>
      <c r="G359" s="4">
        <f t="shared" si="5"/>
        <v>4470.5879000000004</v>
      </c>
      <c r="H359" s="4">
        <f t="shared" si="6"/>
        <v>27999.997900000002</v>
      </c>
      <c r="I359" s="4"/>
      <c r="J359" s="4"/>
    </row>
    <row r="360" spans="1:10">
      <c r="A360" s="1">
        <v>359</v>
      </c>
      <c r="B360" s="1" t="s">
        <v>697</v>
      </c>
      <c r="C360" s="9">
        <v>44748</v>
      </c>
      <c r="D360" s="1" t="s">
        <v>39</v>
      </c>
      <c r="E360" s="1">
        <v>91124</v>
      </c>
      <c r="F360" s="4">
        <v>129411.76</v>
      </c>
      <c r="G360" s="4">
        <f t="shared" si="5"/>
        <v>24588.234399999998</v>
      </c>
      <c r="H360" s="4">
        <f t="shared" si="6"/>
        <v>153999.9944</v>
      </c>
      <c r="I360" s="4"/>
      <c r="J360" s="4"/>
    </row>
    <row r="361" spans="1:10">
      <c r="A361" s="1">
        <v>360</v>
      </c>
      <c r="B361" s="1" t="s">
        <v>580</v>
      </c>
      <c r="C361" s="9">
        <v>44749</v>
      </c>
      <c r="D361" s="1" t="s">
        <v>39</v>
      </c>
      <c r="E361" s="1">
        <v>91125</v>
      </c>
      <c r="F361" s="4">
        <v>16806.72</v>
      </c>
      <c r="G361" s="4">
        <f t="shared" si="5"/>
        <v>3193.2768000000001</v>
      </c>
      <c r="H361" s="4">
        <f t="shared" si="6"/>
        <v>19999.996800000001</v>
      </c>
      <c r="I361" s="4"/>
      <c r="J361" s="4"/>
    </row>
    <row r="362" spans="1:10">
      <c r="A362" s="1">
        <v>361</v>
      </c>
      <c r="B362" s="1" t="s">
        <v>698</v>
      </c>
      <c r="C362" s="9">
        <v>44750</v>
      </c>
      <c r="D362" s="1" t="s">
        <v>39</v>
      </c>
      <c r="E362" s="1">
        <v>91126</v>
      </c>
      <c r="F362" s="4">
        <v>18487.39</v>
      </c>
      <c r="G362" s="4">
        <f t="shared" si="5"/>
        <v>3512.6041</v>
      </c>
      <c r="H362" s="4">
        <f t="shared" si="6"/>
        <v>21999.9941</v>
      </c>
      <c r="I362" s="4"/>
      <c r="J362" s="4"/>
    </row>
    <row r="363" spans="1:10">
      <c r="A363" s="1">
        <v>362</v>
      </c>
      <c r="B363" s="1" t="s">
        <v>699</v>
      </c>
      <c r="C363" s="9">
        <v>44752</v>
      </c>
      <c r="D363" s="1" t="s">
        <v>39</v>
      </c>
      <c r="E363" s="1">
        <v>91127</v>
      </c>
      <c r="F363" s="4">
        <v>11344.54</v>
      </c>
      <c r="G363" s="4">
        <f t="shared" si="5"/>
        <v>2155.4626000000003</v>
      </c>
      <c r="H363" s="4">
        <f t="shared" si="6"/>
        <v>13500.002600000002</v>
      </c>
      <c r="I363" s="4"/>
      <c r="J363" s="4"/>
    </row>
    <row r="364" spans="1:10">
      <c r="A364" s="1">
        <v>363</v>
      </c>
      <c r="B364" s="1" t="s">
        <v>505</v>
      </c>
      <c r="C364" s="9">
        <v>44755</v>
      </c>
      <c r="D364" s="1" t="s">
        <v>39</v>
      </c>
      <c r="E364" s="1">
        <v>91128</v>
      </c>
      <c r="F364" s="4">
        <v>12605</v>
      </c>
      <c r="G364" s="4">
        <f t="shared" si="5"/>
        <v>2394.9499999999998</v>
      </c>
      <c r="H364" s="4">
        <f t="shared" si="6"/>
        <v>14999.95</v>
      </c>
      <c r="I364" s="4"/>
      <c r="J364" s="4"/>
    </row>
    <row r="365" spans="1:10">
      <c r="A365" s="1">
        <v>364</v>
      </c>
      <c r="B365" s="1" t="s">
        <v>700</v>
      </c>
      <c r="C365" s="9">
        <v>44756</v>
      </c>
      <c r="D365" s="1" t="s">
        <v>39</v>
      </c>
      <c r="E365" s="1">
        <v>91129</v>
      </c>
      <c r="F365" s="4">
        <v>22689.076000000001</v>
      </c>
      <c r="G365" s="4">
        <f t="shared" si="5"/>
        <v>4310.9244399999998</v>
      </c>
      <c r="H365" s="4">
        <f t="shared" si="6"/>
        <v>27000.00044</v>
      </c>
      <c r="I365" s="4"/>
      <c r="J365" s="4"/>
    </row>
    <row r="366" spans="1:10">
      <c r="A366" s="1">
        <v>365</v>
      </c>
      <c r="B366" s="1" t="s">
        <v>693</v>
      </c>
      <c r="C366" s="9">
        <v>44756</v>
      </c>
      <c r="D366" s="1" t="s">
        <v>39</v>
      </c>
      <c r="E366" s="1">
        <v>91130</v>
      </c>
      <c r="F366" s="4">
        <v>6806.7219999999998</v>
      </c>
      <c r="G366" s="4">
        <f t="shared" si="5"/>
        <v>1293.27718</v>
      </c>
      <c r="H366" s="4">
        <f t="shared" si="6"/>
        <v>8099.9991799999998</v>
      </c>
      <c r="I366" s="4"/>
      <c r="J366" s="4"/>
    </row>
    <row r="367" spans="1:10">
      <c r="A367" s="1">
        <v>366</v>
      </c>
      <c r="B367" s="1" t="s">
        <v>701</v>
      </c>
      <c r="C367" s="9">
        <v>44757</v>
      </c>
      <c r="D367" s="1" t="s">
        <v>39</v>
      </c>
      <c r="E367" s="1">
        <v>91131</v>
      </c>
      <c r="F367" s="4">
        <v>18487.39</v>
      </c>
      <c r="G367" s="4">
        <f t="shared" si="5"/>
        <v>3512.6041</v>
      </c>
      <c r="H367" s="4">
        <f t="shared" si="6"/>
        <v>21999.9941</v>
      </c>
      <c r="I367" s="4"/>
      <c r="J367" s="4"/>
    </row>
    <row r="368" spans="1:10">
      <c r="A368" s="1">
        <v>367</v>
      </c>
      <c r="B368" s="1" t="s">
        <v>702</v>
      </c>
      <c r="C368" s="9">
        <v>44757</v>
      </c>
      <c r="D368" s="1" t="s">
        <v>39</v>
      </c>
      <c r="E368" s="1">
        <v>91132</v>
      </c>
      <c r="F368" s="4">
        <v>27731.09</v>
      </c>
      <c r="G368" s="4">
        <f t="shared" si="5"/>
        <v>5268.9071000000004</v>
      </c>
      <c r="H368" s="4">
        <f t="shared" si="6"/>
        <v>32999.997100000001</v>
      </c>
      <c r="I368" s="4"/>
      <c r="J368" s="4"/>
    </row>
    <row r="369" spans="1:10">
      <c r="A369" s="1">
        <v>368</v>
      </c>
      <c r="B369" s="1" t="s">
        <v>630</v>
      </c>
      <c r="C369" s="9">
        <v>44757</v>
      </c>
      <c r="D369" s="1" t="s">
        <v>39</v>
      </c>
      <c r="E369" s="1">
        <v>91133</v>
      </c>
      <c r="F369" s="4">
        <v>6806.7219999999998</v>
      </c>
      <c r="G369" s="4">
        <f t="shared" si="5"/>
        <v>1293.27718</v>
      </c>
      <c r="H369" s="4">
        <f t="shared" si="6"/>
        <v>8099.9991799999998</v>
      </c>
      <c r="I369" s="4"/>
      <c r="J369" s="4"/>
    </row>
    <row r="370" spans="1:10">
      <c r="A370" s="1">
        <v>369</v>
      </c>
      <c r="B370" s="1" t="s">
        <v>453</v>
      </c>
      <c r="C370" s="9">
        <v>44758</v>
      </c>
      <c r="D370" s="1" t="s">
        <v>39</v>
      </c>
      <c r="E370" s="1">
        <v>91134</v>
      </c>
      <c r="F370" s="4">
        <v>4201.68</v>
      </c>
      <c r="G370" s="4">
        <f t="shared" si="5"/>
        <v>798.31920000000002</v>
      </c>
      <c r="H370" s="4">
        <f t="shared" si="6"/>
        <v>4999.9992000000002</v>
      </c>
      <c r="I370" s="4"/>
      <c r="J370" s="4"/>
    </row>
    <row r="371" spans="1:10">
      <c r="A371" s="1">
        <v>370</v>
      </c>
      <c r="B371" s="1" t="s">
        <v>703</v>
      </c>
      <c r="C371" s="9">
        <v>44761</v>
      </c>
      <c r="D371" s="1" t="s">
        <v>39</v>
      </c>
      <c r="E371" s="1">
        <v>91135</v>
      </c>
      <c r="F371" s="4">
        <v>7563</v>
      </c>
      <c r="G371" s="4">
        <f t="shared" si="5"/>
        <v>1436.97</v>
      </c>
      <c r="H371" s="4">
        <f t="shared" si="6"/>
        <v>8999.9699999999993</v>
      </c>
      <c r="I371" s="4"/>
      <c r="J371" s="4"/>
    </row>
    <row r="372" spans="1:10">
      <c r="A372" s="1">
        <v>371</v>
      </c>
      <c r="B372" s="1" t="s">
        <v>649</v>
      </c>
      <c r="C372" s="9">
        <v>44766</v>
      </c>
      <c r="D372" s="1" t="s">
        <v>39</v>
      </c>
      <c r="E372" s="1">
        <v>91136</v>
      </c>
      <c r="F372" s="4">
        <v>16807</v>
      </c>
      <c r="G372" s="4">
        <f t="shared" si="5"/>
        <v>3193.33</v>
      </c>
      <c r="H372" s="4">
        <f t="shared" si="6"/>
        <v>20000.330000000002</v>
      </c>
      <c r="I372" s="4"/>
      <c r="J372" s="4"/>
    </row>
    <row r="373" spans="1:10">
      <c r="A373" s="1">
        <v>372</v>
      </c>
      <c r="B373" s="1" t="s">
        <v>704</v>
      </c>
      <c r="C373" s="9">
        <v>44766</v>
      </c>
      <c r="D373" s="1" t="s">
        <v>39</v>
      </c>
      <c r="E373" s="1">
        <v>91137</v>
      </c>
      <c r="F373" s="4">
        <v>23529.41</v>
      </c>
      <c r="G373" s="4">
        <f t="shared" si="5"/>
        <v>4470.5879000000004</v>
      </c>
      <c r="H373" s="4">
        <f t="shared" si="6"/>
        <v>27999.997900000002</v>
      </c>
      <c r="I373" s="4"/>
      <c r="J373" s="4"/>
    </row>
    <row r="374" spans="1:10">
      <c r="A374" s="1">
        <v>373</v>
      </c>
      <c r="B374" s="1" t="s">
        <v>705</v>
      </c>
      <c r="C374" s="9">
        <v>44767</v>
      </c>
      <c r="D374" s="1" t="s">
        <v>39</v>
      </c>
      <c r="E374" s="1">
        <v>91138</v>
      </c>
      <c r="F374" s="4">
        <v>26890.76</v>
      </c>
      <c r="G374" s="4">
        <f t="shared" si="5"/>
        <v>5109.2443999999996</v>
      </c>
      <c r="H374" s="4">
        <f t="shared" si="6"/>
        <v>32000.004399999998</v>
      </c>
      <c r="I374" s="4"/>
      <c r="J374" s="4"/>
    </row>
    <row r="375" spans="1:10">
      <c r="A375" s="1">
        <v>374</v>
      </c>
      <c r="B375" s="1" t="s">
        <v>580</v>
      </c>
      <c r="C375" s="9">
        <v>44767</v>
      </c>
      <c r="D375" s="1" t="s">
        <v>39</v>
      </c>
      <c r="E375" s="1">
        <v>91139</v>
      </c>
      <c r="F375" s="4">
        <v>16807</v>
      </c>
      <c r="G375" s="4">
        <f t="shared" si="5"/>
        <v>3193.33</v>
      </c>
      <c r="H375" s="4">
        <f t="shared" si="6"/>
        <v>20000.330000000002</v>
      </c>
      <c r="I375" s="4"/>
      <c r="J375" s="4"/>
    </row>
    <row r="376" spans="1:10">
      <c r="A376" s="1">
        <v>375</v>
      </c>
      <c r="B376" s="1" t="s">
        <v>690</v>
      </c>
      <c r="C376" s="9">
        <v>44767</v>
      </c>
      <c r="D376" s="1" t="s">
        <v>39</v>
      </c>
      <c r="E376" s="1">
        <v>91140</v>
      </c>
      <c r="F376" s="4">
        <v>16807</v>
      </c>
      <c r="G376" s="4">
        <f t="shared" si="5"/>
        <v>3193.33</v>
      </c>
      <c r="H376" s="4">
        <f t="shared" si="6"/>
        <v>20000.330000000002</v>
      </c>
      <c r="I376" s="4"/>
      <c r="J376" s="4"/>
    </row>
    <row r="377" spans="1:10">
      <c r="A377" s="1">
        <v>376</v>
      </c>
      <c r="B377" s="1" t="s">
        <v>706</v>
      </c>
      <c r="C377" s="9">
        <v>44769</v>
      </c>
      <c r="D377" s="1" t="s">
        <v>39</v>
      </c>
      <c r="E377" s="1">
        <v>91141</v>
      </c>
      <c r="F377" s="4">
        <v>16807</v>
      </c>
      <c r="G377" s="4">
        <f t="shared" si="5"/>
        <v>3193.33</v>
      </c>
      <c r="H377" s="4">
        <f t="shared" si="6"/>
        <v>20000.330000000002</v>
      </c>
      <c r="I377" s="4"/>
      <c r="J377" s="4"/>
    </row>
    <row r="378" spans="1:10">
      <c r="A378" s="1">
        <v>377</v>
      </c>
      <c r="B378" s="1" t="s">
        <v>707</v>
      </c>
      <c r="C378" s="9">
        <v>44769</v>
      </c>
      <c r="D378" s="1" t="s">
        <v>39</v>
      </c>
      <c r="E378" s="1">
        <v>91142</v>
      </c>
      <c r="F378" s="4">
        <v>20168.066999999999</v>
      </c>
      <c r="G378" s="4">
        <f t="shared" si="5"/>
        <v>3831.93273</v>
      </c>
      <c r="H378" s="4">
        <f t="shared" si="6"/>
        <v>23999.99973</v>
      </c>
      <c r="I378" s="4"/>
      <c r="J378" s="4"/>
    </row>
    <row r="379" spans="1:10">
      <c r="A379" s="1">
        <v>378</v>
      </c>
      <c r="B379" s="1" t="s">
        <v>708</v>
      </c>
      <c r="C379" s="9">
        <v>44772</v>
      </c>
      <c r="D379" s="1" t="s">
        <v>39</v>
      </c>
      <c r="E379" s="1">
        <v>91143</v>
      </c>
      <c r="F379" s="4">
        <v>26890.76</v>
      </c>
      <c r="G379" s="4">
        <f t="shared" si="5"/>
        <v>5109.2443999999996</v>
      </c>
      <c r="H379" s="4">
        <f t="shared" si="6"/>
        <v>32000.004399999998</v>
      </c>
      <c r="I379" s="4"/>
      <c r="J379" s="4"/>
    </row>
    <row r="380" spans="1:10">
      <c r="A380" s="1">
        <v>379</v>
      </c>
      <c r="B380" s="1" t="s">
        <v>580</v>
      </c>
      <c r="C380" s="9">
        <v>44779</v>
      </c>
      <c r="D380" s="1" t="s">
        <v>39</v>
      </c>
      <c r="E380" s="1">
        <v>91144</v>
      </c>
      <c r="F380" s="4">
        <v>16807</v>
      </c>
      <c r="G380" s="4">
        <f t="shared" si="5"/>
        <v>3193.33</v>
      </c>
      <c r="H380" s="4">
        <f t="shared" si="6"/>
        <v>20000.330000000002</v>
      </c>
      <c r="I380" s="4"/>
      <c r="J380" s="4"/>
    </row>
    <row r="381" spans="1:10">
      <c r="A381" s="1">
        <v>380</v>
      </c>
      <c r="B381" s="1" t="s">
        <v>677</v>
      </c>
      <c r="C381" s="9">
        <v>44779</v>
      </c>
      <c r="D381" s="1" t="s">
        <v>39</v>
      </c>
      <c r="E381" s="1">
        <v>91145</v>
      </c>
      <c r="F381" s="4">
        <v>16807</v>
      </c>
      <c r="G381" s="4">
        <f t="shared" si="5"/>
        <v>3193.33</v>
      </c>
      <c r="H381" s="4">
        <f t="shared" si="6"/>
        <v>20000.330000000002</v>
      </c>
      <c r="I381" s="4"/>
      <c r="J381" s="4"/>
    </row>
    <row r="382" spans="1:10">
      <c r="A382" s="1">
        <v>381</v>
      </c>
      <c r="B382" s="1" t="s">
        <v>580</v>
      </c>
      <c r="C382" s="9">
        <v>44779</v>
      </c>
      <c r="D382" s="1" t="s">
        <v>39</v>
      </c>
      <c r="E382" s="1">
        <v>91146</v>
      </c>
      <c r="F382" s="4">
        <v>16807</v>
      </c>
      <c r="G382" s="4">
        <f t="shared" si="5"/>
        <v>3193.33</v>
      </c>
      <c r="H382" s="4">
        <f t="shared" si="6"/>
        <v>20000.330000000002</v>
      </c>
      <c r="I382" s="4"/>
      <c r="J382" s="4"/>
    </row>
    <row r="383" spans="1:10">
      <c r="A383" s="1">
        <v>382</v>
      </c>
      <c r="B383" s="1" t="s">
        <v>649</v>
      </c>
      <c r="C383" s="9">
        <v>44780</v>
      </c>
      <c r="D383" s="1" t="s">
        <v>39</v>
      </c>
      <c r="E383" s="1">
        <v>91147</v>
      </c>
      <c r="F383" s="4">
        <v>16807</v>
      </c>
      <c r="G383" s="4">
        <f t="shared" si="5"/>
        <v>3193.33</v>
      </c>
      <c r="H383" s="4">
        <f t="shared" si="6"/>
        <v>20000.330000000002</v>
      </c>
      <c r="I383" s="4"/>
      <c r="J383" s="4"/>
    </row>
    <row r="384" spans="1:10">
      <c r="A384" s="1">
        <v>383</v>
      </c>
      <c r="B384" s="1" t="s">
        <v>580</v>
      </c>
      <c r="C384" s="9">
        <v>44780</v>
      </c>
      <c r="D384" s="1" t="s">
        <v>39</v>
      </c>
      <c r="F384" s="4">
        <v>16807</v>
      </c>
      <c r="G384" s="4">
        <f t="shared" si="5"/>
        <v>3193.33</v>
      </c>
      <c r="H384" s="4">
        <f t="shared" si="6"/>
        <v>20000.330000000002</v>
      </c>
      <c r="I384" s="4"/>
      <c r="J384" s="4"/>
    </row>
    <row r="385" spans="1:10">
      <c r="A385" s="1">
        <v>384</v>
      </c>
      <c r="B385" s="1" t="s">
        <v>709</v>
      </c>
      <c r="C385" s="9">
        <v>44780</v>
      </c>
      <c r="D385" s="1" t="s">
        <v>39</v>
      </c>
      <c r="E385" s="1">
        <v>91148</v>
      </c>
      <c r="F385" s="4">
        <v>19327.73</v>
      </c>
      <c r="G385" s="4">
        <f t="shared" si="5"/>
        <v>3672.2687000000001</v>
      </c>
      <c r="H385" s="4">
        <f t="shared" si="6"/>
        <v>22999.9987</v>
      </c>
      <c r="I385" s="4"/>
      <c r="J385" s="4"/>
    </row>
    <row r="386" spans="1:10">
      <c r="A386" s="1">
        <v>385</v>
      </c>
      <c r="B386" s="1" t="s">
        <v>710</v>
      </c>
      <c r="C386" s="9">
        <v>44780</v>
      </c>
      <c r="D386" s="1" t="s">
        <v>39</v>
      </c>
      <c r="E386" s="1">
        <v>91150</v>
      </c>
      <c r="F386" s="4">
        <v>37815.125999999997</v>
      </c>
      <c r="G386" s="4">
        <f t="shared" si="5"/>
        <v>7184.8739399999995</v>
      </c>
      <c r="H386" s="4">
        <f t="shared" si="6"/>
        <v>44999.999939999994</v>
      </c>
      <c r="I386" s="4"/>
      <c r="J386" s="4"/>
    </row>
    <row r="387" spans="1:10">
      <c r="A387" s="1">
        <v>386</v>
      </c>
      <c r="B387" s="1" t="s">
        <v>711</v>
      </c>
      <c r="C387" s="9">
        <v>44780</v>
      </c>
      <c r="D387" s="1" t="s">
        <v>39</v>
      </c>
      <c r="E387" s="1">
        <v>91149</v>
      </c>
      <c r="F387" s="4">
        <v>20168</v>
      </c>
      <c r="G387" s="4">
        <f t="shared" si="5"/>
        <v>3831.92</v>
      </c>
      <c r="H387" s="4">
        <f t="shared" si="6"/>
        <v>23999.919999999998</v>
      </c>
      <c r="I387" s="4"/>
      <c r="J387" s="4"/>
    </row>
    <row r="388" spans="1:10">
      <c r="A388" s="1">
        <v>387</v>
      </c>
      <c r="B388" s="1" t="s">
        <v>712</v>
      </c>
      <c r="C388" s="9">
        <v>44781</v>
      </c>
      <c r="D388" s="1" t="s">
        <v>39</v>
      </c>
      <c r="E388" s="1">
        <v>91151</v>
      </c>
      <c r="F388" s="4">
        <v>8739.49</v>
      </c>
      <c r="G388" s="4">
        <f t="shared" si="5"/>
        <v>1660.5030999999999</v>
      </c>
      <c r="H388" s="4">
        <f t="shared" si="6"/>
        <v>10399.9931</v>
      </c>
      <c r="I388" s="4"/>
      <c r="J388" s="4"/>
    </row>
    <row r="389" spans="1:10">
      <c r="A389" s="1">
        <v>388</v>
      </c>
      <c r="B389" s="1" t="s">
        <v>713</v>
      </c>
      <c r="C389" s="9">
        <v>44782</v>
      </c>
      <c r="D389" s="1" t="s">
        <v>39</v>
      </c>
      <c r="F389" s="4">
        <v>33613.445</v>
      </c>
      <c r="G389" s="4">
        <f t="shared" si="5"/>
        <v>6386.5545499999998</v>
      </c>
      <c r="H389" s="4">
        <f t="shared" si="6"/>
        <v>39999.99955</v>
      </c>
      <c r="I389" s="4"/>
      <c r="J389" s="4"/>
    </row>
    <row r="390" spans="1:10">
      <c r="A390" s="1">
        <v>389</v>
      </c>
      <c r="B390" s="1" t="s">
        <v>677</v>
      </c>
      <c r="C390" s="9">
        <v>44782</v>
      </c>
      <c r="D390" s="1" t="s">
        <v>39</v>
      </c>
      <c r="E390" s="1">
        <v>91153</v>
      </c>
      <c r="F390" s="4">
        <v>16807</v>
      </c>
      <c r="G390" s="4">
        <f t="shared" si="5"/>
        <v>3193.33</v>
      </c>
      <c r="H390" s="4">
        <f t="shared" si="6"/>
        <v>20000.330000000002</v>
      </c>
      <c r="I390" s="4"/>
      <c r="J390" s="4"/>
    </row>
    <row r="391" spans="1:10">
      <c r="A391" s="1">
        <v>390</v>
      </c>
      <c r="B391" s="1" t="s">
        <v>714</v>
      </c>
      <c r="C391" s="9">
        <v>44784</v>
      </c>
      <c r="D391" s="1" t="s">
        <v>39</v>
      </c>
      <c r="E391" s="1">
        <v>91152</v>
      </c>
      <c r="F391" s="4">
        <v>36974.78</v>
      </c>
      <c r="G391" s="4">
        <f t="shared" si="5"/>
        <v>7025.2082</v>
      </c>
      <c r="H391" s="4">
        <f t="shared" si="6"/>
        <v>43999.9882</v>
      </c>
      <c r="I391" s="4"/>
      <c r="J391" s="4"/>
    </row>
    <row r="392" spans="1:10">
      <c r="A392" s="1">
        <v>391</v>
      </c>
      <c r="B392" s="1" t="s">
        <v>715</v>
      </c>
      <c r="C392" s="9">
        <v>44788</v>
      </c>
      <c r="D392" s="1" t="s">
        <v>39</v>
      </c>
      <c r="E392" s="1">
        <v>91154</v>
      </c>
      <c r="F392" s="4">
        <v>28655.46</v>
      </c>
      <c r="G392" s="4">
        <f t="shared" si="5"/>
        <v>5444.5374000000002</v>
      </c>
      <c r="H392" s="4">
        <f t="shared" si="6"/>
        <v>34099.9974</v>
      </c>
      <c r="I392" s="4"/>
      <c r="J392" s="4"/>
    </row>
    <row r="393" spans="1:10">
      <c r="A393" s="1">
        <v>392</v>
      </c>
      <c r="B393" s="1" t="s">
        <v>677</v>
      </c>
      <c r="C393" s="9">
        <v>44788</v>
      </c>
      <c r="D393" s="1" t="s">
        <v>39</v>
      </c>
      <c r="F393" s="4">
        <v>16807</v>
      </c>
      <c r="G393" s="4">
        <f t="shared" si="5"/>
        <v>3193.33</v>
      </c>
      <c r="H393" s="4">
        <f t="shared" si="6"/>
        <v>20000.330000000002</v>
      </c>
      <c r="I393" s="4"/>
      <c r="J393" s="4"/>
    </row>
    <row r="394" spans="1:10">
      <c r="A394" s="1">
        <v>393</v>
      </c>
      <c r="B394" s="1" t="s">
        <v>716</v>
      </c>
      <c r="C394" s="9">
        <v>44790</v>
      </c>
      <c r="D394" s="1" t="s">
        <v>12</v>
      </c>
      <c r="E394" s="1">
        <v>5</v>
      </c>
      <c r="F394" s="4">
        <v>48403</v>
      </c>
      <c r="G394" s="4">
        <f t="shared" si="5"/>
        <v>9196.57</v>
      </c>
      <c r="H394" s="4">
        <f t="shared" si="6"/>
        <v>57599.57</v>
      </c>
      <c r="I394" s="4"/>
      <c r="J394" s="4"/>
    </row>
    <row r="395" spans="1:10">
      <c r="A395" s="1">
        <v>394</v>
      </c>
      <c r="B395" s="1" t="s">
        <v>453</v>
      </c>
      <c r="C395" s="9">
        <v>44791</v>
      </c>
      <c r="D395" s="1" t="s">
        <v>39</v>
      </c>
      <c r="E395" s="1">
        <v>91155</v>
      </c>
      <c r="F395" s="4">
        <v>4201.68</v>
      </c>
      <c r="G395" s="4">
        <f t="shared" si="5"/>
        <v>798.31920000000002</v>
      </c>
      <c r="H395" s="4">
        <f t="shared" si="6"/>
        <v>4999.9992000000002</v>
      </c>
      <c r="I395" s="4"/>
      <c r="J395" s="4"/>
    </row>
    <row r="396" spans="1:10">
      <c r="A396" s="1">
        <v>395</v>
      </c>
      <c r="B396" s="1" t="s">
        <v>717</v>
      </c>
      <c r="C396" s="9">
        <v>44791</v>
      </c>
      <c r="D396" s="1" t="s">
        <v>39</v>
      </c>
      <c r="E396" s="1">
        <v>91156</v>
      </c>
      <c r="F396" s="4">
        <v>18487.39</v>
      </c>
      <c r="G396" s="4">
        <f t="shared" si="5"/>
        <v>3512.6041</v>
      </c>
      <c r="H396" s="4">
        <f t="shared" si="6"/>
        <v>21999.9941</v>
      </c>
      <c r="I396" s="4"/>
      <c r="J396" s="4"/>
    </row>
    <row r="397" spans="1:10">
      <c r="A397" s="1">
        <v>396</v>
      </c>
      <c r="B397" s="1" t="s">
        <v>718</v>
      </c>
      <c r="C397" s="9">
        <v>44793</v>
      </c>
      <c r="D397" s="1" t="s">
        <v>39</v>
      </c>
      <c r="E397" s="1">
        <v>91157</v>
      </c>
      <c r="F397" s="4">
        <v>33613.440000000002</v>
      </c>
      <c r="G397" s="4">
        <f t="shared" si="5"/>
        <v>6386.5536000000002</v>
      </c>
      <c r="H397" s="4">
        <f t="shared" si="6"/>
        <v>39999.993600000002</v>
      </c>
      <c r="I397" s="4"/>
      <c r="J397" s="4"/>
    </row>
    <row r="398" spans="1:10">
      <c r="A398" s="1">
        <v>397</v>
      </c>
      <c r="B398" s="1" t="s">
        <v>580</v>
      </c>
      <c r="C398" s="9">
        <v>44794</v>
      </c>
      <c r="D398" s="1" t="s">
        <v>39</v>
      </c>
      <c r="E398" s="1">
        <v>91158</v>
      </c>
      <c r="F398" s="4">
        <v>16807</v>
      </c>
      <c r="G398" s="4">
        <f t="shared" si="5"/>
        <v>3193.33</v>
      </c>
      <c r="H398" s="4">
        <f t="shared" si="6"/>
        <v>20000.330000000002</v>
      </c>
      <c r="I398" s="4"/>
      <c r="J398" s="4"/>
    </row>
    <row r="399" spans="1:10">
      <c r="A399" s="1">
        <v>398</v>
      </c>
      <c r="B399" s="1" t="s">
        <v>580</v>
      </c>
      <c r="C399" s="9">
        <v>44800</v>
      </c>
      <c r="D399" s="1" t="s">
        <v>39</v>
      </c>
      <c r="E399" s="1">
        <v>91159</v>
      </c>
      <c r="F399" s="4">
        <v>16807</v>
      </c>
      <c r="G399" s="4">
        <f t="shared" si="5"/>
        <v>3193.33</v>
      </c>
      <c r="H399" s="4">
        <f t="shared" si="6"/>
        <v>20000.330000000002</v>
      </c>
      <c r="I399" s="4"/>
      <c r="J399" s="4"/>
    </row>
    <row r="400" spans="1:10">
      <c r="A400" s="1">
        <v>399</v>
      </c>
      <c r="B400" s="1" t="s">
        <v>719</v>
      </c>
      <c r="C400" s="9">
        <v>44800</v>
      </c>
      <c r="D400" s="1" t="s">
        <v>39</v>
      </c>
      <c r="E400" s="1">
        <v>91160</v>
      </c>
      <c r="F400" s="4">
        <v>18487.39</v>
      </c>
      <c r="G400" s="4">
        <f t="shared" si="5"/>
        <v>3512.6041</v>
      </c>
      <c r="H400" s="4">
        <f t="shared" si="6"/>
        <v>21999.9941</v>
      </c>
      <c r="I400" s="4"/>
      <c r="J400" s="4"/>
    </row>
    <row r="401" spans="1:10">
      <c r="A401" s="1">
        <v>400</v>
      </c>
      <c r="B401" s="1" t="s">
        <v>580</v>
      </c>
      <c r="C401" s="9">
        <v>44800</v>
      </c>
      <c r="D401" s="1" t="s">
        <v>39</v>
      </c>
      <c r="E401" s="1">
        <v>91161</v>
      </c>
      <c r="F401" s="4">
        <v>16807</v>
      </c>
      <c r="G401" s="4">
        <f t="shared" si="5"/>
        <v>3193.33</v>
      </c>
      <c r="H401" s="4">
        <f t="shared" si="6"/>
        <v>20000.330000000002</v>
      </c>
      <c r="I401" s="4"/>
      <c r="J401" s="4"/>
    </row>
    <row r="402" spans="1:10">
      <c r="A402" s="1">
        <v>401</v>
      </c>
      <c r="B402" s="1" t="s">
        <v>720</v>
      </c>
      <c r="C402" s="9">
        <v>44800</v>
      </c>
      <c r="D402" s="1" t="s">
        <v>39</v>
      </c>
      <c r="E402" s="1">
        <v>91162</v>
      </c>
      <c r="F402" s="4">
        <v>3361</v>
      </c>
      <c r="G402" s="4">
        <f t="shared" si="5"/>
        <v>638.59</v>
      </c>
      <c r="H402" s="4">
        <f t="shared" si="6"/>
        <v>3999.59</v>
      </c>
      <c r="I402" s="4"/>
      <c r="J402" s="4"/>
    </row>
    <row r="403" spans="1:10">
      <c r="A403" s="1">
        <v>402</v>
      </c>
      <c r="B403" s="1" t="s">
        <v>721</v>
      </c>
      <c r="C403" s="9">
        <v>44804</v>
      </c>
      <c r="D403" s="1" t="s">
        <v>39</v>
      </c>
      <c r="E403" s="1">
        <v>91163</v>
      </c>
      <c r="F403" s="4">
        <v>66974.789000000004</v>
      </c>
      <c r="G403" s="4">
        <f t="shared" si="5"/>
        <v>12725.209910000001</v>
      </c>
      <c r="H403" s="4">
        <f t="shared" si="6"/>
        <v>79699.998910000009</v>
      </c>
      <c r="I403" s="4"/>
      <c r="J403" s="4"/>
    </row>
    <row r="404" spans="1:10">
      <c r="A404" s="1">
        <v>403</v>
      </c>
      <c r="B404" s="1" t="s">
        <v>722</v>
      </c>
      <c r="C404" s="9">
        <v>44806</v>
      </c>
      <c r="D404" s="1" t="s">
        <v>39</v>
      </c>
      <c r="E404" s="1">
        <v>91164</v>
      </c>
      <c r="F404" s="4">
        <v>19327.73</v>
      </c>
      <c r="G404" s="4">
        <f t="shared" si="5"/>
        <v>3672.2687000000001</v>
      </c>
      <c r="H404" s="4">
        <f t="shared" si="6"/>
        <v>22999.9987</v>
      </c>
      <c r="I404" s="4"/>
      <c r="J404" s="4"/>
    </row>
    <row r="405" spans="1:10">
      <c r="A405" s="1">
        <v>404</v>
      </c>
      <c r="B405" s="1" t="s">
        <v>723</v>
      </c>
      <c r="C405" s="9">
        <v>44807</v>
      </c>
      <c r="D405" s="1" t="s">
        <v>39</v>
      </c>
      <c r="E405" s="1">
        <v>91165</v>
      </c>
      <c r="F405" s="4">
        <v>63865.54</v>
      </c>
      <c r="G405" s="4">
        <f t="shared" si="5"/>
        <v>12134.452600000001</v>
      </c>
      <c r="H405" s="4">
        <f t="shared" si="6"/>
        <v>75999.992599999998</v>
      </c>
      <c r="I405" s="4"/>
      <c r="J405" s="4"/>
    </row>
    <row r="406" spans="1:10">
      <c r="A406" s="1">
        <v>405</v>
      </c>
      <c r="B406" s="1" t="s">
        <v>677</v>
      </c>
      <c r="C406" s="9">
        <v>44807</v>
      </c>
      <c r="D406" s="1" t="s">
        <v>39</v>
      </c>
      <c r="E406" s="1">
        <v>91166</v>
      </c>
      <c r="F406" s="4">
        <v>16807</v>
      </c>
      <c r="G406" s="4">
        <f t="shared" si="5"/>
        <v>3193.33</v>
      </c>
      <c r="H406" s="4">
        <f t="shared" si="6"/>
        <v>20000.330000000002</v>
      </c>
      <c r="I406" s="4"/>
      <c r="J406" s="4"/>
    </row>
    <row r="407" spans="1:10">
      <c r="A407" s="1">
        <v>406</v>
      </c>
      <c r="B407" s="1" t="s">
        <v>705</v>
      </c>
      <c r="C407" s="9">
        <v>44808</v>
      </c>
      <c r="D407" s="1" t="s">
        <v>39</v>
      </c>
      <c r="E407" s="1">
        <v>91167</v>
      </c>
      <c r="F407" s="4">
        <v>28571.428</v>
      </c>
      <c r="G407" s="4">
        <f t="shared" si="5"/>
        <v>5428.57132</v>
      </c>
      <c r="H407" s="4">
        <f t="shared" si="6"/>
        <v>33999.999320000003</v>
      </c>
      <c r="I407" s="4"/>
      <c r="J407" s="4"/>
    </row>
    <row r="408" spans="1:10">
      <c r="A408" s="1">
        <v>407</v>
      </c>
      <c r="B408" s="1" t="s">
        <v>649</v>
      </c>
      <c r="C408" s="9">
        <v>44810</v>
      </c>
      <c r="D408" s="1" t="s">
        <v>39</v>
      </c>
      <c r="E408" s="1">
        <v>91168</v>
      </c>
      <c r="F408" s="4">
        <v>16807</v>
      </c>
      <c r="G408" s="4">
        <f t="shared" si="5"/>
        <v>3193.33</v>
      </c>
      <c r="H408" s="4">
        <f t="shared" si="6"/>
        <v>20000.330000000002</v>
      </c>
      <c r="I408" s="4"/>
      <c r="J408" s="4"/>
    </row>
    <row r="409" spans="1:10">
      <c r="A409" s="1">
        <v>408</v>
      </c>
      <c r="B409" s="1" t="s">
        <v>724</v>
      </c>
      <c r="C409" s="9">
        <v>44810</v>
      </c>
      <c r="D409" s="1" t="s">
        <v>39</v>
      </c>
      <c r="F409" s="4">
        <v>12605</v>
      </c>
      <c r="G409" s="4">
        <f t="shared" si="5"/>
        <v>2394.9499999999998</v>
      </c>
      <c r="H409" s="4">
        <f t="shared" si="6"/>
        <v>14999.95</v>
      </c>
      <c r="I409" s="4"/>
      <c r="J409" s="4"/>
    </row>
    <row r="410" spans="1:10">
      <c r="A410" s="1">
        <v>409</v>
      </c>
      <c r="B410" s="1" t="s">
        <v>725</v>
      </c>
      <c r="C410" s="9">
        <v>44812</v>
      </c>
      <c r="D410" s="1" t="s">
        <v>39</v>
      </c>
      <c r="F410" s="4">
        <v>16807</v>
      </c>
      <c r="G410" s="4">
        <f t="shared" si="5"/>
        <v>3193.33</v>
      </c>
      <c r="H410" s="4">
        <f t="shared" si="6"/>
        <v>20000.330000000002</v>
      </c>
      <c r="I410" s="4"/>
      <c r="J410" s="4"/>
    </row>
    <row r="411" spans="1:10">
      <c r="A411" s="1">
        <v>410</v>
      </c>
      <c r="B411" s="1" t="s">
        <v>726</v>
      </c>
      <c r="C411" s="9">
        <v>44814</v>
      </c>
      <c r="D411" s="1" t="s">
        <v>39</v>
      </c>
      <c r="E411" s="1">
        <v>91171</v>
      </c>
      <c r="F411" s="4">
        <v>43697.47</v>
      </c>
      <c r="G411" s="4">
        <f t="shared" si="5"/>
        <v>8302.5192999999999</v>
      </c>
      <c r="H411" s="4">
        <f t="shared" si="6"/>
        <v>51999.989300000001</v>
      </c>
      <c r="I411" s="4"/>
      <c r="J411" s="4"/>
    </row>
    <row r="412" spans="1:10">
      <c r="A412" s="1">
        <v>411</v>
      </c>
      <c r="B412" s="1" t="s">
        <v>727</v>
      </c>
      <c r="C412" s="9">
        <v>44815</v>
      </c>
      <c r="D412" s="1" t="s">
        <v>39</v>
      </c>
      <c r="E412" s="1">
        <v>91169</v>
      </c>
      <c r="F412" s="4">
        <v>30252</v>
      </c>
      <c r="G412" s="4">
        <f t="shared" si="5"/>
        <v>5747.88</v>
      </c>
      <c r="H412" s="4">
        <f t="shared" si="6"/>
        <v>35999.879999999997</v>
      </c>
      <c r="I412" s="4"/>
      <c r="J412" s="4"/>
    </row>
    <row r="413" spans="1:10">
      <c r="A413" s="1">
        <v>412</v>
      </c>
      <c r="B413" s="1" t="s">
        <v>695</v>
      </c>
      <c r="C413" s="9">
        <v>44815</v>
      </c>
      <c r="D413" s="1" t="s">
        <v>39</v>
      </c>
      <c r="E413" s="1">
        <v>91170</v>
      </c>
      <c r="F413" s="4">
        <v>16807</v>
      </c>
      <c r="G413" s="4">
        <f t="shared" si="5"/>
        <v>3193.33</v>
      </c>
      <c r="H413" s="4">
        <f t="shared" si="6"/>
        <v>20000.330000000002</v>
      </c>
      <c r="I413" s="4"/>
      <c r="J413" s="4"/>
    </row>
    <row r="414" spans="1:10">
      <c r="A414" s="1">
        <v>413</v>
      </c>
      <c r="B414" s="1" t="s">
        <v>580</v>
      </c>
      <c r="C414" s="9">
        <v>44815</v>
      </c>
      <c r="D414" s="1" t="s">
        <v>39</v>
      </c>
      <c r="F414" s="4">
        <v>16807</v>
      </c>
      <c r="G414" s="4">
        <f t="shared" si="5"/>
        <v>3193.33</v>
      </c>
      <c r="H414" s="4">
        <f t="shared" si="6"/>
        <v>20000.330000000002</v>
      </c>
      <c r="I414" s="4"/>
      <c r="J414" s="4"/>
    </row>
    <row r="415" spans="1:10">
      <c r="A415" s="1">
        <v>414</v>
      </c>
      <c r="B415" s="1" t="s">
        <v>728</v>
      </c>
      <c r="C415" s="9">
        <v>44826</v>
      </c>
      <c r="D415" s="1" t="s">
        <v>39</v>
      </c>
      <c r="E415" s="1">
        <v>91172</v>
      </c>
      <c r="F415" s="4">
        <v>21848.73</v>
      </c>
      <c r="G415" s="4">
        <f t="shared" si="5"/>
        <v>4151.2587000000003</v>
      </c>
      <c r="H415" s="4">
        <f t="shared" si="6"/>
        <v>25999.988700000002</v>
      </c>
      <c r="I415" s="4"/>
      <c r="J415" s="4"/>
    </row>
    <row r="416" spans="1:10">
      <c r="A416" s="1">
        <v>415</v>
      </c>
      <c r="B416" s="1" t="s">
        <v>729</v>
      </c>
      <c r="C416" s="9">
        <v>44826</v>
      </c>
      <c r="D416" s="1" t="s">
        <v>39</v>
      </c>
      <c r="E416" s="1">
        <v>91173</v>
      </c>
      <c r="F416" s="4">
        <v>21848.73</v>
      </c>
      <c r="G416" s="4">
        <f t="shared" si="5"/>
        <v>4151.2587000000003</v>
      </c>
      <c r="H416" s="4">
        <f t="shared" si="6"/>
        <v>25999.988700000002</v>
      </c>
      <c r="I416" s="4"/>
      <c r="J416" s="4"/>
    </row>
    <row r="417" spans="1:10">
      <c r="A417" s="1">
        <v>416</v>
      </c>
      <c r="B417" s="1" t="s">
        <v>580</v>
      </c>
      <c r="C417" s="9">
        <v>44828</v>
      </c>
      <c r="D417" s="1" t="s">
        <v>39</v>
      </c>
      <c r="F417" s="4">
        <v>16807</v>
      </c>
      <c r="G417" s="4">
        <f t="shared" si="5"/>
        <v>3193.33</v>
      </c>
      <c r="H417" s="4">
        <f t="shared" si="6"/>
        <v>20000.330000000002</v>
      </c>
      <c r="I417" s="4"/>
      <c r="J417" s="4"/>
    </row>
    <row r="418" spans="1:10">
      <c r="A418" s="1">
        <v>417</v>
      </c>
      <c r="B418" s="1" t="s">
        <v>730</v>
      </c>
      <c r="C418" s="9">
        <v>44828</v>
      </c>
      <c r="D418" s="1" t="s">
        <v>39</v>
      </c>
      <c r="F418" s="4">
        <v>16807</v>
      </c>
      <c r="G418" s="4">
        <f t="shared" si="5"/>
        <v>3193.33</v>
      </c>
      <c r="H418" s="4">
        <f t="shared" si="6"/>
        <v>20000.330000000002</v>
      </c>
      <c r="I418" s="4"/>
      <c r="J418" s="4"/>
    </row>
    <row r="419" spans="1:10">
      <c r="A419" s="1">
        <v>418</v>
      </c>
      <c r="B419" s="1" t="s">
        <v>731</v>
      </c>
      <c r="C419" s="9">
        <v>44829</v>
      </c>
      <c r="D419" s="1" t="s">
        <v>39</v>
      </c>
      <c r="E419" s="1">
        <v>91174</v>
      </c>
      <c r="F419" s="4">
        <v>44117.64</v>
      </c>
      <c r="G419" s="4">
        <f t="shared" si="5"/>
        <v>8382.3516</v>
      </c>
      <c r="H419" s="4">
        <f t="shared" si="6"/>
        <v>52499.991600000001</v>
      </c>
      <c r="I419" s="4"/>
      <c r="J419" s="4"/>
    </row>
    <row r="420" spans="1:10">
      <c r="A420" s="1">
        <v>419</v>
      </c>
      <c r="B420" s="1" t="s">
        <v>732</v>
      </c>
      <c r="C420" s="9">
        <v>44829</v>
      </c>
      <c r="D420" s="1" t="s">
        <v>39</v>
      </c>
      <c r="E420" s="1">
        <v>91175</v>
      </c>
      <c r="F420" s="4">
        <v>35126</v>
      </c>
      <c r="G420" s="4">
        <f t="shared" si="5"/>
        <v>6673.9400000000005</v>
      </c>
      <c r="H420" s="4">
        <f t="shared" si="6"/>
        <v>41799.94</v>
      </c>
      <c r="I420" s="4"/>
      <c r="J420" s="4"/>
    </row>
    <row r="421" spans="1:10">
      <c r="A421" s="1">
        <v>420</v>
      </c>
      <c r="B421" s="1" t="s">
        <v>733</v>
      </c>
      <c r="C421" s="9">
        <v>44830</v>
      </c>
      <c r="D421" s="1" t="s">
        <v>39</v>
      </c>
      <c r="E421" s="1">
        <v>91176</v>
      </c>
      <c r="F421" s="4">
        <v>42016.800000000003</v>
      </c>
      <c r="G421" s="4">
        <f t="shared" si="5"/>
        <v>7983.1920000000009</v>
      </c>
      <c r="H421" s="4">
        <f t="shared" si="6"/>
        <v>49999.992000000006</v>
      </c>
      <c r="I421" s="4"/>
      <c r="J421" s="4"/>
    </row>
    <row r="422" spans="1:10">
      <c r="A422" s="1">
        <v>421</v>
      </c>
      <c r="B422" s="1" t="s">
        <v>734</v>
      </c>
      <c r="C422" s="9">
        <v>44832</v>
      </c>
      <c r="D422" s="1" t="s">
        <v>39</v>
      </c>
      <c r="E422" s="1">
        <v>91177</v>
      </c>
      <c r="F422" s="4">
        <v>4201.68</v>
      </c>
      <c r="G422" s="4">
        <f t="shared" si="5"/>
        <v>798.31920000000002</v>
      </c>
      <c r="H422" s="4">
        <f t="shared" si="6"/>
        <v>4999.9992000000002</v>
      </c>
      <c r="I422" s="4"/>
      <c r="J422" s="4"/>
    </row>
    <row r="423" spans="1:10">
      <c r="A423" s="1">
        <v>422</v>
      </c>
      <c r="B423" s="1" t="s">
        <v>735</v>
      </c>
      <c r="C423" s="9">
        <v>44838</v>
      </c>
      <c r="D423" s="1" t="s">
        <v>39</v>
      </c>
      <c r="E423" s="1">
        <v>91178</v>
      </c>
      <c r="F423" s="4">
        <v>189915.96</v>
      </c>
      <c r="G423" s="4">
        <f t="shared" si="5"/>
        <v>36084.032399999996</v>
      </c>
      <c r="H423" s="4">
        <f t="shared" si="6"/>
        <v>225999.99239999999</v>
      </c>
      <c r="I423" s="4"/>
      <c r="J423" s="4"/>
    </row>
    <row r="424" spans="1:10">
      <c r="A424" s="1">
        <v>423</v>
      </c>
      <c r="B424" s="1" t="s">
        <v>736</v>
      </c>
      <c r="C424" s="9">
        <v>44838</v>
      </c>
      <c r="D424" s="1" t="s">
        <v>39</v>
      </c>
      <c r="E424" s="1">
        <v>91179</v>
      </c>
      <c r="F424" s="4">
        <v>63277.31</v>
      </c>
      <c r="G424" s="4">
        <f t="shared" si="5"/>
        <v>12022.688899999999</v>
      </c>
      <c r="H424" s="4">
        <f t="shared" si="6"/>
        <v>75299.998899999991</v>
      </c>
      <c r="I424" s="4"/>
      <c r="J424" s="4"/>
    </row>
    <row r="425" spans="1:10">
      <c r="A425" s="1">
        <v>424</v>
      </c>
      <c r="B425" s="1" t="s">
        <v>737</v>
      </c>
      <c r="C425" s="9">
        <v>44840</v>
      </c>
      <c r="D425" s="1" t="s">
        <v>39</v>
      </c>
      <c r="E425" s="1">
        <v>91180</v>
      </c>
      <c r="F425" s="4">
        <v>87647.05</v>
      </c>
      <c r="G425" s="4">
        <f t="shared" si="5"/>
        <v>16652.9395</v>
      </c>
      <c r="H425" s="4">
        <f t="shared" si="6"/>
        <v>104299.9895</v>
      </c>
      <c r="I425" s="4"/>
      <c r="J425" s="4"/>
    </row>
    <row r="426" spans="1:10">
      <c r="A426" s="1">
        <v>425</v>
      </c>
      <c r="B426" s="1" t="s">
        <v>738</v>
      </c>
      <c r="C426" s="9">
        <v>44840</v>
      </c>
      <c r="D426" s="1"/>
      <c r="F426" s="4">
        <v>16807</v>
      </c>
      <c r="G426" s="4">
        <f t="shared" si="5"/>
        <v>3193.33</v>
      </c>
      <c r="H426" s="4">
        <f t="shared" si="6"/>
        <v>20000.330000000002</v>
      </c>
      <c r="I426" s="4"/>
      <c r="J426" s="4"/>
    </row>
    <row r="427" spans="1:10">
      <c r="A427" s="1">
        <v>426</v>
      </c>
      <c r="B427" s="1" t="s">
        <v>739</v>
      </c>
      <c r="C427" s="9">
        <v>44840</v>
      </c>
      <c r="D427" s="1" t="s">
        <v>39</v>
      </c>
      <c r="E427" s="1">
        <v>91181</v>
      </c>
      <c r="F427" s="4">
        <v>63025.21</v>
      </c>
      <c r="G427" s="4">
        <f t="shared" si="5"/>
        <v>11974.7899</v>
      </c>
      <c r="H427" s="4">
        <f t="shared" si="6"/>
        <v>74999.999899999995</v>
      </c>
      <c r="I427" s="4"/>
      <c r="J427" s="4"/>
    </row>
    <row r="428" spans="1:10">
      <c r="A428" s="1">
        <v>427</v>
      </c>
      <c r="B428" s="1" t="s">
        <v>740</v>
      </c>
      <c r="C428" s="9">
        <v>44840</v>
      </c>
      <c r="D428" s="1" t="s">
        <v>39</v>
      </c>
      <c r="E428" s="1">
        <v>91182</v>
      </c>
      <c r="F428" s="4">
        <v>8403.36</v>
      </c>
      <c r="G428" s="4">
        <f t="shared" si="5"/>
        <v>1596.6384</v>
      </c>
      <c r="H428" s="4">
        <f t="shared" si="6"/>
        <v>9999.9984000000004</v>
      </c>
      <c r="I428" s="4"/>
      <c r="J428" s="4"/>
    </row>
    <row r="429" spans="1:10">
      <c r="A429" s="1">
        <v>428</v>
      </c>
      <c r="B429" s="1" t="s">
        <v>741</v>
      </c>
      <c r="C429" s="9">
        <v>44842</v>
      </c>
      <c r="D429" s="1" t="s">
        <v>39</v>
      </c>
      <c r="E429" s="1">
        <v>91183</v>
      </c>
      <c r="F429" s="4">
        <v>29411.759999999998</v>
      </c>
      <c r="G429" s="4">
        <f t="shared" si="5"/>
        <v>5588.2343999999994</v>
      </c>
      <c r="H429" s="4">
        <f t="shared" si="6"/>
        <v>34999.994399999996</v>
      </c>
      <c r="I429" s="4"/>
      <c r="J429" s="4"/>
    </row>
    <row r="430" spans="1:10">
      <c r="A430" s="1">
        <v>429</v>
      </c>
      <c r="B430" s="1" t="s">
        <v>742</v>
      </c>
      <c r="C430" s="9">
        <v>44842</v>
      </c>
      <c r="D430" s="1" t="s">
        <v>39</v>
      </c>
      <c r="E430" s="1">
        <v>91184</v>
      </c>
      <c r="F430" s="4">
        <v>5042</v>
      </c>
      <c r="G430" s="4">
        <f t="shared" si="5"/>
        <v>957.98</v>
      </c>
      <c r="H430" s="4">
        <f t="shared" si="6"/>
        <v>5999.98</v>
      </c>
      <c r="I430" s="4"/>
      <c r="J430" s="4"/>
    </row>
    <row r="431" spans="1:10">
      <c r="A431" s="1">
        <v>430</v>
      </c>
      <c r="B431" s="1" t="s">
        <v>743</v>
      </c>
      <c r="C431" s="9">
        <v>44843</v>
      </c>
      <c r="D431" s="1" t="s">
        <v>39</v>
      </c>
      <c r="E431" s="1">
        <v>91185</v>
      </c>
      <c r="F431" s="4">
        <v>25210</v>
      </c>
      <c r="G431" s="4">
        <f t="shared" si="5"/>
        <v>4789.8999999999996</v>
      </c>
      <c r="H431" s="4">
        <f t="shared" si="6"/>
        <v>29999.9</v>
      </c>
      <c r="I431" s="4"/>
      <c r="J431" s="4"/>
    </row>
    <row r="432" spans="1:10">
      <c r="A432" s="1">
        <v>431</v>
      </c>
      <c r="B432" s="1" t="s">
        <v>744</v>
      </c>
      <c r="C432" s="9">
        <v>44843</v>
      </c>
      <c r="D432" s="1" t="s">
        <v>39</v>
      </c>
      <c r="E432" s="1">
        <v>91186</v>
      </c>
      <c r="F432" s="4">
        <v>42016.800000000003</v>
      </c>
      <c r="G432" s="4">
        <f t="shared" ref="G432:G685" si="7">F432*0.19</f>
        <v>7983.1920000000009</v>
      </c>
      <c r="H432" s="4">
        <f t="shared" ref="H432:H685" si="8">F432+G432</f>
        <v>49999.992000000006</v>
      </c>
      <c r="I432" s="4"/>
      <c r="J432" s="4"/>
    </row>
    <row r="433" spans="1:10">
      <c r="A433" s="1">
        <v>432</v>
      </c>
      <c r="B433" s="1" t="s">
        <v>725</v>
      </c>
      <c r="C433" s="9">
        <v>44845</v>
      </c>
      <c r="D433" s="1" t="s">
        <v>39</v>
      </c>
      <c r="E433" s="1">
        <v>91187</v>
      </c>
      <c r="F433" s="4">
        <v>16807</v>
      </c>
      <c r="G433" s="4">
        <f t="shared" si="7"/>
        <v>3193.33</v>
      </c>
      <c r="H433" s="4">
        <f t="shared" si="8"/>
        <v>20000.330000000002</v>
      </c>
      <c r="I433" s="4"/>
      <c r="J433" s="4"/>
    </row>
    <row r="434" spans="1:10">
      <c r="A434" s="1">
        <v>433</v>
      </c>
      <c r="B434" s="1" t="s">
        <v>738</v>
      </c>
      <c r="C434" s="9">
        <v>44848</v>
      </c>
      <c r="D434" s="1"/>
      <c r="F434" s="4">
        <v>16807</v>
      </c>
      <c r="G434" s="4">
        <f t="shared" si="7"/>
        <v>3193.33</v>
      </c>
      <c r="H434" s="4">
        <f t="shared" si="8"/>
        <v>20000.330000000002</v>
      </c>
      <c r="I434" s="4"/>
      <c r="J434" s="4"/>
    </row>
    <row r="435" spans="1:10">
      <c r="A435" s="1">
        <v>434</v>
      </c>
      <c r="B435" s="1" t="s">
        <v>745</v>
      </c>
      <c r="C435" s="9">
        <v>44849</v>
      </c>
      <c r="D435" s="1" t="s">
        <v>39</v>
      </c>
      <c r="E435" s="1">
        <v>91188</v>
      </c>
      <c r="F435" s="4">
        <v>42689.07</v>
      </c>
      <c r="G435" s="4">
        <f t="shared" si="7"/>
        <v>8110.9233000000004</v>
      </c>
      <c r="H435" s="4">
        <f t="shared" si="8"/>
        <v>50799.993300000002</v>
      </c>
      <c r="I435" s="4"/>
      <c r="J435" s="4"/>
    </row>
    <row r="436" spans="1:10">
      <c r="A436" s="1">
        <v>435</v>
      </c>
      <c r="B436" s="1" t="s">
        <v>746</v>
      </c>
      <c r="C436" s="9">
        <v>44849</v>
      </c>
      <c r="D436" s="1"/>
      <c r="F436" s="4">
        <v>4201.68</v>
      </c>
      <c r="G436" s="4">
        <f t="shared" si="7"/>
        <v>798.31920000000002</v>
      </c>
      <c r="H436" s="4">
        <f t="shared" si="8"/>
        <v>4999.9992000000002</v>
      </c>
      <c r="I436" s="4"/>
      <c r="J436" s="4"/>
    </row>
    <row r="437" spans="1:10">
      <c r="A437" s="1">
        <v>436</v>
      </c>
      <c r="B437" s="1" t="s">
        <v>747</v>
      </c>
      <c r="C437" s="9">
        <v>44849</v>
      </c>
      <c r="D437" s="1" t="s">
        <v>39</v>
      </c>
      <c r="E437" s="1">
        <v>91189</v>
      </c>
      <c r="F437" s="4">
        <v>26890.7</v>
      </c>
      <c r="G437" s="4">
        <f t="shared" si="7"/>
        <v>5109.2330000000002</v>
      </c>
      <c r="H437" s="4">
        <f t="shared" si="8"/>
        <v>31999.933000000001</v>
      </c>
      <c r="I437" s="4"/>
      <c r="J437" s="4"/>
    </row>
    <row r="438" spans="1:10">
      <c r="A438" s="1">
        <v>437</v>
      </c>
      <c r="B438" s="1" t="s">
        <v>748</v>
      </c>
      <c r="C438" s="9">
        <v>44852</v>
      </c>
      <c r="D438" s="1" t="s">
        <v>39</v>
      </c>
      <c r="E438" s="1">
        <v>91190</v>
      </c>
      <c r="F438" s="4">
        <v>19327.73</v>
      </c>
      <c r="G438" s="4">
        <f t="shared" si="7"/>
        <v>3672.2687000000001</v>
      </c>
      <c r="H438" s="4">
        <f t="shared" si="8"/>
        <v>22999.9987</v>
      </c>
      <c r="I438" s="4"/>
      <c r="J438" s="4"/>
    </row>
    <row r="439" spans="1:10">
      <c r="A439" s="1">
        <v>438</v>
      </c>
      <c r="B439" s="1" t="s">
        <v>725</v>
      </c>
      <c r="C439" s="9">
        <v>44852</v>
      </c>
      <c r="D439" s="1"/>
      <c r="F439" s="4">
        <v>16807</v>
      </c>
      <c r="G439" s="4">
        <f t="shared" si="7"/>
        <v>3193.33</v>
      </c>
      <c r="H439" s="4">
        <f t="shared" si="8"/>
        <v>20000.330000000002</v>
      </c>
      <c r="I439" s="4"/>
      <c r="J439" s="4"/>
    </row>
    <row r="440" spans="1:10">
      <c r="A440" s="1">
        <v>439</v>
      </c>
      <c r="B440" s="1" t="s">
        <v>749</v>
      </c>
      <c r="C440" s="9">
        <v>44854</v>
      </c>
      <c r="D440" s="1" t="s">
        <v>39</v>
      </c>
      <c r="E440" s="1">
        <v>91191</v>
      </c>
      <c r="F440" s="4">
        <v>5882.35</v>
      </c>
      <c r="G440" s="4">
        <f t="shared" si="7"/>
        <v>1117.6465000000001</v>
      </c>
      <c r="H440" s="4">
        <f t="shared" si="8"/>
        <v>6999.9965000000002</v>
      </c>
      <c r="I440" s="4"/>
      <c r="J440" s="4"/>
    </row>
    <row r="441" spans="1:10">
      <c r="A441" s="1">
        <v>440</v>
      </c>
      <c r="B441" s="1" t="s">
        <v>750</v>
      </c>
      <c r="C441" s="9">
        <v>44856</v>
      </c>
      <c r="D441" s="1" t="s">
        <v>39</v>
      </c>
      <c r="E441" s="1">
        <v>91192</v>
      </c>
      <c r="F441" s="4">
        <v>29411.759999999998</v>
      </c>
      <c r="G441" s="4">
        <f t="shared" si="7"/>
        <v>5588.2343999999994</v>
      </c>
      <c r="H441" s="4">
        <f t="shared" si="8"/>
        <v>34999.994399999996</v>
      </c>
      <c r="I441" s="4"/>
      <c r="J441" s="4"/>
    </row>
    <row r="442" spans="1:10">
      <c r="A442" s="1">
        <v>441</v>
      </c>
      <c r="B442" s="1" t="s">
        <v>751</v>
      </c>
      <c r="C442" s="9">
        <v>44862</v>
      </c>
      <c r="D442" s="1" t="s">
        <v>39</v>
      </c>
      <c r="F442" s="4">
        <v>33613.440000000002</v>
      </c>
      <c r="G442" s="4">
        <f t="shared" si="7"/>
        <v>6386.5536000000002</v>
      </c>
      <c r="H442" s="4">
        <f t="shared" si="8"/>
        <v>39999.993600000002</v>
      </c>
      <c r="I442" s="4"/>
      <c r="J442" s="4"/>
    </row>
    <row r="443" spans="1:10">
      <c r="A443" s="1">
        <v>442</v>
      </c>
      <c r="B443" s="1" t="s">
        <v>752</v>
      </c>
      <c r="C443" s="9">
        <v>44864</v>
      </c>
      <c r="D443" s="1" t="s">
        <v>39</v>
      </c>
      <c r="E443" s="1">
        <v>91193</v>
      </c>
      <c r="F443" s="4">
        <v>41176.47</v>
      </c>
      <c r="G443" s="4">
        <f t="shared" si="7"/>
        <v>7823.5293000000001</v>
      </c>
      <c r="H443" s="4">
        <f t="shared" si="8"/>
        <v>48999.999300000003</v>
      </c>
      <c r="I443" s="4"/>
      <c r="J443" s="4"/>
    </row>
    <row r="444" spans="1:10">
      <c r="A444" s="1">
        <v>443</v>
      </c>
      <c r="B444" s="1" t="s">
        <v>753</v>
      </c>
      <c r="C444" s="9">
        <v>44869</v>
      </c>
      <c r="D444" s="1" t="s">
        <v>39</v>
      </c>
      <c r="E444" s="1">
        <v>91194</v>
      </c>
      <c r="F444" s="4">
        <v>57058.82</v>
      </c>
      <c r="G444" s="4">
        <f t="shared" si="7"/>
        <v>10841.175800000001</v>
      </c>
      <c r="H444" s="4">
        <f t="shared" si="8"/>
        <v>67899.995800000004</v>
      </c>
      <c r="I444" s="4"/>
      <c r="J444" s="4"/>
    </row>
    <row r="445" spans="1:10">
      <c r="A445" s="1">
        <v>444</v>
      </c>
      <c r="B445" s="1" t="s">
        <v>754</v>
      </c>
      <c r="C445" s="9">
        <v>44869</v>
      </c>
      <c r="D445" s="1" t="s">
        <v>39</v>
      </c>
      <c r="E445" s="1">
        <v>91195</v>
      </c>
      <c r="F445" s="4">
        <v>34453.78</v>
      </c>
      <c r="G445" s="4">
        <f t="shared" si="7"/>
        <v>6546.2182000000003</v>
      </c>
      <c r="H445" s="4">
        <f t="shared" si="8"/>
        <v>40999.998200000002</v>
      </c>
      <c r="I445" s="4"/>
      <c r="J445" s="4"/>
    </row>
    <row r="446" spans="1:10">
      <c r="A446" s="1">
        <v>445</v>
      </c>
      <c r="B446" s="1" t="s">
        <v>755</v>
      </c>
      <c r="C446" s="9">
        <v>44870</v>
      </c>
      <c r="D446" s="1" t="s">
        <v>39</v>
      </c>
      <c r="E446" s="1">
        <v>91198</v>
      </c>
      <c r="F446" s="4">
        <v>81512.600000000006</v>
      </c>
      <c r="G446" s="4">
        <f t="shared" si="7"/>
        <v>15487.394000000002</v>
      </c>
      <c r="H446" s="4">
        <f t="shared" si="8"/>
        <v>96999.994000000006</v>
      </c>
      <c r="I446" s="4"/>
      <c r="J446" s="4"/>
    </row>
    <row r="447" spans="1:10">
      <c r="A447" s="1">
        <v>446</v>
      </c>
      <c r="B447" s="1" t="s">
        <v>677</v>
      </c>
      <c r="C447" s="9">
        <v>44870</v>
      </c>
      <c r="D447" s="1" t="s">
        <v>39</v>
      </c>
      <c r="E447" s="1">
        <v>91196</v>
      </c>
      <c r="F447" s="4">
        <v>16807</v>
      </c>
      <c r="G447" s="4">
        <f t="shared" si="7"/>
        <v>3193.33</v>
      </c>
      <c r="H447" s="4">
        <f t="shared" si="8"/>
        <v>20000.330000000002</v>
      </c>
      <c r="I447" s="4"/>
      <c r="J447" s="4"/>
    </row>
    <row r="448" spans="1:10">
      <c r="A448" s="1">
        <v>447</v>
      </c>
      <c r="B448" s="1" t="s">
        <v>756</v>
      </c>
      <c r="C448" s="9">
        <v>44870</v>
      </c>
      <c r="D448" s="1" t="s">
        <v>39</v>
      </c>
      <c r="E448" s="1">
        <v>91197</v>
      </c>
      <c r="F448" s="4">
        <v>4201.68</v>
      </c>
      <c r="G448" s="4">
        <f t="shared" si="7"/>
        <v>798.31920000000002</v>
      </c>
      <c r="H448" s="4">
        <f t="shared" si="8"/>
        <v>4999.9992000000002</v>
      </c>
      <c r="I448" s="4"/>
      <c r="J448" s="4"/>
    </row>
    <row r="449" spans="1:10">
      <c r="A449" s="1">
        <v>448</v>
      </c>
      <c r="B449" s="1" t="s">
        <v>757</v>
      </c>
      <c r="C449" s="9">
        <v>44877</v>
      </c>
      <c r="D449" s="1" t="s">
        <v>39</v>
      </c>
      <c r="E449" s="1">
        <v>91199</v>
      </c>
      <c r="F449" s="4">
        <v>5042</v>
      </c>
      <c r="G449" s="4">
        <f t="shared" si="7"/>
        <v>957.98</v>
      </c>
      <c r="H449" s="4">
        <f t="shared" si="8"/>
        <v>5999.98</v>
      </c>
      <c r="I449" s="4"/>
      <c r="J449" s="4"/>
    </row>
    <row r="450" spans="1:10">
      <c r="A450" s="1">
        <v>449</v>
      </c>
      <c r="B450" s="1" t="s">
        <v>725</v>
      </c>
      <c r="C450" s="3">
        <v>44877</v>
      </c>
      <c r="D450" s="1"/>
      <c r="F450" s="4">
        <v>16807</v>
      </c>
      <c r="G450" s="4">
        <f t="shared" si="7"/>
        <v>3193.33</v>
      </c>
      <c r="H450" s="4">
        <f t="shared" si="8"/>
        <v>20000.330000000002</v>
      </c>
      <c r="I450" s="4"/>
      <c r="J450" s="4"/>
    </row>
    <row r="451" spans="1:10">
      <c r="A451" s="1">
        <v>450</v>
      </c>
      <c r="B451" s="1" t="s">
        <v>758</v>
      </c>
      <c r="C451" s="9">
        <v>44877</v>
      </c>
      <c r="D451" s="1" t="s">
        <v>759</v>
      </c>
      <c r="E451" s="1">
        <v>3</v>
      </c>
      <c r="F451" s="4">
        <v>29411.759999999998</v>
      </c>
      <c r="G451" s="4">
        <f t="shared" si="7"/>
        <v>5588.2343999999994</v>
      </c>
      <c r="H451" s="4">
        <f t="shared" si="8"/>
        <v>34999.994399999996</v>
      </c>
      <c r="I451" s="4"/>
      <c r="J451" s="4"/>
    </row>
    <row r="452" spans="1:10">
      <c r="A452" s="1">
        <v>451</v>
      </c>
      <c r="B452" s="1" t="s">
        <v>725</v>
      </c>
      <c r="C452" s="9">
        <v>44877</v>
      </c>
      <c r="D452" s="1"/>
      <c r="F452" s="4">
        <v>16807</v>
      </c>
      <c r="G452" s="4">
        <f t="shared" si="7"/>
        <v>3193.33</v>
      </c>
      <c r="H452" s="4">
        <f t="shared" si="8"/>
        <v>20000.330000000002</v>
      </c>
      <c r="I452" s="4"/>
      <c r="J452" s="4"/>
    </row>
    <row r="453" spans="1:10">
      <c r="A453" s="1">
        <v>452</v>
      </c>
      <c r="B453" s="1" t="s">
        <v>492</v>
      </c>
      <c r="C453" s="9">
        <v>44877</v>
      </c>
      <c r="D453" s="1" t="s">
        <v>39</v>
      </c>
      <c r="E453" s="1">
        <v>91200</v>
      </c>
      <c r="F453" s="4">
        <v>4201.68</v>
      </c>
      <c r="G453" s="4">
        <f t="shared" si="7"/>
        <v>798.31920000000002</v>
      </c>
      <c r="H453" s="4">
        <f t="shared" si="8"/>
        <v>4999.9992000000002</v>
      </c>
      <c r="I453" s="4"/>
      <c r="J453" s="4"/>
    </row>
    <row r="454" spans="1:10">
      <c r="A454" s="1">
        <v>453</v>
      </c>
      <c r="B454" s="1" t="s">
        <v>760</v>
      </c>
      <c r="C454" s="9">
        <v>44880</v>
      </c>
      <c r="D454" s="1" t="s">
        <v>39</v>
      </c>
      <c r="E454" s="1">
        <v>91201</v>
      </c>
      <c r="F454" s="4">
        <v>41092.44</v>
      </c>
      <c r="G454" s="4">
        <f t="shared" si="7"/>
        <v>7807.5636000000004</v>
      </c>
      <c r="H454" s="4">
        <f t="shared" si="8"/>
        <v>48900.003600000004</v>
      </c>
      <c r="I454" s="4"/>
      <c r="J454" s="4"/>
    </row>
    <row r="455" spans="1:10">
      <c r="A455" s="1">
        <v>454</v>
      </c>
      <c r="B455" s="1" t="s">
        <v>756</v>
      </c>
      <c r="C455" s="9">
        <v>44881</v>
      </c>
      <c r="D455" s="1" t="s">
        <v>39</v>
      </c>
      <c r="E455" s="1">
        <v>91202</v>
      </c>
      <c r="F455" s="4">
        <v>4202</v>
      </c>
      <c r="G455" s="4">
        <f t="shared" si="7"/>
        <v>798.38</v>
      </c>
      <c r="H455" s="4">
        <f t="shared" si="8"/>
        <v>5000.38</v>
      </c>
      <c r="I455" s="4"/>
      <c r="J455" s="4"/>
    </row>
    <row r="456" spans="1:10">
      <c r="A456" s="1">
        <v>455</v>
      </c>
      <c r="B456" s="1" t="s">
        <v>677</v>
      </c>
      <c r="C456" s="9">
        <v>44883</v>
      </c>
      <c r="D456" s="1"/>
      <c r="F456" s="4">
        <v>16807</v>
      </c>
      <c r="G456" s="4">
        <f t="shared" si="7"/>
        <v>3193.33</v>
      </c>
      <c r="H456" s="4">
        <f t="shared" si="8"/>
        <v>20000.330000000002</v>
      </c>
      <c r="I456" s="4"/>
      <c r="J456" s="4"/>
    </row>
    <row r="457" spans="1:10">
      <c r="A457" s="1">
        <v>456</v>
      </c>
      <c r="B457" s="1" t="s">
        <v>761</v>
      </c>
      <c r="C457" s="9">
        <v>44886</v>
      </c>
      <c r="D457" s="1" t="s">
        <v>12</v>
      </c>
      <c r="E457" s="1">
        <v>6</v>
      </c>
      <c r="F457" s="4">
        <v>107143</v>
      </c>
      <c r="G457" s="4">
        <f t="shared" si="7"/>
        <v>20357.170000000002</v>
      </c>
      <c r="H457" s="4">
        <f t="shared" si="8"/>
        <v>127500.17</v>
      </c>
      <c r="I457" s="4"/>
      <c r="J457" s="4"/>
    </row>
    <row r="458" spans="1:10">
      <c r="A458" s="1">
        <v>457</v>
      </c>
      <c r="B458" s="1" t="s">
        <v>448</v>
      </c>
      <c r="C458" s="9">
        <v>44892</v>
      </c>
      <c r="D458" s="1" t="s">
        <v>39</v>
      </c>
      <c r="F458" s="4">
        <v>6722.6890000000003</v>
      </c>
      <c r="G458" s="4">
        <f t="shared" si="7"/>
        <v>1277.3109100000001</v>
      </c>
      <c r="H458" s="4">
        <f t="shared" si="8"/>
        <v>7999.9999100000005</v>
      </c>
      <c r="I458" s="4"/>
      <c r="J458" s="4"/>
    </row>
    <row r="459" spans="1:10">
      <c r="A459" s="1">
        <v>458</v>
      </c>
      <c r="B459" s="1" t="s">
        <v>232</v>
      </c>
      <c r="C459" s="9">
        <v>44896</v>
      </c>
      <c r="D459" s="1" t="s">
        <v>39</v>
      </c>
      <c r="E459" s="1">
        <v>91203</v>
      </c>
      <c r="F459" s="4">
        <v>10084</v>
      </c>
      <c r="G459" s="4">
        <f t="shared" si="7"/>
        <v>1915.96</v>
      </c>
      <c r="H459" s="4">
        <f t="shared" si="8"/>
        <v>11999.96</v>
      </c>
      <c r="I459" s="4"/>
      <c r="J459" s="4"/>
    </row>
    <row r="460" spans="1:10">
      <c r="A460" s="1">
        <v>459</v>
      </c>
      <c r="B460" s="1" t="s">
        <v>762</v>
      </c>
      <c r="C460" s="9">
        <v>44900</v>
      </c>
      <c r="D460" s="1" t="s">
        <v>39</v>
      </c>
      <c r="E460" s="1">
        <v>91204</v>
      </c>
      <c r="F460" s="4">
        <v>8403.36</v>
      </c>
      <c r="G460" s="4">
        <f t="shared" si="7"/>
        <v>1596.6384</v>
      </c>
      <c r="H460" s="4">
        <f t="shared" si="8"/>
        <v>9999.9984000000004</v>
      </c>
      <c r="I460" s="4"/>
      <c r="J460" s="4"/>
    </row>
    <row r="461" spans="1:10">
      <c r="A461" s="1">
        <v>460</v>
      </c>
      <c r="B461" s="1" t="s">
        <v>175</v>
      </c>
      <c r="C461" s="9">
        <v>44901</v>
      </c>
      <c r="D461" s="1"/>
      <c r="F461" s="4">
        <v>50420</v>
      </c>
      <c r="G461" s="4">
        <f t="shared" si="7"/>
        <v>9579.7999999999993</v>
      </c>
      <c r="H461" s="4">
        <f t="shared" si="8"/>
        <v>59999.8</v>
      </c>
      <c r="I461" s="4"/>
      <c r="J461" s="4"/>
    </row>
    <row r="462" spans="1:10">
      <c r="A462" s="1">
        <v>461</v>
      </c>
      <c r="B462" s="1" t="s">
        <v>175</v>
      </c>
      <c r="C462" s="9">
        <v>44903</v>
      </c>
      <c r="D462" s="1"/>
      <c r="F462" s="4">
        <v>16807</v>
      </c>
      <c r="G462" s="4">
        <f t="shared" si="7"/>
        <v>3193.33</v>
      </c>
      <c r="H462" s="4">
        <f t="shared" si="8"/>
        <v>20000.330000000002</v>
      </c>
      <c r="I462" s="4"/>
      <c r="J462" s="4"/>
    </row>
    <row r="463" spans="1:10">
      <c r="A463" s="1">
        <v>462</v>
      </c>
      <c r="B463" s="1" t="s">
        <v>763</v>
      </c>
      <c r="C463" s="9">
        <v>44903</v>
      </c>
      <c r="D463" s="1" t="s">
        <v>39</v>
      </c>
      <c r="E463" s="1">
        <v>91205</v>
      </c>
      <c r="F463" s="4">
        <v>20168</v>
      </c>
      <c r="G463" s="4">
        <f t="shared" si="7"/>
        <v>3831.92</v>
      </c>
      <c r="H463" s="4">
        <f t="shared" si="8"/>
        <v>23999.919999999998</v>
      </c>
      <c r="I463" s="4"/>
      <c r="J463" s="4"/>
    </row>
    <row r="464" spans="1:10">
      <c r="A464" s="1">
        <v>463</v>
      </c>
      <c r="B464" s="1" t="s">
        <v>764</v>
      </c>
      <c r="C464" s="9">
        <v>44912</v>
      </c>
      <c r="D464" s="1" t="s">
        <v>39</v>
      </c>
      <c r="E464" s="1">
        <v>91207</v>
      </c>
      <c r="F464" s="4">
        <v>34285.699999999997</v>
      </c>
      <c r="G464" s="4">
        <f t="shared" si="7"/>
        <v>6514.2829999999994</v>
      </c>
      <c r="H464" s="4">
        <f t="shared" si="8"/>
        <v>40799.982999999993</v>
      </c>
      <c r="I464" s="4"/>
      <c r="J464" s="4"/>
    </row>
    <row r="465" spans="1:10">
      <c r="A465" s="1">
        <v>464</v>
      </c>
      <c r="B465" s="1" t="s">
        <v>765</v>
      </c>
      <c r="C465" s="9">
        <v>44906</v>
      </c>
      <c r="D465" s="1" t="s">
        <v>39</v>
      </c>
      <c r="E465" s="1">
        <v>91206</v>
      </c>
      <c r="F465" s="4">
        <v>4201.68</v>
      </c>
      <c r="G465" s="4">
        <f t="shared" si="7"/>
        <v>798.31920000000002</v>
      </c>
      <c r="H465" s="4">
        <f t="shared" si="8"/>
        <v>4999.9992000000002</v>
      </c>
      <c r="I465" s="4"/>
      <c r="J465" s="4"/>
    </row>
    <row r="466" spans="1:10">
      <c r="A466" s="1">
        <v>465</v>
      </c>
      <c r="B466" s="1" t="s">
        <v>766</v>
      </c>
      <c r="C466" s="9">
        <v>44912</v>
      </c>
      <c r="D466" s="1" t="s">
        <v>39</v>
      </c>
      <c r="E466" s="1">
        <v>91208</v>
      </c>
      <c r="F466" s="4">
        <v>91596.64</v>
      </c>
      <c r="G466" s="4">
        <f t="shared" si="7"/>
        <v>17403.3616</v>
      </c>
      <c r="H466" s="4">
        <f t="shared" si="8"/>
        <v>109000.0016</v>
      </c>
      <c r="I466" s="4"/>
      <c r="J466" s="4"/>
    </row>
    <row r="467" spans="1:10">
      <c r="A467" s="1">
        <v>466</v>
      </c>
      <c r="B467" s="1" t="s">
        <v>767</v>
      </c>
      <c r="C467" s="9">
        <v>44912</v>
      </c>
      <c r="D467" s="1"/>
      <c r="F467" s="4">
        <v>3361.34</v>
      </c>
      <c r="G467" s="4">
        <f t="shared" si="7"/>
        <v>638.65460000000007</v>
      </c>
      <c r="H467" s="4">
        <f t="shared" si="8"/>
        <v>3999.9946</v>
      </c>
      <c r="I467" s="4"/>
      <c r="J467" s="4"/>
    </row>
    <row r="468" spans="1:10">
      <c r="A468" s="1">
        <v>467</v>
      </c>
      <c r="B468" s="1" t="s">
        <v>768</v>
      </c>
      <c r="C468" s="9">
        <v>44913</v>
      </c>
      <c r="D468" s="1" t="s">
        <v>39</v>
      </c>
      <c r="E468" s="1">
        <v>91209</v>
      </c>
      <c r="F468" s="4">
        <v>16807</v>
      </c>
      <c r="G468" s="4">
        <f t="shared" si="7"/>
        <v>3193.33</v>
      </c>
      <c r="H468" s="4">
        <f t="shared" si="8"/>
        <v>20000.330000000002</v>
      </c>
      <c r="I468" s="4"/>
      <c r="J468" s="4"/>
    </row>
    <row r="469" spans="1:10">
      <c r="A469" s="1">
        <v>468</v>
      </c>
      <c r="B469" s="1" t="s">
        <v>769</v>
      </c>
      <c r="C469" s="9">
        <v>44914</v>
      </c>
      <c r="D469" s="1" t="s">
        <v>39</v>
      </c>
      <c r="E469" s="1">
        <v>91210</v>
      </c>
      <c r="F469" s="4">
        <v>33613.449999999997</v>
      </c>
      <c r="G469" s="4">
        <f t="shared" si="7"/>
        <v>6386.5554999999995</v>
      </c>
      <c r="H469" s="4">
        <f t="shared" si="8"/>
        <v>40000.005499999999</v>
      </c>
      <c r="I469" s="4"/>
      <c r="J469" s="4"/>
    </row>
    <row r="470" spans="1:10">
      <c r="A470" s="1">
        <v>470</v>
      </c>
      <c r="B470" s="1" t="s">
        <v>770</v>
      </c>
      <c r="C470" s="9">
        <v>44918</v>
      </c>
      <c r="D470" s="1" t="s">
        <v>39</v>
      </c>
      <c r="E470" s="1">
        <v>91213</v>
      </c>
      <c r="F470" s="4">
        <v>44453.78</v>
      </c>
      <c r="G470" s="4">
        <f t="shared" si="7"/>
        <v>8446.2181999999993</v>
      </c>
      <c r="H470" s="4">
        <f t="shared" si="8"/>
        <v>52899.998200000002</v>
      </c>
      <c r="I470" s="4"/>
      <c r="J470" s="4"/>
    </row>
    <row r="471" spans="1:10">
      <c r="A471" s="1">
        <v>471</v>
      </c>
      <c r="B471" s="1" t="s">
        <v>771</v>
      </c>
      <c r="C471" s="9">
        <v>44919</v>
      </c>
      <c r="D471" s="1" t="s">
        <v>39</v>
      </c>
      <c r="E471" s="1">
        <v>91212</v>
      </c>
      <c r="F471" s="4">
        <v>34873.949579831933</v>
      </c>
      <c r="G471" s="4">
        <f t="shared" si="7"/>
        <v>6626.0504201680669</v>
      </c>
      <c r="H471" s="4">
        <f t="shared" si="8"/>
        <v>41500</v>
      </c>
      <c r="I471" s="4"/>
      <c r="J471" s="4"/>
    </row>
    <row r="472" spans="1:10">
      <c r="A472" s="1">
        <v>472</v>
      </c>
      <c r="B472" s="1" t="s">
        <v>743</v>
      </c>
      <c r="C472" s="9">
        <v>44919</v>
      </c>
      <c r="D472" s="1" t="s">
        <v>39</v>
      </c>
      <c r="E472" s="1">
        <v>91211</v>
      </c>
      <c r="F472" s="4">
        <v>25210.080000000002</v>
      </c>
      <c r="G472" s="4">
        <f t="shared" si="7"/>
        <v>4789.9152000000004</v>
      </c>
      <c r="H472" s="4">
        <f t="shared" si="8"/>
        <v>29999.995200000001</v>
      </c>
      <c r="I472" s="4"/>
      <c r="J472" s="4"/>
    </row>
    <row r="473" spans="1:10">
      <c r="A473" s="1">
        <v>473</v>
      </c>
      <c r="B473" s="1" t="s">
        <v>181</v>
      </c>
      <c r="C473" s="9">
        <v>44927</v>
      </c>
      <c r="D473" s="1" t="s">
        <v>39</v>
      </c>
      <c r="F473" s="4">
        <v>16807</v>
      </c>
      <c r="G473" s="4">
        <f t="shared" si="7"/>
        <v>3193.33</v>
      </c>
      <c r="H473" s="4">
        <f t="shared" si="8"/>
        <v>20000.330000000002</v>
      </c>
      <c r="I473" s="4"/>
      <c r="J473" s="4"/>
    </row>
    <row r="474" spans="1:10">
      <c r="A474" s="1">
        <v>474</v>
      </c>
      <c r="B474" s="1" t="s">
        <v>743</v>
      </c>
      <c r="C474" s="9">
        <v>44928</v>
      </c>
      <c r="D474" s="1" t="s">
        <v>39</v>
      </c>
      <c r="E474" s="1">
        <v>91214</v>
      </c>
      <c r="F474" s="4">
        <v>25210.080000000002</v>
      </c>
      <c r="G474" s="4">
        <f t="shared" si="7"/>
        <v>4789.9152000000004</v>
      </c>
      <c r="H474" s="4">
        <f t="shared" si="8"/>
        <v>29999.995200000001</v>
      </c>
      <c r="I474" s="4"/>
      <c r="J474" s="4"/>
    </row>
    <row r="475" spans="1:10">
      <c r="A475" s="1">
        <v>475</v>
      </c>
      <c r="B475" s="1" t="s">
        <v>772</v>
      </c>
      <c r="C475" s="9">
        <v>44928</v>
      </c>
      <c r="D475" s="1" t="s">
        <v>759</v>
      </c>
      <c r="E475" s="1">
        <v>5</v>
      </c>
      <c r="F475" s="4">
        <v>4201.68</v>
      </c>
      <c r="G475" s="4">
        <f t="shared" si="7"/>
        <v>798.31920000000002</v>
      </c>
      <c r="H475" s="4">
        <f t="shared" si="8"/>
        <v>4999.9992000000002</v>
      </c>
      <c r="I475" s="4"/>
      <c r="J475" s="4"/>
    </row>
    <row r="476" spans="1:10">
      <c r="A476" s="1">
        <v>476</v>
      </c>
      <c r="B476" s="1" t="s">
        <v>773</v>
      </c>
      <c r="C476" s="9">
        <v>44928</v>
      </c>
      <c r="D476" s="1" t="s">
        <v>39</v>
      </c>
      <c r="E476" s="1">
        <v>91215</v>
      </c>
      <c r="F476" s="4">
        <v>170924.36</v>
      </c>
      <c r="G476" s="4">
        <f t="shared" si="7"/>
        <v>32475.628399999998</v>
      </c>
      <c r="H476" s="4">
        <f t="shared" si="8"/>
        <v>203399.98839999997</v>
      </c>
      <c r="I476" s="4"/>
      <c r="J476" s="4"/>
    </row>
    <row r="477" spans="1:10">
      <c r="A477" s="1">
        <v>477</v>
      </c>
      <c r="B477" s="1" t="s">
        <v>774</v>
      </c>
      <c r="C477" s="9">
        <v>44928</v>
      </c>
      <c r="D477" s="1" t="s">
        <v>39</v>
      </c>
      <c r="E477" s="1">
        <v>91216</v>
      </c>
      <c r="F477" s="4">
        <v>46218.487000000001</v>
      </c>
      <c r="G477" s="4">
        <f t="shared" si="7"/>
        <v>8781.51253</v>
      </c>
      <c r="H477" s="4">
        <f t="shared" si="8"/>
        <v>54999.999530000001</v>
      </c>
      <c r="I477" s="4"/>
      <c r="J477" s="4"/>
    </row>
    <row r="478" spans="1:10">
      <c r="A478" s="1">
        <v>478</v>
      </c>
      <c r="B478" s="1" t="s">
        <v>775</v>
      </c>
      <c r="C478" s="9">
        <v>44930</v>
      </c>
      <c r="D478" s="1" t="s">
        <v>39</v>
      </c>
      <c r="E478" s="1">
        <v>91223</v>
      </c>
      <c r="F478" s="4">
        <v>8403.36</v>
      </c>
      <c r="G478" s="4">
        <f t="shared" si="7"/>
        <v>1596.6384</v>
      </c>
      <c r="H478" s="4">
        <f t="shared" si="8"/>
        <v>9999.9984000000004</v>
      </c>
      <c r="I478" s="4"/>
      <c r="J478" s="4"/>
    </row>
    <row r="479" spans="1:10">
      <c r="A479" s="1">
        <v>479</v>
      </c>
      <c r="B479" s="1" t="s">
        <v>776</v>
      </c>
      <c r="C479" s="9">
        <v>44932</v>
      </c>
      <c r="D479" s="1"/>
      <c r="F479" s="4">
        <v>33613.445</v>
      </c>
      <c r="G479" s="4">
        <f t="shared" si="7"/>
        <v>6386.5545499999998</v>
      </c>
      <c r="H479" s="4">
        <f t="shared" si="8"/>
        <v>39999.99955</v>
      </c>
      <c r="I479" s="4"/>
      <c r="J479" s="4"/>
    </row>
    <row r="480" spans="1:10">
      <c r="A480" s="1">
        <v>480</v>
      </c>
      <c r="B480" s="1" t="s">
        <v>777</v>
      </c>
      <c r="C480" s="9">
        <v>44936</v>
      </c>
      <c r="D480" s="1" t="s">
        <v>39</v>
      </c>
      <c r="F480" s="4">
        <v>42016.800000000003</v>
      </c>
      <c r="G480" s="4">
        <f t="shared" si="7"/>
        <v>7983.1920000000009</v>
      </c>
      <c r="H480" s="4">
        <f t="shared" si="8"/>
        <v>49999.992000000006</v>
      </c>
      <c r="I480" s="4"/>
      <c r="J480" s="4"/>
    </row>
    <row r="481" spans="1:10">
      <c r="A481" s="1">
        <v>481</v>
      </c>
      <c r="B481" s="1" t="s">
        <v>448</v>
      </c>
      <c r="C481" s="9">
        <v>44939</v>
      </c>
      <c r="D481" s="1" t="s">
        <v>39</v>
      </c>
      <c r="E481" s="1">
        <v>91224</v>
      </c>
      <c r="F481" s="4">
        <v>6722.6890000000003</v>
      </c>
      <c r="G481" s="4">
        <f t="shared" si="7"/>
        <v>1277.3109100000001</v>
      </c>
      <c r="H481" s="4">
        <f t="shared" si="8"/>
        <v>7999.9999100000005</v>
      </c>
      <c r="I481" s="4"/>
      <c r="J481" s="4"/>
    </row>
    <row r="482" spans="1:10">
      <c r="A482" s="1">
        <v>482</v>
      </c>
      <c r="B482" s="1" t="s">
        <v>778</v>
      </c>
      <c r="C482" s="9">
        <v>44940</v>
      </c>
      <c r="D482" s="1" t="s">
        <v>39</v>
      </c>
      <c r="E482" s="1">
        <v>91225</v>
      </c>
      <c r="F482" s="4">
        <v>66638.654999999999</v>
      </c>
      <c r="G482" s="4">
        <f t="shared" si="7"/>
        <v>12661.344450000001</v>
      </c>
      <c r="H482" s="4">
        <f t="shared" si="8"/>
        <v>79299.999450000003</v>
      </c>
      <c r="I482" s="4"/>
      <c r="J482" s="4"/>
    </row>
    <row r="483" spans="1:10">
      <c r="A483" s="1">
        <v>483</v>
      </c>
      <c r="B483" s="1" t="s">
        <v>779</v>
      </c>
      <c r="C483" s="9">
        <v>44940</v>
      </c>
      <c r="D483" s="1" t="s">
        <v>39</v>
      </c>
      <c r="E483" s="1">
        <v>91226</v>
      </c>
      <c r="F483" s="4">
        <v>3865.54</v>
      </c>
      <c r="G483" s="4">
        <f t="shared" si="7"/>
        <v>734.45259999999996</v>
      </c>
      <c r="H483" s="4">
        <f t="shared" si="8"/>
        <v>4599.9925999999996</v>
      </c>
      <c r="I483" s="4"/>
      <c r="J483" s="4"/>
    </row>
    <row r="484" spans="1:10">
      <c r="A484" s="1">
        <v>484</v>
      </c>
      <c r="B484" s="1" t="s">
        <v>780</v>
      </c>
      <c r="C484" s="9">
        <v>44940</v>
      </c>
      <c r="D484" s="1" t="s">
        <v>39</v>
      </c>
      <c r="E484" s="1">
        <v>91227</v>
      </c>
      <c r="F484" s="4">
        <v>94453.78</v>
      </c>
      <c r="G484" s="4">
        <f t="shared" si="7"/>
        <v>17946.218199999999</v>
      </c>
      <c r="H484" s="4">
        <f t="shared" si="8"/>
        <v>112399.9982</v>
      </c>
      <c r="I484" s="4"/>
      <c r="J484" s="4"/>
    </row>
    <row r="485" spans="1:10">
      <c r="A485" s="1">
        <v>485</v>
      </c>
      <c r="B485" s="1" t="s">
        <v>781</v>
      </c>
      <c r="C485" s="9">
        <v>44941</v>
      </c>
      <c r="D485" s="1"/>
      <c r="F485" s="4">
        <v>24369.74</v>
      </c>
      <c r="G485" s="4">
        <f t="shared" si="7"/>
        <v>4630.2506000000003</v>
      </c>
      <c r="H485" s="4">
        <f t="shared" si="8"/>
        <v>28999.990600000001</v>
      </c>
      <c r="I485" s="4"/>
      <c r="J485" s="4"/>
    </row>
    <row r="486" spans="1:10">
      <c r="A486" s="1">
        <v>486</v>
      </c>
      <c r="B486" s="1" t="s">
        <v>782</v>
      </c>
      <c r="C486" s="9">
        <v>44942</v>
      </c>
      <c r="D486" s="1" t="s">
        <v>39</v>
      </c>
      <c r="E486" s="1">
        <v>91228</v>
      </c>
      <c r="F486" s="4">
        <v>109243.7</v>
      </c>
      <c r="G486" s="4">
        <f t="shared" si="7"/>
        <v>20756.303</v>
      </c>
      <c r="H486" s="4">
        <f t="shared" si="8"/>
        <v>130000.003</v>
      </c>
      <c r="I486" s="4"/>
      <c r="J486" s="4"/>
    </row>
    <row r="487" spans="1:10">
      <c r="A487" s="1">
        <v>487</v>
      </c>
      <c r="B487" s="1" t="s">
        <v>783</v>
      </c>
      <c r="C487" s="9">
        <v>44942</v>
      </c>
      <c r="D487" s="1" t="s">
        <v>39</v>
      </c>
      <c r="E487" s="1">
        <v>91229</v>
      </c>
      <c r="F487" s="4">
        <v>17647.05</v>
      </c>
      <c r="G487" s="4">
        <f t="shared" si="7"/>
        <v>3352.9395</v>
      </c>
      <c r="H487" s="4">
        <f t="shared" si="8"/>
        <v>20999.9895</v>
      </c>
      <c r="I487" s="4"/>
      <c r="J487" s="4"/>
    </row>
    <row r="488" spans="1:10">
      <c r="A488" s="1">
        <v>488</v>
      </c>
      <c r="B488" s="1" t="s">
        <v>245</v>
      </c>
      <c r="C488" s="9">
        <v>44944</v>
      </c>
      <c r="D488" s="1"/>
      <c r="F488" s="4">
        <v>16807</v>
      </c>
      <c r="G488" s="4">
        <f t="shared" si="7"/>
        <v>3193.33</v>
      </c>
      <c r="H488" s="4">
        <f t="shared" si="8"/>
        <v>20000.330000000002</v>
      </c>
      <c r="I488" s="4"/>
      <c r="J488" s="4"/>
    </row>
    <row r="489" spans="1:10">
      <c r="A489" s="1">
        <v>489</v>
      </c>
      <c r="B489" s="1" t="s">
        <v>784</v>
      </c>
      <c r="C489" s="9">
        <v>44946</v>
      </c>
      <c r="D489" s="1" t="s">
        <v>39</v>
      </c>
      <c r="E489" s="1">
        <v>91230</v>
      </c>
      <c r="F489" s="4">
        <v>15126.05</v>
      </c>
      <c r="G489" s="4">
        <f t="shared" si="7"/>
        <v>2873.9494999999997</v>
      </c>
      <c r="H489" s="4">
        <f t="shared" si="8"/>
        <v>17999.999499999998</v>
      </c>
      <c r="I489" s="4"/>
      <c r="J489" s="4"/>
    </row>
    <row r="490" spans="1:10">
      <c r="A490" s="1">
        <v>490</v>
      </c>
      <c r="B490" s="1" t="s">
        <v>175</v>
      </c>
      <c r="C490" s="9">
        <v>44947</v>
      </c>
      <c r="D490" s="1"/>
      <c r="F490" s="4">
        <v>33613.445</v>
      </c>
      <c r="G490" s="4">
        <f t="shared" si="7"/>
        <v>6386.5545499999998</v>
      </c>
      <c r="H490" s="4">
        <f t="shared" si="8"/>
        <v>39999.99955</v>
      </c>
      <c r="I490" s="4"/>
      <c r="J490" s="4"/>
    </row>
    <row r="491" spans="1:10">
      <c r="A491" s="1">
        <v>491</v>
      </c>
      <c r="B491" s="1" t="s">
        <v>175</v>
      </c>
      <c r="C491" s="9">
        <v>44947</v>
      </c>
      <c r="D491" s="1"/>
      <c r="F491" s="4">
        <v>33613.445</v>
      </c>
      <c r="G491" s="4">
        <f t="shared" si="7"/>
        <v>6386.5545499999998</v>
      </c>
      <c r="H491" s="4">
        <f t="shared" si="8"/>
        <v>39999.99955</v>
      </c>
      <c r="I491" s="4"/>
      <c r="J491" s="4"/>
    </row>
    <row r="492" spans="1:10">
      <c r="A492" s="1">
        <v>492</v>
      </c>
      <c r="B492" s="1" t="s">
        <v>785</v>
      </c>
      <c r="C492" s="9">
        <v>44950</v>
      </c>
      <c r="D492" s="1"/>
      <c r="F492" s="4">
        <v>16807</v>
      </c>
      <c r="G492" s="4">
        <f t="shared" si="7"/>
        <v>3193.33</v>
      </c>
      <c r="H492" s="4">
        <f t="shared" si="8"/>
        <v>20000.330000000002</v>
      </c>
      <c r="I492" s="4"/>
      <c r="J492" s="4"/>
    </row>
    <row r="493" spans="1:10">
      <c r="A493" s="1">
        <v>493</v>
      </c>
      <c r="B493" s="1" t="s">
        <v>786</v>
      </c>
      <c r="C493" s="9">
        <v>44950</v>
      </c>
      <c r="D493" s="1" t="s">
        <v>39</v>
      </c>
      <c r="E493" s="1">
        <v>91231</v>
      </c>
      <c r="F493" s="4">
        <v>63025.21</v>
      </c>
      <c r="G493" s="4">
        <f t="shared" si="7"/>
        <v>11974.7899</v>
      </c>
      <c r="H493" s="4">
        <f t="shared" si="8"/>
        <v>74999.999899999995</v>
      </c>
      <c r="I493" s="4"/>
      <c r="J493" s="4"/>
    </row>
    <row r="494" spans="1:10">
      <c r="A494" s="1">
        <v>494</v>
      </c>
      <c r="B494" s="1" t="s">
        <v>181</v>
      </c>
      <c r="C494" s="9">
        <v>44953</v>
      </c>
      <c r="D494" s="1"/>
      <c r="F494" s="4">
        <v>16807</v>
      </c>
      <c r="G494" s="4">
        <f t="shared" si="7"/>
        <v>3193.33</v>
      </c>
      <c r="H494" s="4">
        <f t="shared" si="8"/>
        <v>20000.330000000002</v>
      </c>
      <c r="I494" s="4"/>
      <c r="J494" s="4"/>
    </row>
    <row r="495" spans="1:10">
      <c r="A495" s="1">
        <v>495</v>
      </c>
      <c r="B495" s="1" t="s">
        <v>787</v>
      </c>
      <c r="C495" s="9">
        <v>44955</v>
      </c>
      <c r="D495" s="1"/>
      <c r="F495" s="4">
        <v>8403.36</v>
      </c>
      <c r="G495" s="4">
        <f t="shared" si="7"/>
        <v>1596.6384</v>
      </c>
      <c r="H495" s="4">
        <f t="shared" si="8"/>
        <v>9999.9984000000004</v>
      </c>
      <c r="I495" s="4"/>
      <c r="J495" s="4"/>
    </row>
    <row r="496" spans="1:10">
      <c r="A496" s="1">
        <v>496</v>
      </c>
      <c r="B496" s="1" t="s">
        <v>788</v>
      </c>
      <c r="C496" s="9">
        <v>44958</v>
      </c>
      <c r="D496" s="1" t="s">
        <v>39</v>
      </c>
      <c r="E496" s="1">
        <v>91232</v>
      </c>
      <c r="F496" s="4">
        <v>44537.815000000002</v>
      </c>
      <c r="G496" s="4">
        <f t="shared" si="7"/>
        <v>8462.1848499999996</v>
      </c>
      <c r="H496" s="4">
        <f t="shared" si="8"/>
        <v>52999.99985</v>
      </c>
      <c r="I496" s="4"/>
      <c r="J496" s="4"/>
    </row>
    <row r="497" spans="1:10">
      <c r="A497" s="1">
        <v>497</v>
      </c>
      <c r="B497" s="1" t="s">
        <v>789</v>
      </c>
      <c r="C497" s="9">
        <v>44961</v>
      </c>
      <c r="D497" s="1"/>
      <c r="F497" s="4">
        <v>16807</v>
      </c>
      <c r="G497" s="4">
        <f t="shared" si="7"/>
        <v>3193.33</v>
      </c>
      <c r="H497" s="4">
        <f t="shared" si="8"/>
        <v>20000.330000000002</v>
      </c>
      <c r="I497" s="4"/>
      <c r="J497" s="4"/>
    </row>
    <row r="498" spans="1:10">
      <c r="A498" s="1">
        <v>498</v>
      </c>
      <c r="B498" s="1" t="s">
        <v>790</v>
      </c>
      <c r="C498" s="9">
        <v>44961</v>
      </c>
      <c r="D498" s="1" t="s">
        <v>39</v>
      </c>
      <c r="E498" s="1">
        <v>91233</v>
      </c>
      <c r="F498" s="4">
        <v>4201.68</v>
      </c>
      <c r="G498" s="4">
        <f t="shared" si="7"/>
        <v>798.31920000000002</v>
      </c>
      <c r="H498" s="4">
        <f t="shared" si="8"/>
        <v>4999.9992000000002</v>
      </c>
      <c r="I498" s="4"/>
      <c r="J498" s="4"/>
    </row>
    <row r="499" spans="1:10">
      <c r="A499" s="1">
        <v>499</v>
      </c>
      <c r="B499" s="1" t="s">
        <v>791</v>
      </c>
      <c r="C499" s="9">
        <v>44961</v>
      </c>
      <c r="D499" s="1" t="s">
        <v>39</v>
      </c>
      <c r="E499" s="1">
        <v>91234</v>
      </c>
      <c r="F499" s="4">
        <v>3865.55</v>
      </c>
      <c r="G499" s="4">
        <f t="shared" si="7"/>
        <v>734.45450000000005</v>
      </c>
      <c r="H499" s="4">
        <f t="shared" si="8"/>
        <v>4600.0045</v>
      </c>
      <c r="I499" s="4"/>
      <c r="J499" s="4"/>
    </row>
    <row r="500" spans="1:10">
      <c r="A500" s="1">
        <v>500</v>
      </c>
      <c r="B500" s="1" t="s">
        <v>792</v>
      </c>
      <c r="C500" s="9">
        <v>44963</v>
      </c>
      <c r="D500" s="1" t="s">
        <v>39</v>
      </c>
      <c r="E500" s="1">
        <v>91235</v>
      </c>
      <c r="F500" s="4">
        <v>29411.759999999998</v>
      </c>
      <c r="G500" s="4">
        <f t="shared" si="7"/>
        <v>5588.2343999999994</v>
      </c>
      <c r="H500" s="4">
        <f t="shared" si="8"/>
        <v>34999.994399999996</v>
      </c>
      <c r="I500" s="4"/>
      <c r="J500" s="4"/>
    </row>
    <row r="501" spans="1:10">
      <c r="A501" s="1">
        <v>501</v>
      </c>
      <c r="B501" s="1" t="s">
        <v>793</v>
      </c>
      <c r="C501" s="9">
        <v>44963</v>
      </c>
      <c r="D501" s="1" t="s">
        <v>39</v>
      </c>
      <c r="F501" s="4"/>
      <c r="G501" s="4">
        <f t="shared" si="7"/>
        <v>0</v>
      </c>
      <c r="H501" s="4">
        <f t="shared" si="8"/>
        <v>0</v>
      </c>
      <c r="I501" s="4"/>
      <c r="J501" s="4"/>
    </row>
    <row r="502" spans="1:10">
      <c r="A502" s="1">
        <v>502</v>
      </c>
      <c r="B502" s="1" t="s">
        <v>448</v>
      </c>
      <c r="C502" s="9">
        <v>44963</v>
      </c>
      <c r="D502" s="1" t="s">
        <v>39</v>
      </c>
      <c r="F502" s="4"/>
      <c r="G502" s="4">
        <f t="shared" si="7"/>
        <v>0</v>
      </c>
      <c r="H502" s="4">
        <f t="shared" si="8"/>
        <v>0</v>
      </c>
      <c r="I502" s="4"/>
      <c r="J502" s="4"/>
    </row>
    <row r="503" spans="1:10">
      <c r="A503" s="1">
        <v>503</v>
      </c>
      <c r="B503" s="1" t="s">
        <v>794</v>
      </c>
      <c r="C503" s="9">
        <v>44964</v>
      </c>
      <c r="D503" s="1" t="s">
        <v>39</v>
      </c>
      <c r="E503" s="1">
        <v>91236</v>
      </c>
      <c r="F503" s="4">
        <v>51260.5</v>
      </c>
      <c r="G503" s="4">
        <f t="shared" si="7"/>
        <v>9739.4950000000008</v>
      </c>
      <c r="H503" s="4">
        <f t="shared" si="8"/>
        <v>60999.995000000003</v>
      </c>
      <c r="I503" s="4"/>
      <c r="J503" s="4"/>
    </row>
    <row r="504" spans="1:10">
      <c r="A504" s="1">
        <v>504</v>
      </c>
      <c r="B504" s="1" t="s">
        <v>795</v>
      </c>
      <c r="C504" s="9">
        <v>44966</v>
      </c>
      <c r="D504" s="1"/>
      <c r="F504" s="4">
        <v>16807</v>
      </c>
      <c r="G504" s="4">
        <f t="shared" si="7"/>
        <v>3193.33</v>
      </c>
      <c r="H504" s="4">
        <f t="shared" si="8"/>
        <v>20000.330000000002</v>
      </c>
      <c r="I504" s="4"/>
      <c r="J504" s="4"/>
    </row>
    <row r="505" spans="1:10">
      <c r="A505" s="1">
        <v>505</v>
      </c>
      <c r="B505" s="1" t="s">
        <v>796</v>
      </c>
      <c r="C505" s="9">
        <v>44966</v>
      </c>
      <c r="D505" s="1" t="s">
        <v>39</v>
      </c>
      <c r="E505" s="1">
        <v>91238</v>
      </c>
      <c r="F505" s="4">
        <v>29411.759999999998</v>
      </c>
      <c r="G505" s="4">
        <f t="shared" si="7"/>
        <v>5588.2343999999994</v>
      </c>
      <c r="H505" s="4">
        <f t="shared" si="8"/>
        <v>34999.994399999996</v>
      </c>
      <c r="I505" s="4"/>
      <c r="J505" s="4"/>
    </row>
    <row r="506" spans="1:10">
      <c r="A506" s="1">
        <v>506</v>
      </c>
      <c r="B506" s="1" t="s">
        <v>797</v>
      </c>
      <c r="C506" s="9">
        <v>44966</v>
      </c>
      <c r="D506" s="1" t="s">
        <v>39</v>
      </c>
      <c r="E506" s="1">
        <v>91237</v>
      </c>
      <c r="F506" s="4">
        <v>36134.449999999997</v>
      </c>
      <c r="G506" s="4">
        <f t="shared" si="7"/>
        <v>6865.5454999999993</v>
      </c>
      <c r="H506" s="4">
        <f t="shared" si="8"/>
        <v>42999.995499999997</v>
      </c>
      <c r="I506" s="4"/>
      <c r="J506" s="4"/>
    </row>
    <row r="507" spans="1:10">
      <c r="A507" s="1">
        <v>507</v>
      </c>
      <c r="B507" s="1" t="s">
        <v>725</v>
      </c>
      <c r="C507" s="9">
        <v>44967</v>
      </c>
      <c r="D507" s="1" t="s">
        <v>39</v>
      </c>
      <c r="F507" s="4">
        <v>16807</v>
      </c>
      <c r="G507" s="4">
        <f t="shared" si="7"/>
        <v>3193.33</v>
      </c>
      <c r="H507" s="4">
        <f t="shared" si="8"/>
        <v>20000.330000000002</v>
      </c>
      <c r="I507" s="4"/>
      <c r="J507" s="4"/>
    </row>
    <row r="508" spans="1:10">
      <c r="A508" s="1">
        <v>508</v>
      </c>
      <c r="B508" s="1" t="s">
        <v>774</v>
      </c>
      <c r="C508" s="9">
        <v>44968</v>
      </c>
      <c r="D508" s="1" t="s">
        <v>39</v>
      </c>
      <c r="E508" s="1">
        <v>91239</v>
      </c>
      <c r="F508" s="4">
        <v>46218.487000000001</v>
      </c>
      <c r="G508" s="4">
        <f t="shared" si="7"/>
        <v>8781.51253</v>
      </c>
      <c r="H508" s="4">
        <f t="shared" si="8"/>
        <v>54999.999530000001</v>
      </c>
      <c r="I508" s="4"/>
      <c r="J508" s="4"/>
    </row>
    <row r="509" spans="1:10">
      <c r="A509" s="1">
        <v>509</v>
      </c>
      <c r="B509" s="1" t="s">
        <v>798</v>
      </c>
      <c r="C509" s="9">
        <v>44968</v>
      </c>
      <c r="D509" s="1" t="s">
        <v>39</v>
      </c>
      <c r="E509" s="1">
        <v>91240</v>
      </c>
      <c r="F509" s="4">
        <v>39075.629999999997</v>
      </c>
      <c r="G509" s="4">
        <f t="shared" si="7"/>
        <v>7424.3696999999993</v>
      </c>
      <c r="H509" s="4">
        <f t="shared" si="8"/>
        <v>46499.9997</v>
      </c>
      <c r="I509" s="4"/>
      <c r="J509" s="4"/>
    </row>
    <row r="510" spans="1:10">
      <c r="A510" s="1">
        <v>510</v>
      </c>
      <c r="B510" s="1" t="s">
        <v>753</v>
      </c>
      <c r="C510" s="9">
        <v>44972</v>
      </c>
      <c r="D510" s="1" t="s">
        <v>39</v>
      </c>
      <c r="E510" s="1">
        <v>91241</v>
      </c>
      <c r="F510" s="4">
        <v>98319.33</v>
      </c>
      <c r="G510" s="4">
        <f t="shared" si="7"/>
        <v>18680.672699999999</v>
      </c>
      <c r="H510" s="4">
        <f t="shared" si="8"/>
        <v>117000.0027</v>
      </c>
      <c r="I510" s="4"/>
      <c r="J510" s="4"/>
    </row>
    <row r="511" spans="1:10">
      <c r="A511" s="1">
        <v>511</v>
      </c>
      <c r="B511" s="1" t="s">
        <v>799</v>
      </c>
      <c r="C511" s="9">
        <v>44972</v>
      </c>
      <c r="D511" s="1" t="s">
        <v>39</v>
      </c>
      <c r="E511" s="1">
        <v>91245</v>
      </c>
      <c r="F511" s="4">
        <v>29411.759999999998</v>
      </c>
      <c r="G511" s="4">
        <f t="shared" si="7"/>
        <v>5588.2343999999994</v>
      </c>
      <c r="H511" s="4">
        <f t="shared" si="8"/>
        <v>34999.994399999996</v>
      </c>
      <c r="I511" s="4"/>
      <c r="J511" s="4"/>
    </row>
    <row r="512" spans="1:10">
      <c r="A512" s="1">
        <v>512</v>
      </c>
      <c r="B512" s="1" t="s">
        <v>800</v>
      </c>
      <c r="C512" s="9">
        <v>44973</v>
      </c>
      <c r="D512" s="1" t="s">
        <v>39</v>
      </c>
      <c r="E512" s="1">
        <v>91242</v>
      </c>
      <c r="F512" s="4">
        <v>4201.68</v>
      </c>
      <c r="G512" s="4">
        <f t="shared" si="7"/>
        <v>798.31920000000002</v>
      </c>
      <c r="H512" s="4">
        <f t="shared" si="8"/>
        <v>4999.9992000000002</v>
      </c>
      <c r="I512" s="4"/>
      <c r="J512" s="4"/>
    </row>
    <row r="513" spans="1:10">
      <c r="A513" s="1">
        <v>513</v>
      </c>
      <c r="B513" s="1" t="s">
        <v>801</v>
      </c>
      <c r="C513" s="9">
        <v>44973</v>
      </c>
      <c r="D513" s="1" t="s">
        <v>39</v>
      </c>
      <c r="E513" s="1">
        <v>91248</v>
      </c>
      <c r="F513" s="4">
        <v>20168.07</v>
      </c>
      <c r="G513" s="4">
        <f t="shared" si="7"/>
        <v>3831.9333000000001</v>
      </c>
      <c r="H513" s="4">
        <f t="shared" si="8"/>
        <v>24000.0033</v>
      </c>
      <c r="I513" s="4"/>
      <c r="J513" s="4"/>
    </row>
    <row r="514" spans="1:10">
      <c r="A514" s="1">
        <v>514</v>
      </c>
      <c r="B514" s="1" t="s">
        <v>802</v>
      </c>
      <c r="C514" s="9">
        <v>44974</v>
      </c>
      <c r="D514" s="1" t="s">
        <v>39</v>
      </c>
      <c r="E514" s="1">
        <v>91243</v>
      </c>
      <c r="F514" s="4">
        <v>75630</v>
      </c>
      <c r="G514" s="4">
        <f t="shared" si="7"/>
        <v>14369.7</v>
      </c>
      <c r="H514" s="4">
        <f t="shared" si="8"/>
        <v>89999.7</v>
      </c>
      <c r="I514" s="4"/>
      <c r="J514" s="4"/>
    </row>
    <row r="515" spans="1:10">
      <c r="A515" s="1">
        <v>515</v>
      </c>
      <c r="B515" s="1" t="s">
        <v>803</v>
      </c>
      <c r="C515" s="9">
        <v>44974</v>
      </c>
      <c r="D515" s="1" t="s">
        <v>759</v>
      </c>
      <c r="E515" s="1">
        <v>6</v>
      </c>
      <c r="F515" s="4">
        <v>4201.68</v>
      </c>
      <c r="G515" s="4">
        <f t="shared" si="7"/>
        <v>798.31920000000002</v>
      </c>
      <c r="H515" s="4">
        <f t="shared" si="8"/>
        <v>4999.9992000000002</v>
      </c>
      <c r="I515" s="4"/>
      <c r="J515" s="4"/>
    </row>
    <row r="516" spans="1:10">
      <c r="A516" s="1">
        <v>516</v>
      </c>
      <c r="B516" s="1" t="s">
        <v>804</v>
      </c>
      <c r="C516" s="9">
        <v>44977</v>
      </c>
      <c r="D516" s="1" t="s">
        <v>759</v>
      </c>
      <c r="E516" s="1">
        <v>7</v>
      </c>
      <c r="F516" s="4">
        <v>26050.42</v>
      </c>
      <c r="G516" s="4">
        <f t="shared" si="7"/>
        <v>4949.5797999999995</v>
      </c>
      <c r="H516" s="4">
        <f t="shared" si="8"/>
        <v>30999.999799999998</v>
      </c>
      <c r="I516" s="4"/>
      <c r="J516" s="4"/>
    </row>
    <row r="517" spans="1:10">
      <c r="A517" s="1">
        <v>517</v>
      </c>
      <c r="B517" s="1" t="s">
        <v>805</v>
      </c>
      <c r="C517" s="9">
        <v>44977</v>
      </c>
      <c r="D517" s="1" t="s">
        <v>39</v>
      </c>
      <c r="E517" s="1">
        <v>91244</v>
      </c>
      <c r="F517" s="4">
        <v>3361.34</v>
      </c>
      <c r="G517" s="4">
        <f t="shared" si="7"/>
        <v>638.65460000000007</v>
      </c>
      <c r="H517" s="4">
        <f t="shared" si="8"/>
        <v>3999.9946</v>
      </c>
      <c r="I517" s="4"/>
      <c r="J517" s="4"/>
    </row>
    <row r="518" spans="1:10">
      <c r="A518" s="1">
        <v>518</v>
      </c>
      <c r="B518" s="1" t="s">
        <v>254</v>
      </c>
      <c r="C518" s="9">
        <v>44979</v>
      </c>
      <c r="D518" s="1"/>
      <c r="F518" s="4">
        <v>46218.49</v>
      </c>
      <c r="G518" s="4">
        <f t="shared" si="7"/>
        <v>8781.5131000000001</v>
      </c>
      <c r="H518" s="4">
        <f t="shared" si="8"/>
        <v>55000.003100000002</v>
      </c>
      <c r="I518" s="4"/>
      <c r="J518" s="4"/>
    </row>
    <row r="519" spans="1:10">
      <c r="A519" s="1">
        <v>519</v>
      </c>
      <c r="B519" s="1" t="s">
        <v>806</v>
      </c>
      <c r="C519" s="9">
        <v>44982</v>
      </c>
      <c r="D519" s="1" t="s">
        <v>39</v>
      </c>
      <c r="E519" s="1">
        <v>91246</v>
      </c>
      <c r="F519" s="4">
        <v>60504.2</v>
      </c>
      <c r="G519" s="4">
        <f t="shared" si="7"/>
        <v>11495.797999999999</v>
      </c>
      <c r="H519" s="4">
        <f t="shared" si="8"/>
        <v>71999.997999999992</v>
      </c>
      <c r="I519" s="4"/>
      <c r="J519" s="4"/>
    </row>
    <row r="520" spans="1:10">
      <c r="A520" s="1">
        <v>520</v>
      </c>
      <c r="B520" s="1" t="s">
        <v>807</v>
      </c>
      <c r="C520" s="9">
        <v>44982</v>
      </c>
      <c r="D520" s="1" t="s">
        <v>39</v>
      </c>
      <c r="E520" s="1">
        <v>91247</v>
      </c>
      <c r="F520" s="4">
        <v>21008.400000000001</v>
      </c>
      <c r="G520" s="4">
        <f t="shared" si="7"/>
        <v>3991.5960000000005</v>
      </c>
      <c r="H520" s="4">
        <f t="shared" si="8"/>
        <v>24999.996000000003</v>
      </c>
      <c r="I520" s="4"/>
      <c r="J520" s="4"/>
    </row>
    <row r="521" spans="1:10">
      <c r="A521" s="1">
        <v>521</v>
      </c>
      <c r="B521" s="1" t="s">
        <v>808</v>
      </c>
      <c r="C521" s="9">
        <v>44983</v>
      </c>
      <c r="D521" s="1" t="s">
        <v>39</v>
      </c>
      <c r="F521" s="4">
        <v>6302.52</v>
      </c>
      <c r="G521" s="4">
        <f t="shared" si="7"/>
        <v>1197.4788000000001</v>
      </c>
      <c r="H521" s="4">
        <f t="shared" si="8"/>
        <v>7499.9988000000003</v>
      </c>
      <c r="I521" s="4"/>
      <c r="J521" s="4"/>
    </row>
    <row r="522" spans="1:10">
      <c r="A522" s="1">
        <v>522</v>
      </c>
      <c r="B522" s="1" t="s">
        <v>809</v>
      </c>
      <c r="C522" s="9">
        <v>44985</v>
      </c>
      <c r="D522" s="1" t="s">
        <v>39</v>
      </c>
      <c r="E522" s="1">
        <v>91249</v>
      </c>
      <c r="F522" s="4">
        <v>12605</v>
      </c>
      <c r="G522" s="4">
        <f t="shared" si="7"/>
        <v>2394.9499999999998</v>
      </c>
      <c r="H522" s="4">
        <f t="shared" si="8"/>
        <v>14999.95</v>
      </c>
      <c r="I522" s="4"/>
      <c r="J522" s="4"/>
    </row>
    <row r="523" spans="1:10">
      <c r="A523" s="1">
        <v>523</v>
      </c>
      <c r="B523" s="1" t="s">
        <v>810</v>
      </c>
      <c r="C523" s="9">
        <v>44986</v>
      </c>
      <c r="D523" s="1" t="s">
        <v>39</v>
      </c>
      <c r="E523" s="1">
        <v>91250</v>
      </c>
      <c r="F523" s="4">
        <v>42016.800000000003</v>
      </c>
      <c r="G523" s="4">
        <f t="shared" si="7"/>
        <v>7983.1920000000009</v>
      </c>
      <c r="H523" s="4">
        <f t="shared" si="8"/>
        <v>49999.992000000006</v>
      </c>
      <c r="I523" s="4"/>
      <c r="J523" s="4"/>
    </row>
    <row r="524" spans="1:10">
      <c r="A524" s="1">
        <v>524</v>
      </c>
      <c r="B524" s="1" t="s">
        <v>811</v>
      </c>
      <c r="C524" s="9">
        <v>44986</v>
      </c>
      <c r="D524" s="1" t="s">
        <v>39</v>
      </c>
      <c r="E524" s="1">
        <v>91251</v>
      </c>
      <c r="F524" s="4">
        <v>75630.25</v>
      </c>
      <c r="G524" s="4">
        <f t="shared" si="7"/>
        <v>14369.747499999999</v>
      </c>
      <c r="H524" s="4">
        <f t="shared" si="8"/>
        <v>89999.997499999998</v>
      </c>
      <c r="I524" s="4"/>
      <c r="J524" s="4"/>
    </row>
    <row r="525" spans="1:10">
      <c r="A525" s="1">
        <v>525</v>
      </c>
      <c r="B525" s="1" t="s">
        <v>812</v>
      </c>
      <c r="C525" s="9">
        <v>44986</v>
      </c>
      <c r="D525" s="1" t="s">
        <v>12</v>
      </c>
      <c r="E525" s="1">
        <v>11</v>
      </c>
      <c r="F525" s="4">
        <v>52941.17</v>
      </c>
      <c r="G525" s="4">
        <f t="shared" si="7"/>
        <v>10058.8223</v>
      </c>
      <c r="H525" s="4">
        <f t="shared" si="8"/>
        <v>62999.992299999998</v>
      </c>
      <c r="I525" s="4"/>
      <c r="J525" s="4"/>
    </row>
    <row r="526" spans="1:10">
      <c r="A526" s="1">
        <v>526</v>
      </c>
      <c r="B526" s="1" t="s">
        <v>813</v>
      </c>
      <c r="C526" s="9">
        <v>44988</v>
      </c>
      <c r="D526" s="1" t="s">
        <v>39</v>
      </c>
      <c r="E526" s="1">
        <v>91255</v>
      </c>
      <c r="F526" s="4">
        <v>100840.33</v>
      </c>
      <c r="G526" s="4">
        <f t="shared" si="7"/>
        <v>19159.662700000001</v>
      </c>
      <c r="H526" s="4">
        <f t="shared" si="8"/>
        <v>119999.9927</v>
      </c>
      <c r="I526" s="4"/>
      <c r="J526" s="4"/>
    </row>
    <row r="527" spans="1:10">
      <c r="A527" s="1">
        <v>527</v>
      </c>
      <c r="B527" s="1" t="s">
        <v>814</v>
      </c>
      <c r="C527" s="9">
        <v>44988</v>
      </c>
      <c r="D527" s="1" t="s">
        <v>39</v>
      </c>
      <c r="E527" s="1">
        <v>91252</v>
      </c>
      <c r="F527" s="4">
        <v>37815.129999999997</v>
      </c>
      <c r="G527" s="4">
        <f t="shared" si="7"/>
        <v>7184.8746999999994</v>
      </c>
      <c r="H527" s="4">
        <f t="shared" si="8"/>
        <v>45000.004699999998</v>
      </c>
      <c r="I527" s="4"/>
      <c r="J527" s="4"/>
    </row>
    <row r="528" spans="1:10">
      <c r="A528" s="1">
        <v>528</v>
      </c>
      <c r="B528" s="1" t="s">
        <v>815</v>
      </c>
      <c r="C528" s="9">
        <v>44989</v>
      </c>
      <c r="D528" s="1" t="s">
        <v>39</v>
      </c>
      <c r="E528" s="1">
        <v>91254</v>
      </c>
      <c r="F528" s="4">
        <v>42016.800000000003</v>
      </c>
      <c r="G528" s="4">
        <f t="shared" si="7"/>
        <v>7983.1920000000009</v>
      </c>
      <c r="H528" s="4">
        <f t="shared" si="8"/>
        <v>49999.992000000006</v>
      </c>
      <c r="I528" s="4"/>
      <c r="J528" s="4"/>
    </row>
    <row r="529" spans="1:10">
      <c r="A529" s="1">
        <v>529</v>
      </c>
      <c r="B529" s="1" t="s">
        <v>816</v>
      </c>
      <c r="C529" s="9">
        <v>44989</v>
      </c>
      <c r="D529" s="1" t="s">
        <v>39</v>
      </c>
      <c r="E529" s="1">
        <v>91253</v>
      </c>
      <c r="F529" s="4">
        <v>31092.44</v>
      </c>
      <c r="G529" s="4">
        <f t="shared" si="7"/>
        <v>5907.5635999999995</v>
      </c>
      <c r="H529" s="4">
        <f t="shared" si="8"/>
        <v>37000.003599999996</v>
      </c>
      <c r="I529" s="4"/>
      <c r="J529" s="4"/>
    </row>
    <row r="530" spans="1:10">
      <c r="A530" s="1">
        <v>530</v>
      </c>
      <c r="B530" s="1" t="s">
        <v>817</v>
      </c>
      <c r="C530" s="9">
        <v>44989</v>
      </c>
      <c r="D530" s="1"/>
      <c r="F530" s="4">
        <v>46218.487000000001</v>
      </c>
      <c r="G530" s="4">
        <f t="shared" si="7"/>
        <v>8781.51253</v>
      </c>
      <c r="H530" s="4">
        <f t="shared" si="8"/>
        <v>54999.999530000001</v>
      </c>
      <c r="I530" s="4"/>
      <c r="J530" s="4"/>
    </row>
    <row r="531" spans="1:10">
      <c r="A531" s="1">
        <v>531</v>
      </c>
      <c r="B531" s="1" t="s">
        <v>818</v>
      </c>
      <c r="C531" s="9">
        <v>44998</v>
      </c>
      <c r="D531" s="1" t="s">
        <v>39</v>
      </c>
      <c r="E531" s="1">
        <v>91257</v>
      </c>
      <c r="F531" s="4">
        <v>21008.400000000001</v>
      </c>
      <c r="G531" s="4">
        <f t="shared" si="7"/>
        <v>3991.5960000000005</v>
      </c>
      <c r="H531" s="4">
        <f t="shared" si="8"/>
        <v>24999.996000000003</v>
      </c>
      <c r="I531" s="4"/>
      <c r="J531" s="4"/>
    </row>
    <row r="532" spans="1:10">
      <c r="A532" s="1">
        <v>532</v>
      </c>
      <c r="B532" s="1" t="s">
        <v>448</v>
      </c>
      <c r="C532" s="9">
        <v>44989</v>
      </c>
      <c r="D532" s="1" t="s">
        <v>39</v>
      </c>
      <c r="E532" s="1">
        <v>91256</v>
      </c>
      <c r="F532" s="4">
        <v>6722.6890000000003</v>
      </c>
      <c r="G532" s="4">
        <f t="shared" si="7"/>
        <v>1277.3109100000001</v>
      </c>
      <c r="H532" s="4">
        <f t="shared" si="8"/>
        <v>7999.9999100000005</v>
      </c>
      <c r="I532" s="4"/>
      <c r="J532" s="4"/>
    </row>
    <row r="533" spans="1:10">
      <c r="A533" s="1">
        <v>533</v>
      </c>
      <c r="B533" s="1" t="s">
        <v>725</v>
      </c>
      <c r="C533" s="9">
        <v>44991</v>
      </c>
      <c r="D533" s="1"/>
      <c r="F533" s="4">
        <v>16807</v>
      </c>
      <c r="G533" s="4">
        <f t="shared" si="7"/>
        <v>3193.33</v>
      </c>
      <c r="H533" s="4">
        <f t="shared" si="8"/>
        <v>20000.330000000002</v>
      </c>
      <c r="I533" s="4"/>
      <c r="J533" s="4"/>
    </row>
    <row r="534" spans="1:10">
      <c r="A534" s="1">
        <v>534</v>
      </c>
      <c r="B534" s="1" t="s">
        <v>819</v>
      </c>
      <c r="C534" s="9">
        <v>44998</v>
      </c>
      <c r="D534" s="1" t="s">
        <v>39</v>
      </c>
      <c r="E534" s="1">
        <v>91258</v>
      </c>
      <c r="F534" s="4">
        <v>43697.48</v>
      </c>
      <c r="G534" s="4">
        <f t="shared" si="7"/>
        <v>8302.521200000001</v>
      </c>
      <c r="H534" s="4">
        <f t="shared" si="8"/>
        <v>52000.001200000006</v>
      </c>
      <c r="I534" s="4"/>
      <c r="J534" s="4"/>
    </row>
    <row r="535" spans="1:10">
      <c r="A535" s="1">
        <v>535</v>
      </c>
      <c r="B535" s="1" t="s">
        <v>695</v>
      </c>
      <c r="C535" s="9">
        <v>44999</v>
      </c>
      <c r="D535" s="1"/>
      <c r="F535" s="4">
        <v>16807</v>
      </c>
      <c r="G535" s="4">
        <f t="shared" si="7"/>
        <v>3193.33</v>
      </c>
      <c r="H535" s="4">
        <f t="shared" si="8"/>
        <v>20000.330000000002</v>
      </c>
      <c r="I535" s="4"/>
      <c r="J535" s="4"/>
    </row>
    <row r="536" spans="1:10">
      <c r="A536" s="1">
        <v>536</v>
      </c>
      <c r="B536" s="1" t="s">
        <v>649</v>
      </c>
      <c r="C536" s="9">
        <v>44999</v>
      </c>
      <c r="D536" s="1" t="s">
        <v>39</v>
      </c>
      <c r="E536" s="1">
        <v>91259</v>
      </c>
      <c r="F536" s="4">
        <v>16807</v>
      </c>
      <c r="G536" s="4">
        <f t="shared" si="7"/>
        <v>3193.33</v>
      </c>
      <c r="H536" s="4">
        <f t="shared" si="8"/>
        <v>20000.330000000002</v>
      </c>
      <c r="I536" s="4"/>
      <c r="J536" s="4"/>
    </row>
    <row r="537" spans="1:10">
      <c r="A537" s="1">
        <v>537</v>
      </c>
      <c r="B537" s="1" t="s">
        <v>677</v>
      </c>
      <c r="C537" s="9">
        <v>44999</v>
      </c>
      <c r="D537" s="1" t="s">
        <v>39</v>
      </c>
      <c r="E537" s="1">
        <v>91260</v>
      </c>
      <c r="F537" s="4">
        <v>16807</v>
      </c>
      <c r="G537" s="4">
        <f t="shared" si="7"/>
        <v>3193.33</v>
      </c>
      <c r="H537" s="4">
        <f t="shared" si="8"/>
        <v>20000.330000000002</v>
      </c>
      <c r="I537" s="4"/>
      <c r="J537" s="4"/>
    </row>
    <row r="538" spans="1:10">
      <c r="A538" s="1">
        <v>538</v>
      </c>
      <c r="B538" s="1" t="s">
        <v>820</v>
      </c>
      <c r="C538" s="9">
        <v>44999</v>
      </c>
      <c r="D538" s="1" t="s">
        <v>39</v>
      </c>
      <c r="E538" s="1">
        <v>91261</v>
      </c>
      <c r="F538" s="4">
        <v>5042</v>
      </c>
      <c r="G538" s="4">
        <f t="shared" si="7"/>
        <v>957.98</v>
      </c>
      <c r="H538" s="4">
        <f t="shared" si="8"/>
        <v>5999.98</v>
      </c>
      <c r="I538" s="4"/>
      <c r="J538" s="4"/>
    </row>
    <row r="539" spans="1:10">
      <c r="A539" s="1">
        <v>539</v>
      </c>
      <c r="B539" s="1" t="s">
        <v>821</v>
      </c>
      <c r="C539" s="9">
        <v>45000</v>
      </c>
      <c r="D539" s="1" t="s">
        <v>39</v>
      </c>
      <c r="E539" s="1">
        <v>91262</v>
      </c>
      <c r="F539" s="4">
        <v>33613.440000000002</v>
      </c>
      <c r="G539" s="4">
        <f t="shared" si="7"/>
        <v>6386.5536000000002</v>
      </c>
      <c r="H539" s="4">
        <f t="shared" si="8"/>
        <v>39999.993600000002</v>
      </c>
      <c r="I539" s="4"/>
      <c r="J539" s="4"/>
    </row>
    <row r="540" spans="1:10">
      <c r="A540" s="1">
        <v>540</v>
      </c>
      <c r="B540" s="1" t="s">
        <v>822</v>
      </c>
      <c r="C540" s="9">
        <v>45001</v>
      </c>
      <c r="D540" s="1" t="s">
        <v>39</v>
      </c>
      <c r="E540" s="1">
        <v>91263</v>
      </c>
      <c r="F540" s="4">
        <v>25210.080000000002</v>
      </c>
      <c r="G540" s="4">
        <f t="shared" si="7"/>
        <v>4789.9152000000004</v>
      </c>
      <c r="H540" s="4">
        <f t="shared" si="8"/>
        <v>29999.995200000001</v>
      </c>
      <c r="I540" s="4"/>
      <c r="J540" s="4"/>
    </row>
    <row r="541" spans="1:10">
      <c r="A541" s="1">
        <v>541</v>
      </c>
      <c r="B541" s="1" t="s">
        <v>823</v>
      </c>
      <c r="C541" s="9">
        <v>45001</v>
      </c>
      <c r="D541" s="1" t="s">
        <v>39</v>
      </c>
      <c r="E541" s="1">
        <v>91264</v>
      </c>
      <c r="F541" s="4">
        <v>30672.27</v>
      </c>
      <c r="G541" s="4">
        <f t="shared" si="7"/>
        <v>5827.7313000000004</v>
      </c>
      <c r="H541" s="4">
        <f t="shared" si="8"/>
        <v>36500.001300000004</v>
      </c>
      <c r="I541" s="4"/>
      <c r="J541" s="4"/>
    </row>
    <row r="542" spans="1:10">
      <c r="A542" s="1">
        <v>542</v>
      </c>
      <c r="B542" s="1" t="s">
        <v>772</v>
      </c>
      <c r="C542" s="9">
        <v>45001</v>
      </c>
      <c r="D542" s="1" t="s">
        <v>759</v>
      </c>
      <c r="E542" s="1">
        <v>8</v>
      </c>
      <c r="F542" s="4">
        <v>3361.34</v>
      </c>
      <c r="G542" s="4">
        <f t="shared" si="7"/>
        <v>638.65460000000007</v>
      </c>
      <c r="H542" s="4">
        <f t="shared" si="8"/>
        <v>3999.9946</v>
      </c>
      <c r="I542" s="4"/>
      <c r="J542" s="4"/>
    </row>
    <row r="543" spans="1:10">
      <c r="A543" s="1">
        <v>543</v>
      </c>
      <c r="B543" s="1" t="s">
        <v>824</v>
      </c>
      <c r="C543" s="9">
        <v>45001</v>
      </c>
      <c r="D543" s="1" t="s">
        <v>39</v>
      </c>
      <c r="E543" s="1">
        <v>91266</v>
      </c>
      <c r="F543" s="4">
        <v>75630.25</v>
      </c>
      <c r="G543" s="4">
        <f t="shared" si="7"/>
        <v>14369.747499999999</v>
      </c>
      <c r="H543" s="4">
        <f t="shared" si="8"/>
        <v>89999.997499999998</v>
      </c>
      <c r="I543" s="4"/>
      <c r="J543" s="4"/>
    </row>
    <row r="544" spans="1:10">
      <c r="A544" s="1">
        <v>544</v>
      </c>
      <c r="B544" s="1" t="s">
        <v>825</v>
      </c>
      <c r="C544" s="9">
        <v>45002</v>
      </c>
      <c r="D544" s="1" t="s">
        <v>39</v>
      </c>
      <c r="E544" s="1">
        <v>91265</v>
      </c>
      <c r="F544" s="4">
        <v>21008.400000000001</v>
      </c>
      <c r="G544" s="4">
        <f t="shared" si="7"/>
        <v>3991.5960000000005</v>
      </c>
      <c r="H544" s="4">
        <f t="shared" si="8"/>
        <v>24999.996000000003</v>
      </c>
      <c r="I544" s="4"/>
      <c r="J544" s="4"/>
    </row>
    <row r="545" spans="1:10">
      <c r="A545" s="1">
        <v>545</v>
      </c>
      <c r="B545" s="1" t="s">
        <v>826</v>
      </c>
      <c r="C545" s="9">
        <v>45005</v>
      </c>
      <c r="D545" s="1" t="s">
        <v>39</v>
      </c>
      <c r="E545" s="1">
        <v>91267</v>
      </c>
      <c r="F545" s="4">
        <v>21848.73</v>
      </c>
      <c r="G545" s="4">
        <f t="shared" si="7"/>
        <v>4151.2587000000003</v>
      </c>
      <c r="H545" s="4">
        <f t="shared" si="8"/>
        <v>25999.988700000002</v>
      </c>
      <c r="I545" s="4"/>
      <c r="J545" s="4"/>
    </row>
    <row r="546" spans="1:10">
      <c r="A546" s="1">
        <v>546</v>
      </c>
      <c r="B546" s="1" t="s">
        <v>827</v>
      </c>
      <c r="C546" s="9">
        <v>45008</v>
      </c>
      <c r="D546" s="1" t="s">
        <v>39</v>
      </c>
      <c r="E546" s="1">
        <v>91268</v>
      </c>
      <c r="F546" s="4">
        <v>50420.167999999998</v>
      </c>
      <c r="G546" s="4">
        <f t="shared" si="7"/>
        <v>9579.8319200000005</v>
      </c>
      <c r="H546" s="4">
        <f t="shared" si="8"/>
        <v>59999.999920000002</v>
      </c>
      <c r="I546" s="4"/>
      <c r="J546" s="4"/>
    </row>
    <row r="547" spans="1:10">
      <c r="A547" s="1">
        <v>547</v>
      </c>
      <c r="B547" s="1" t="s">
        <v>828</v>
      </c>
      <c r="C547" s="9">
        <v>45010</v>
      </c>
      <c r="D547" s="1" t="s">
        <v>39</v>
      </c>
      <c r="E547" s="1">
        <v>91269</v>
      </c>
      <c r="F547" s="4">
        <v>36134.449999999997</v>
      </c>
      <c r="G547" s="4">
        <f t="shared" si="7"/>
        <v>6865.5454999999993</v>
      </c>
      <c r="H547" s="4">
        <f t="shared" si="8"/>
        <v>42999.995499999997</v>
      </c>
      <c r="I547" s="4"/>
      <c r="J547" s="4"/>
    </row>
    <row r="548" spans="1:10">
      <c r="A548" s="1">
        <v>548</v>
      </c>
      <c r="B548" s="1" t="s">
        <v>829</v>
      </c>
      <c r="C548" s="9">
        <v>45010</v>
      </c>
      <c r="D548" s="1" t="s">
        <v>39</v>
      </c>
      <c r="E548" s="1">
        <v>91270</v>
      </c>
      <c r="F548" s="4">
        <v>35294.120000000003</v>
      </c>
      <c r="G548" s="4">
        <f t="shared" si="7"/>
        <v>6705.8828000000003</v>
      </c>
      <c r="H548" s="4">
        <f t="shared" si="8"/>
        <v>42000.002800000002</v>
      </c>
      <c r="I548" s="4"/>
      <c r="J548" s="4"/>
    </row>
    <row r="549" spans="1:10">
      <c r="A549" s="1">
        <v>549</v>
      </c>
      <c r="B549" s="1" t="s">
        <v>830</v>
      </c>
      <c r="C549" s="9">
        <v>45010</v>
      </c>
      <c r="D549" s="1" t="s">
        <v>39</v>
      </c>
      <c r="E549" s="1">
        <v>91271</v>
      </c>
      <c r="F549" s="4">
        <v>42016.800999999999</v>
      </c>
      <c r="G549" s="4">
        <f t="shared" si="7"/>
        <v>7983.1921899999998</v>
      </c>
      <c r="H549" s="4">
        <f t="shared" si="8"/>
        <v>49999.993190000001</v>
      </c>
      <c r="I549" s="4"/>
      <c r="J549" s="4"/>
    </row>
    <row r="550" spans="1:10">
      <c r="A550" s="1">
        <v>550</v>
      </c>
      <c r="B550" s="1" t="s">
        <v>814</v>
      </c>
      <c r="C550" s="9">
        <v>45013</v>
      </c>
      <c r="D550" s="1" t="s">
        <v>39</v>
      </c>
      <c r="E550" s="1">
        <v>91272</v>
      </c>
      <c r="F550" s="4">
        <v>39495.800000000003</v>
      </c>
      <c r="G550" s="4">
        <f t="shared" si="7"/>
        <v>7504.2020000000002</v>
      </c>
      <c r="H550" s="4">
        <f t="shared" si="8"/>
        <v>47000.002</v>
      </c>
      <c r="I550" s="4"/>
      <c r="J550" s="4"/>
    </row>
    <row r="551" spans="1:10">
      <c r="A551" s="1">
        <v>551</v>
      </c>
      <c r="B551" s="1" t="s">
        <v>831</v>
      </c>
      <c r="C551" s="9">
        <v>45016</v>
      </c>
      <c r="D551" s="1" t="s">
        <v>39</v>
      </c>
      <c r="E551" s="1">
        <v>91273</v>
      </c>
      <c r="F551" s="4">
        <v>84033.600000000006</v>
      </c>
      <c r="G551" s="4">
        <f t="shared" si="7"/>
        <v>15966.384000000002</v>
      </c>
      <c r="H551" s="4">
        <f t="shared" si="8"/>
        <v>99999.984000000011</v>
      </c>
      <c r="I551" s="4"/>
      <c r="J551" s="4"/>
    </row>
    <row r="552" spans="1:10">
      <c r="A552" s="1">
        <v>552</v>
      </c>
      <c r="B552" s="1" t="s">
        <v>832</v>
      </c>
      <c r="C552" s="9">
        <v>45017</v>
      </c>
      <c r="D552" s="1" t="s">
        <v>39</v>
      </c>
      <c r="E552" s="1">
        <v>91274</v>
      </c>
      <c r="F552" s="4">
        <v>63025.21</v>
      </c>
      <c r="G552" s="4">
        <f t="shared" si="7"/>
        <v>11974.7899</v>
      </c>
      <c r="H552" s="4">
        <f t="shared" si="8"/>
        <v>74999.999899999995</v>
      </c>
      <c r="I552" s="4"/>
      <c r="J552" s="4"/>
    </row>
    <row r="553" spans="1:10">
      <c r="A553" s="1">
        <v>553</v>
      </c>
      <c r="B553" s="1" t="s">
        <v>833</v>
      </c>
      <c r="C553" s="9">
        <v>45017</v>
      </c>
      <c r="D553" s="1" t="s">
        <v>39</v>
      </c>
      <c r="F553" s="4">
        <v>29411.759999999998</v>
      </c>
      <c r="G553" s="4">
        <f t="shared" si="7"/>
        <v>5588.2343999999994</v>
      </c>
      <c r="H553" s="4">
        <f t="shared" si="8"/>
        <v>34999.994399999996</v>
      </c>
      <c r="I553" s="4"/>
      <c r="J553" s="4"/>
    </row>
    <row r="554" spans="1:10">
      <c r="A554" s="1">
        <v>554</v>
      </c>
      <c r="B554" s="1" t="s">
        <v>834</v>
      </c>
      <c r="C554" s="9">
        <v>45020</v>
      </c>
      <c r="D554" s="1" t="s">
        <v>39</v>
      </c>
      <c r="E554" s="1">
        <v>91275</v>
      </c>
      <c r="F554" s="4">
        <v>127731.09</v>
      </c>
      <c r="G554" s="4">
        <f t="shared" si="7"/>
        <v>24268.9071</v>
      </c>
      <c r="H554" s="4">
        <f t="shared" si="8"/>
        <v>151999.99710000001</v>
      </c>
      <c r="I554" s="4"/>
      <c r="J554" s="4"/>
    </row>
    <row r="555" spans="1:10">
      <c r="A555" s="1">
        <v>555</v>
      </c>
      <c r="B555" s="1" t="s">
        <v>835</v>
      </c>
      <c r="C555" s="9">
        <v>45020</v>
      </c>
      <c r="D555" s="1" t="s">
        <v>39</v>
      </c>
      <c r="E555" s="1">
        <v>91276</v>
      </c>
      <c r="F555" s="4">
        <v>16807</v>
      </c>
      <c r="G555" s="4">
        <f t="shared" si="7"/>
        <v>3193.33</v>
      </c>
      <c r="H555" s="4">
        <f t="shared" si="8"/>
        <v>20000.330000000002</v>
      </c>
      <c r="I555" s="4"/>
      <c r="J555" s="4"/>
    </row>
    <row r="556" spans="1:10">
      <c r="A556" s="1">
        <v>556</v>
      </c>
      <c r="B556" s="1" t="s">
        <v>222</v>
      </c>
      <c r="C556" s="9">
        <v>45020</v>
      </c>
      <c r="D556" s="1" t="s">
        <v>39</v>
      </c>
      <c r="E556" s="1">
        <v>91277</v>
      </c>
      <c r="F556" s="4">
        <v>16807</v>
      </c>
      <c r="G556" s="4">
        <f t="shared" si="7"/>
        <v>3193.33</v>
      </c>
      <c r="H556" s="4">
        <f t="shared" si="8"/>
        <v>20000.330000000002</v>
      </c>
      <c r="I556" s="4"/>
      <c r="J556" s="4"/>
    </row>
    <row r="557" spans="1:10">
      <c r="A557" s="1">
        <v>557</v>
      </c>
      <c r="B557" s="1" t="s">
        <v>836</v>
      </c>
      <c r="C557" s="9">
        <v>45021</v>
      </c>
      <c r="D557" s="1" t="s">
        <v>39</v>
      </c>
      <c r="E557" s="1">
        <v>91278</v>
      </c>
      <c r="F557" s="4">
        <v>8403.36</v>
      </c>
      <c r="G557" s="4">
        <f t="shared" si="7"/>
        <v>1596.6384</v>
      </c>
      <c r="H557" s="4">
        <f t="shared" si="8"/>
        <v>9999.9984000000004</v>
      </c>
      <c r="I557" s="4"/>
      <c r="J557" s="4"/>
    </row>
    <row r="558" spans="1:10">
      <c r="A558" s="1">
        <v>558</v>
      </c>
      <c r="B558" s="1" t="s">
        <v>837</v>
      </c>
      <c r="C558" s="9">
        <v>45022</v>
      </c>
      <c r="D558" s="1" t="s">
        <v>39</v>
      </c>
      <c r="E558" s="1">
        <v>91279</v>
      </c>
      <c r="F558" s="4">
        <v>50420.17</v>
      </c>
      <c r="G558" s="4">
        <f t="shared" si="7"/>
        <v>9579.8323</v>
      </c>
      <c r="H558" s="4">
        <f t="shared" si="8"/>
        <v>60000.0023</v>
      </c>
      <c r="I558" s="4"/>
      <c r="J558" s="4"/>
    </row>
    <row r="559" spans="1:10">
      <c r="A559" s="1">
        <v>559</v>
      </c>
      <c r="B559" s="1" t="s">
        <v>838</v>
      </c>
      <c r="C559" s="9">
        <v>45022</v>
      </c>
      <c r="D559" s="1" t="s">
        <v>39</v>
      </c>
      <c r="E559" s="1">
        <v>91280</v>
      </c>
      <c r="F559" s="4">
        <v>68907.56</v>
      </c>
      <c r="G559" s="4">
        <f t="shared" si="7"/>
        <v>13092.436400000001</v>
      </c>
      <c r="H559" s="4">
        <f t="shared" si="8"/>
        <v>81999.996400000004</v>
      </c>
      <c r="I559" s="4"/>
      <c r="J559" s="4"/>
    </row>
    <row r="560" spans="1:10">
      <c r="A560" s="1">
        <v>560</v>
      </c>
      <c r="B560" s="1" t="s">
        <v>839</v>
      </c>
      <c r="C560" s="9">
        <v>45022</v>
      </c>
      <c r="D560" s="1" t="s">
        <v>39</v>
      </c>
      <c r="E560" s="1">
        <v>91281</v>
      </c>
      <c r="F560" s="4">
        <v>26890.76</v>
      </c>
      <c r="G560" s="4">
        <f t="shared" si="7"/>
        <v>5109.2443999999996</v>
      </c>
      <c r="H560" s="4">
        <f t="shared" si="8"/>
        <v>32000.004399999998</v>
      </c>
      <c r="I560" s="4"/>
      <c r="J560" s="4"/>
    </row>
    <row r="561" spans="1:10">
      <c r="A561" s="1">
        <v>561</v>
      </c>
      <c r="B561" s="1" t="s">
        <v>772</v>
      </c>
      <c r="C561" s="9">
        <v>45022</v>
      </c>
      <c r="D561" s="1" t="s">
        <v>759</v>
      </c>
      <c r="E561" s="1">
        <v>9</v>
      </c>
      <c r="F561" s="4">
        <v>4201.68</v>
      </c>
      <c r="G561" s="4">
        <f t="shared" si="7"/>
        <v>798.31920000000002</v>
      </c>
      <c r="H561" s="4">
        <f t="shared" si="8"/>
        <v>4999.9992000000002</v>
      </c>
      <c r="I561" s="4"/>
      <c r="J561" s="4"/>
    </row>
    <row r="562" spans="1:10">
      <c r="A562" s="1">
        <v>562</v>
      </c>
      <c r="B562" s="1" t="s">
        <v>677</v>
      </c>
      <c r="C562" s="9">
        <v>45023</v>
      </c>
      <c r="D562" s="1" t="s">
        <v>39</v>
      </c>
      <c r="E562" s="1">
        <v>91282</v>
      </c>
      <c r="F562" s="4">
        <v>16807</v>
      </c>
      <c r="G562" s="4">
        <f t="shared" si="7"/>
        <v>3193.33</v>
      </c>
      <c r="H562" s="4">
        <f t="shared" si="8"/>
        <v>20000.330000000002</v>
      </c>
      <c r="I562" s="4"/>
      <c r="J562" s="4"/>
    </row>
    <row r="563" spans="1:10">
      <c r="A563" s="1">
        <v>563</v>
      </c>
      <c r="B563" s="1" t="s">
        <v>840</v>
      </c>
      <c r="C563" s="9">
        <v>45024</v>
      </c>
      <c r="D563" s="1" t="s">
        <v>39</v>
      </c>
      <c r="E563" s="1">
        <v>91283</v>
      </c>
      <c r="F563" s="4">
        <v>63025.21</v>
      </c>
      <c r="G563" s="4">
        <f t="shared" si="7"/>
        <v>11974.7899</v>
      </c>
      <c r="H563" s="4">
        <f t="shared" si="8"/>
        <v>74999.999899999995</v>
      </c>
      <c r="I563" s="4"/>
      <c r="J563" s="4"/>
    </row>
    <row r="564" spans="1:10">
      <c r="A564" s="1">
        <v>564</v>
      </c>
      <c r="B564" s="1" t="s">
        <v>841</v>
      </c>
      <c r="C564" s="9">
        <v>45024</v>
      </c>
      <c r="D564" s="1" t="s">
        <v>39</v>
      </c>
      <c r="E564" s="1">
        <v>91284</v>
      </c>
      <c r="F564" s="4">
        <v>6890.76</v>
      </c>
      <c r="G564" s="4">
        <f t="shared" si="7"/>
        <v>1309.2444</v>
      </c>
      <c r="H564" s="4">
        <f t="shared" si="8"/>
        <v>8200.0043999999998</v>
      </c>
      <c r="I564" s="4"/>
      <c r="J564" s="4"/>
    </row>
    <row r="565" spans="1:10">
      <c r="A565" s="1">
        <v>565</v>
      </c>
      <c r="B565" s="1" t="s">
        <v>842</v>
      </c>
      <c r="C565" s="9">
        <v>45025</v>
      </c>
      <c r="D565" s="1" t="s">
        <v>39</v>
      </c>
      <c r="E565" s="1">
        <v>91285</v>
      </c>
      <c r="F565" s="4">
        <v>31092.44</v>
      </c>
      <c r="G565" s="4">
        <f t="shared" si="7"/>
        <v>5907.5635999999995</v>
      </c>
      <c r="H565" s="4">
        <f t="shared" si="8"/>
        <v>37000.003599999996</v>
      </c>
      <c r="I565" s="4"/>
      <c r="J565" s="4"/>
    </row>
    <row r="566" spans="1:10">
      <c r="A566" s="1">
        <v>566</v>
      </c>
      <c r="B566" s="1" t="s">
        <v>843</v>
      </c>
      <c r="C566" s="9">
        <v>45025</v>
      </c>
      <c r="D566" s="1" t="s">
        <v>39</v>
      </c>
      <c r="E566" s="1">
        <v>91286</v>
      </c>
      <c r="F566" s="4">
        <v>12605.04</v>
      </c>
      <c r="G566" s="4">
        <f t="shared" si="7"/>
        <v>2394.9576000000002</v>
      </c>
      <c r="H566" s="4">
        <f t="shared" si="8"/>
        <v>14999.997600000001</v>
      </c>
      <c r="I566" s="4"/>
      <c r="J566" s="4"/>
    </row>
    <row r="567" spans="1:10">
      <c r="A567" s="1">
        <v>567</v>
      </c>
      <c r="B567" s="1" t="s">
        <v>844</v>
      </c>
      <c r="C567" s="9">
        <v>45027</v>
      </c>
      <c r="D567" s="1" t="s">
        <v>39</v>
      </c>
      <c r="E567" s="1">
        <v>91287</v>
      </c>
      <c r="F567" s="4">
        <v>21008.400000000001</v>
      </c>
      <c r="G567" s="4">
        <f t="shared" si="7"/>
        <v>3991.5960000000005</v>
      </c>
      <c r="H567" s="4">
        <f t="shared" si="8"/>
        <v>24999.996000000003</v>
      </c>
      <c r="I567" s="4"/>
      <c r="J567" s="4"/>
    </row>
    <row r="568" spans="1:10">
      <c r="A568" s="1">
        <v>568</v>
      </c>
      <c r="B568" s="1" t="s">
        <v>845</v>
      </c>
      <c r="C568" s="9">
        <v>45027</v>
      </c>
      <c r="D568" s="1" t="s">
        <v>39</v>
      </c>
      <c r="E568" s="1">
        <v>91288</v>
      </c>
      <c r="F568" s="4">
        <v>33613.440000000002</v>
      </c>
      <c r="G568" s="4">
        <f t="shared" si="7"/>
        <v>6386.5536000000002</v>
      </c>
      <c r="H568" s="4">
        <f t="shared" si="8"/>
        <v>39999.993600000002</v>
      </c>
      <c r="I568" s="4"/>
      <c r="J568" s="4"/>
    </row>
    <row r="569" spans="1:10">
      <c r="A569" s="1">
        <v>569</v>
      </c>
      <c r="B569" s="1" t="s">
        <v>846</v>
      </c>
      <c r="C569" s="9">
        <v>45027</v>
      </c>
      <c r="D569" s="1" t="s">
        <v>39</v>
      </c>
      <c r="E569" s="1">
        <v>91289</v>
      </c>
      <c r="F569" s="4">
        <v>50420.17</v>
      </c>
      <c r="G569" s="4">
        <f t="shared" si="7"/>
        <v>9579.8323</v>
      </c>
      <c r="H569" s="4">
        <f t="shared" si="8"/>
        <v>60000.0023</v>
      </c>
      <c r="I569" s="4"/>
      <c r="J569" s="4"/>
    </row>
    <row r="570" spans="1:10">
      <c r="A570" s="1">
        <v>570</v>
      </c>
      <c r="B570" s="1" t="s">
        <v>847</v>
      </c>
      <c r="C570" s="9">
        <v>45030</v>
      </c>
      <c r="D570" s="1" t="s">
        <v>39</v>
      </c>
      <c r="E570" s="1">
        <v>91290</v>
      </c>
      <c r="F570" s="4">
        <v>31092.44</v>
      </c>
      <c r="G570" s="4">
        <f t="shared" si="7"/>
        <v>5907.5635999999995</v>
      </c>
      <c r="H570" s="4">
        <f t="shared" si="8"/>
        <v>37000.003599999996</v>
      </c>
      <c r="I570" s="4"/>
      <c r="J570" s="4"/>
    </row>
    <row r="571" spans="1:10">
      <c r="A571" s="1">
        <v>571</v>
      </c>
      <c r="B571" s="1" t="s">
        <v>848</v>
      </c>
      <c r="C571" s="9">
        <v>45030</v>
      </c>
      <c r="D571" s="1" t="s">
        <v>39</v>
      </c>
      <c r="E571" s="1">
        <v>91306</v>
      </c>
      <c r="F571" s="4">
        <v>18487.39</v>
      </c>
      <c r="G571" s="4">
        <f t="shared" si="7"/>
        <v>3512.6041</v>
      </c>
      <c r="H571" s="4">
        <f t="shared" si="8"/>
        <v>21999.9941</v>
      </c>
      <c r="I571" s="4"/>
      <c r="J571" s="4"/>
    </row>
    <row r="572" spans="1:10">
      <c r="A572" s="1">
        <v>572</v>
      </c>
      <c r="B572" s="1" t="s">
        <v>849</v>
      </c>
      <c r="C572" s="9">
        <v>45032</v>
      </c>
      <c r="D572" s="1" t="s">
        <v>39</v>
      </c>
      <c r="E572" s="1">
        <v>91291</v>
      </c>
      <c r="F572" s="4">
        <v>8403.36</v>
      </c>
      <c r="G572" s="4">
        <f t="shared" si="7"/>
        <v>1596.6384</v>
      </c>
      <c r="H572" s="4">
        <f t="shared" si="8"/>
        <v>9999.9984000000004</v>
      </c>
      <c r="I572" s="4"/>
      <c r="J572" s="4"/>
    </row>
    <row r="573" spans="1:10">
      <c r="A573" s="1">
        <v>573</v>
      </c>
      <c r="B573" s="1" t="s">
        <v>850</v>
      </c>
      <c r="C573" s="9">
        <v>45032</v>
      </c>
      <c r="D573" s="1" t="s">
        <v>39</v>
      </c>
      <c r="E573" s="1">
        <v>91292</v>
      </c>
      <c r="F573" s="4">
        <v>5042.01</v>
      </c>
      <c r="G573" s="4">
        <f t="shared" si="7"/>
        <v>957.9819</v>
      </c>
      <c r="H573" s="4">
        <f t="shared" si="8"/>
        <v>5999.9919</v>
      </c>
      <c r="I573" s="4"/>
      <c r="J573" s="4"/>
    </row>
    <row r="574" spans="1:10">
      <c r="A574" s="1">
        <v>574</v>
      </c>
      <c r="B574" s="1" t="s">
        <v>851</v>
      </c>
      <c r="C574" s="9">
        <v>45032</v>
      </c>
      <c r="D574" s="1" t="s">
        <v>39</v>
      </c>
      <c r="E574" s="1">
        <v>91293</v>
      </c>
      <c r="F574" s="4">
        <v>25210.080000000002</v>
      </c>
      <c r="G574" s="4">
        <f t="shared" si="7"/>
        <v>4789.9152000000004</v>
      </c>
      <c r="H574" s="4">
        <f t="shared" si="8"/>
        <v>29999.995200000001</v>
      </c>
      <c r="I574" s="4"/>
      <c r="J574" s="4"/>
    </row>
    <row r="575" spans="1:10">
      <c r="A575" s="1">
        <v>575</v>
      </c>
      <c r="B575" s="1" t="s">
        <v>735</v>
      </c>
      <c r="C575" s="9">
        <v>45033</v>
      </c>
      <c r="D575" s="1" t="s">
        <v>39</v>
      </c>
      <c r="E575" s="1">
        <v>91294</v>
      </c>
      <c r="F575" s="4">
        <v>142857.14000000001</v>
      </c>
      <c r="G575" s="4">
        <f t="shared" si="7"/>
        <v>27142.856600000003</v>
      </c>
      <c r="H575" s="4">
        <f t="shared" si="8"/>
        <v>169999.99660000001</v>
      </c>
      <c r="I575" s="4"/>
      <c r="J575" s="4"/>
    </row>
    <row r="576" spans="1:10">
      <c r="A576" s="1">
        <v>576</v>
      </c>
      <c r="B576" s="1" t="s">
        <v>830</v>
      </c>
      <c r="C576" s="9">
        <v>45035</v>
      </c>
      <c r="D576" s="1" t="s">
        <v>39</v>
      </c>
      <c r="E576" s="1">
        <v>91303</v>
      </c>
      <c r="F576" s="4">
        <v>84033.61</v>
      </c>
      <c r="G576" s="4">
        <f t="shared" si="7"/>
        <v>15966.385900000001</v>
      </c>
      <c r="H576" s="4">
        <f t="shared" si="8"/>
        <v>99999.995900000009</v>
      </c>
      <c r="I576" s="4"/>
      <c r="J576" s="4"/>
    </row>
    <row r="577" spans="1:10">
      <c r="A577" s="1">
        <v>577</v>
      </c>
      <c r="B577" s="1" t="s">
        <v>852</v>
      </c>
      <c r="C577" s="9">
        <v>45036</v>
      </c>
      <c r="D577" s="1" t="s">
        <v>39</v>
      </c>
      <c r="E577" s="1">
        <v>91295</v>
      </c>
      <c r="F577" s="4">
        <v>8403.36</v>
      </c>
      <c r="G577" s="4">
        <f t="shared" si="7"/>
        <v>1596.6384</v>
      </c>
      <c r="H577" s="4">
        <f t="shared" si="8"/>
        <v>9999.9984000000004</v>
      </c>
      <c r="I577" s="4"/>
      <c r="J577" s="4"/>
    </row>
    <row r="578" spans="1:10">
      <c r="A578" s="1">
        <v>578</v>
      </c>
      <c r="B578" s="1" t="s">
        <v>853</v>
      </c>
      <c r="C578" s="9">
        <v>45036</v>
      </c>
      <c r="D578" s="1" t="s">
        <v>39</v>
      </c>
      <c r="E578" s="1">
        <v>91296</v>
      </c>
      <c r="F578" s="4">
        <v>21008.400000000001</v>
      </c>
      <c r="G578" s="4">
        <f t="shared" si="7"/>
        <v>3991.5960000000005</v>
      </c>
      <c r="H578" s="4">
        <f t="shared" si="8"/>
        <v>24999.996000000003</v>
      </c>
      <c r="I578" s="4"/>
      <c r="J578" s="4"/>
    </row>
    <row r="579" spans="1:10">
      <c r="A579" s="1">
        <v>579</v>
      </c>
      <c r="B579" s="1" t="s">
        <v>854</v>
      </c>
      <c r="C579" s="9">
        <v>45036</v>
      </c>
      <c r="D579" s="1" t="s">
        <v>39</v>
      </c>
      <c r="E579" s="1">
        <v>91297</v>
      </c>
      <c r="F579" s="4">
        <v>5462.18</v>
      </c>
      <c r="G579" s="4">
        <f t="shared" si="7"/>
        <v>1037.8142</v>
      </c>
      <c r="H579" s="4">
        <f t="shared" si="8"/>
        <v>6499.9942000000001</v>
      </c>
      <c r="I579" s="4"/>
      <c r="J579" s="4"/>
    </row>
    <row r="580" spans="1:10">
      <c r="A580" s="1">
        <v>580</v>
      </c>
      <c r="B580" s="1" t="s">
        <v>855</v>
      </c>
      <c r="C580" s="9">
        <v>45036</v>
      </c>
      <c r="D580" s="1" t="s">
        <v>39</v>
      </c>
      <c r="E580" s="1">
        <v>91298</v>
      </c>
      <c r="F580" s="4">
        <v>39495.79</v>
      </c>
      <c r="G580" s="4">
        <f t="shared" si="7"/>
        <v>7504.2001</v>
      </c>
      <c r="H580" s="4">
        <f t="shared" si="8"/>
        <v>46999.990100000003</v>
      </c>
      <c r="I580" s="4"/>
      <c r="J580" s="4"/>
    </row>
    <row r="581" spans="1:10">
      <c r="A581" s="1">
        <v>581</v>
      </c>
      <c r="B581" s="1" t="s">
        <v>856</v>
      </c>
      <c r="C581" s="9">
        <v>45038</v>
      </c>
      <c r="D581" s="1" t="s">
        <v>39</v>
      </c>
      <c r="E581" s="1">
        <v>91300</v>
      </c>
      <c r="F581" s="4">
        <v>8403</v>
      </c>
      <c r="G581" s="4">
        <f t="shared" si="7"/>
        <v>1596.57</v>
      </c>
      <c r="H581" s="4">
        <f t="shared" si="8"/>
        <v>9999.57</v>
      </c>
      <c r="I581" s="4"/>
      <c r="J581" s="4"/>
    </row>
    <row r="582" spans="1:10">
      <c r="A582" s="1">
        <v>582</v>
      </c>
      <c r="B582" s="1" t="s">
        <v>857</v>
      </c>
      <c r="C582" s="9">
        <v>45038</v>
      </c>
      <c r="D582" s="1" t="s">
        <v>39</v>
      </c>
      <c r="E582" s="1">
        <v>91299</v>
      </c>
      <c r="F582" s="4">
        <v>5882.35</v>
      </c>
      <c r="G582" s="4">
        <f t="shared" si="7"/>
        <v>1117.6465000000001</v>
      </c>
      <c r="H582" s="4">
        <f t="shared" si="8"/>
        <v>6999.9965000000002</v>
      </c>
      <c r="I582" s="4"/>
      <c r="J582" s="4"/>
    </row>
    <row r="583" spans="1:10">
      <c r="A583" s="1">
        <v>583</v>
      </c>
      <c r="B583" s="1" t="s">
        <v>858</v>
      </c>
      <c r="C583" s="9">
        <v>45038</v>
      </c>
      <c r="D583" s="1" t="s">
        <v>39</v>
      </c>
      <c r="E583" s="1">
        <v>91301</v>
      </c>
      <c r="F583" s="4">
        <v>21008.400000000001</v>
      </c>
      <c r="G583" s="4">
        <f t="shared" si="7"/>
        <v>3991.5960000000005</v>
      </c>
      <c r="H583" s="4">
        <f t="shared" si="8"/>
        <v>24999.996000000003</v>
      </c>
      <c r="I583" s="4"/>
      <c r="J583" s="4"/>
    </row>
    <row r="584" spans="1:10">
      <c r="A584" s="1">
        <v>584</v>
      </c>
      <c r="B584" s="1" t="s">
        <v>859</v>
      </c>
      <c r="C584" s="9">
        <v>45038</v>
      </c>
      <c r="D584" s="1" t="s">
        <v>39</v>
      </c>
      <c r="E584" s="1">
        <v>91307</v>
      </c>
      <c r="F584" s="4">
        <v>22689.07</v>
      </c>
      <c r="G584" s="4">
        <f t="shared" si="7"/>
        <v>4310.9233000000004</v>
      </c>
      <c r="H584" s="4">
        <f t="shared" si="8"/>
        <v>26999.993300000002</v>
      </c>
      <c r="I584" s="4"/>
      <c r="J584" s="4"/>
    </row>
    <row r="585" spans="1:10">
      <c r="A585" s="1">
        <v>585</v>
      </c>
      <c r="B585" s="1" t="s">
        <v>255</v>
      </c>
      <c r="C585" s="9">
        <v>45040</v>
      </c>
      <c r="D585" s="1" t="s">
        <v>39</v>
      </c>
      <c r="E585" s="1">
        <v>91302</v>
      </c>
      <c r="F585" s="4">
        <v>141008.4</v>
      </c>
      <c r="G585" s="4">
        <f t="shared" si="7"/>
        <v>26791.595999999998</v>
      </c>
      <c r="H585" s="4">
        <f t="shared" si="8"/>
        <v>167799.99599999998</v>
      </c>
      <c r="I585" s="4"/>
      <c r="J585" s="4"/>
    </row>
    <row r="586" spans="1:10">
      <c r="A586" s="1">
        <v>586</v>
      </c>
      <c r="B586" s="1" t="s">
        <v>860</v>
      </c>
      <c r="C586" s="9">
        <v>45041</v>
      </c>
      <c r="D586" s="1" t="s">
        <v>39</v>
      </c>
      <c r="E586" s="1">
        <v>91304</v>
      </c>
      <c r="F586" s="4">
        <v>47899.16</v>
      </c>
      <c r="G586" s="4">
        <f t="shared" si="7"/>
        <v>9100.840400000001</v>
      </c>
      <c r="H586" s="4">
        <f t="shared" si="8"/>
        <v>57000.000400000004</v>
      </c>
      <c r="I586" s="4"/>
      <c r="J586" s="4"/>
    </row>
    <row r="587" spans="1:10">
      <c r="A587" s="1">
        <v>587</v>
      </c>
      <c r="B587" s="1" t="s">
        <v>743</v>
      </c>
      <c r="C587" s="9">
        <v>45041</v>
      </c>
      <c r="D587" s="1" t="s">
        <v>39</v>
      </c>
      <c r="E587" s="1">
        <v>91305</v>
      </c>
      <c r="F587" s="4">
        <v>26890.75</v>
      </c>
      <c r="G587" s="4">
        <f t="shared" si="7"/>
        <v>5109.2425000000003</v>
      </c>
      <c r="H587" s="4">
        <f t="shared" si="8"/>
        <v>31999.9925</v>
      </c>
      <c r="I587" s="4"/>
      <c r="J587" s="4"/>
    </row>
    <row r="588" spans="1:10">
      <c r="A588" s="1">
        <v>588</v>
      </c>
      <c r="B588" s="1" t="s">
        <v>861</v>
      </c>
      <c r="C588" s="9">
        <v>45041</v>
      </c>
      <c r="D588" s="1" t="s">
        <v>759</v>
      </c>
      <c r="E588" s="1">
        <v>10</v>
      </c>
      <c r="F588" s="4">
        <v>4201.68</v>
      </c>
      <c r="G588" s="4">
        <f t="shared" si="7"/>
        <v>798.31920000000002</v>
      </c>
      <c r="H588" s="4">
        <f t="shared" si="8"/>
        <v>4999.9992000000002</v>
      </c>
      <c r="I588" s="4"/>
      <c r="J588" s="4"/>
    </row>
    <row r="589" spans="1:10">
      <c r="A589" s="1">
        <v>589</v>
      </c>
      <c r="B589" s="1" t="s">
        <v>862</v>
      </c>
      <c r="C589" s="9">
        <v>45043</v>
      </c>
      <c r="D589" s="1" t="s">
        <v>39</v>
      </c>
      <c r="E589" s="1">
        <v>91308</v>
      </c>
      <c r="F589" s="4">
        <v>35294.116999999998</v>
      </c>
      <c r="G589" s="4">
        <f t="shared" si="7"/>
        <v>6705.8822300000002</v>
      </c>
      <c r="H589" s="4">
        <f t="shared" si="8"/>
        <v>41999.999230000001</v>
      </c>
      <c r="I589" s="4"/>
      <c r="J589" s="4"/>
    </row>
    <row r="590" spans="1:10">
      <c r="A590" s="1">
        <v>590</v>
      </c>
      <c r="B590" s="1" t="s">
        <v>834</v>
      </c>
      <c r="C590" s="9">
        <v>45043</v>
      </c>
      <c r="D590" s="1" t="s">
        <v>39</v>
      </c>
      <c r="F590" s="4">
        <v>260504.2</v>
      </c>
      <c r="G590" s="4">
        <f t="shared" si="7"/>
        <v>49495.798000000003</v>
      </c>
      <c r="H590" s="4">
        <f t="shared" si="8"/>
        <v>309999.99800000002</v>
      </c>
      <c r="I590" s="4"/>
      <c r="J590" s="4"/>
    </row>
    <row r="591" spans="1:10">
      <c r="A591" s="1">
        <v>591</v>
      </c>
      <c r="B591" s="1" t="s">
        <v>863</v>
      </c>
      <c r="C591" s="9">
        <v>45045</v>
      </c>
      <c r="D591" s="1" t="s">
        <v>39</v>
      </c>
      <c r="E591" s="1">
        <v>91309</v>
      </c>
      <c r="F591" s="4">
        <v>52605.04</v>
      </c>
      <c r="G591" s="4">
        <f t="shared" si="7"/>
        <v>9994.9575999999997</v>
      </c>
      <c r="H591" s="4">
        <f t="shared" si="8"/>
        <v>62599.997600000002</v>
      </c>
      <c r="I591" s="4"/>
      <c r="J591" s="4"/>
    </row>
    <row r="592" spans="1:10">
      <c r="A592" s="1">
        <v>592</v>
      </c>
      <c r="B592" s="1" t="s">
        <v>505</v>
      </c>
      <c r="C592" s="9">
        <v>45047</v>
      </c>
      <c r="D592" s="1"/>
      <c r="F592" s="4">
        <v>8403.36</v>
      </c>
      <c r="G592" s="4">
        <f t="shared" si="7"/>
        <v>1596.6384</v>
      </c>
      <c r="H592" s="4">
        <f t="shared" si="8"/>
        <v>9999.9984000000004</v>
      </c>
      <c r="I592" s="4"/>
      <c r="J592" s="4"/>
    </row>
    <row r="593" spans="1:10">
      <c r="A593" s="1">
        <v>593</v>
      </c>
      <c r="B593" s="1" t="s">
        <v>864</v>
      </c>
      <c r="C593" s="9">
        <v>45048</v>
      </c>
      <c r="D593" s="1" t="s">
        <v>39</v>
      </c>
      <c r="E593" s="1">
        <v>91310</v>
      </c>
      <c r="F593" s="4">
        <v>8403.36</v>
      </c>
      <c r="G593" s="4">
        <f t="shared" si="7"/>
        <v>1596.6384</v>
      </c>
      <c r="H593" s="4">
        <f t="shared" si="8"/>
        <v>9999.9984000000004</v>
      </c>
      <c r="I593" s="4"/>
      <c r="J593" s="4"/>
    </row>
    <row r="594" spans="1:10">
      <c r="A594" s="1">
        <v>594</v>
      </c>
      <c r="B594" s="1" t="s">
        <v>865</v>
      </c>
      <c r="C594" s="9">
        <v>45048</v>
      </c>
      <c r="D594" s="1" t="s">
        <v>39</v>
      </c>
      <c r="E594" s="1">
        <v>91311</v>
      </c>
      <c r="F594" s="4">
        <v>8403.36</v>
      </c>
      <c r="G594" s="4">
        <f t="shared" si="7"/>
        <v>1596.6384</v>
      </c>
      <c r="H594" s="4">
        <f t="shared" si="8"/>
        <v>9999.9984000000004</v>
      </c>
      <c r="I594" s="4"/>
      <c r="J594" s="4"/>
    </row>
    <row r="595" spans="1:10">
      <c r="A595" s="1">
        <v>595</v>
      </c>
      <c r="B595" s="1" t="s">
        <v>866</v>
      </c>
      <c r="C595" s="9">
        <v>45048</v>
      </c>
      <c r="D595" s="1" t="s">
        <v>39</v>
      </c>
      <c r="E595" s="1">
        <v>91312</v>
      </c>
      <c r="F595" s="4">
        <v>8151.26</v>
      </c>
      <c r="G595" s="4">
        <f t="shared" si="7"/>
        <v>1548.7394000000002</v>
      </c>
      <c r="H595" s="4">
        <f t="shared" si="8"/>
        <v>9699.9994000000006</v>
      </c>
      <c r="I595" s="4"/>
      <c r="J595" s="4"/>
    </row>
    <row r="596" spans="1:10">
      <c r="A596" s="1">
        <v>596</v>
      </c>
      <c r="B596" s="1" t="s">
        <v>867</v>
      </c>
      <c r="C596" s="9">
        <v>45049</v>
      </c>
      <c r="D596" s="1" t="s">
        <v>12</v>
      </c>
      <c r="E596" s="1">
        <v>13</v>
      </c>
      <c r="F596" s="4">
        <v>294033.61339999997</v>
      </c>
      <c r="G596" s="4">
        <f t="shared" si="7"/>
        <v>55866.386545999994</v>
      </c>
      <c r="H596" s="4">
        <f t="shared" si="8"/>
        <v>349899.99994599994</v>
      </c>
      <c r="I596" s="4"/>
      <c r="J596" s="4"/>
    </row>
    <row r="597" spans="1:10">
      <c r="A597" s="1">
        <v>597</v>
      </c>
      <c r="B597" s="1" t="s">
        <v>868</v>
      </c>
      <c r="C597" s="9">
        <v>45050</v>
      </c>
      <c r="D597" s="1" t="s">
        <v>39</v>
      </c>
      <c r="E597" s="1">
        <v>91313</v>
      </c>
      <c r="F597" s="4">
        <v>3361.34</v>
      </c>
      <c r="G597" s="4">
        <f t="shared" si="7"/>
        <v>638.65460000000007</v>
      </c>
      <c r="H597" s="4">
        <f t="shared" si="8"/>
        <v>3999.9946</v>
      </c>
      <c r="I597" s="4"/>
      <c r="J597" s="4"/>
    </row>
    <row r="598" spans="1:10">
      <c r="A598" s="1">
        <v>598</v>
      </c>
      <c r="B598" s="1" t="s">
        <v>768</v>
      </c>
      <c r="C598" s="9">
        <v>45052</v>
      </c>
      <c r="D598" s="1" t="s">
        <v>39</v>
      </c>
      <c r="E598" s="1">
        <v>91314</v>
      </c>
      <c r="F598" s="4">
        <v>16806.72</v>
      </c>
      <c r="G598" s="4">
        <f t="shared" si="7"/>
        <v>3193.2768000000001</v>
      </c>
      <c r="H598" s="4">
        <f t="shared" si="8"/>
        <v>19999.996800000001</v>
      </c>
      <c r="I598" s="4"/>
      <c r="J598" s="4"/>
    </row>
    <row r="599" spans="1:10">
      <c r="A599" s="1">
        <v>599</v>
      </c>
      <c r="B599" s="1" t="s">
        <v>768</v>
      </c>
      <c r="C599" s="9">
        <v>45067</v>
      </c>
      <c r="D599" s="1"/>
      <c r="E599" s="1"/>
      <c r="F599" s="4">
        <v>16807</v>
      </c>
      <c r="G599" s="4">
        <v>3193</v>
      </c>
      <c r="H599" s="4">
        <v>20000</v>
      </c>
      <c r="I599" s="4"/>
      <c r="J599" s="4"/>
    </row>
    <row r="600" spans="1:10">
      <c r="A600" s="1">
        <v>600</v>
      </c>
      <c r="B600" s="1" t="s">
        <v>869</v>
      </c>
      <c r="C600" s="9">
        <v>45052</v>
      </c>
      <c r="D600" s="1" t="s">
        <v>759</v>
      </c>
      <c r="E600" s="1">
        <v>11</v>
      </c>
      <c r="F600" s="4">
        <v>4201.68</v>
      </c>
      <c r="G600" s="4">
        <f t="shared" si="7"/>
        <v>798.31920000000002</v>
      </c>
      <c r="H600" s="4">
        <f t="shared" si="8"/>
        <v>4999.9992000000002</v>
      </c>
      <c r="I600" s="4"/>
      <c r="J600" s="4"/>
    </row>
    <row r="601" spans="1:10">
      <c r="A601" s="1">
        <v>601</v>
      </c>
      <c r="B601" s="1" t="s">
        <v>870</v>
      </c>
      <c r="C601" s="9">
        <v>45053</v>
      </c>
      <c r="D601" s="1" t="s">
        <v>39</v>
      </c>
      <c r="E601" s="1">
        <v>91315</v>
      </c>
      <c r="F601" s="4">
        <v>7983.19</v>
      </c>
      <c r="G601" s="4">
        <f t="shared" si="7"/>
        <v>1516.8061</v>
      </c>
      <c r="H601" s="4">
        <f t="shared" si="8"/>
        <v>9499.9961000000003</v>
      </c>
      <c r="I601" s="4"/>
      <c r="J601" s="4"/>
    </row>
    <row r="602" spans="1:10">
      <c r="A602" s="1">
        <v>602</v>
      </c>
      <c r="B602" s="1" t="s">
        <v>871</v>
      </c>
      <c r="C602" s="9">
        <v>45054</v>
      </c>
      <c r="D602" s="1" t="s">
        <v>39</v>
      </c>
      <c r="E602" s="1">
        <v>91316</v>
      </c>
      <c r="F602" s="4">
        <v>2521</v>
      </c>
      <c r="G602" s="4">
        <f t="shared" si="7"/>
        <v>478.99</v>
      </c>
      <c r="H602" s="4">
        <f t="shared" si="8"/>
        <v>2999.99</v>
      </c>
      <c r="I602" s="4"/>
      <c r="J602" s="4"/>
    </row>
    <row r="603" spans="1:10">
      <c r="A603" s="1">
        <v>603</v>
      </c>
      <c r="B603" s="1" t="s">
        <v>872</v>
      </c>
      <c r="C603" s="9">
        <v>45054</v>
      </c>
      <c r="D603" s="1" t="s">
        <v>39</v>
      </c>
      <c r="E603" s="1" t="s">
        <v>873</v>
      </c>
      <c r="F603" s="4">
        <v>17394.96</v>
      </c>
      <c r="G603" s="4">
        <f t="shared" si="7"/>
        <v>3305.0423999999998</v>
      </c>
      <c r="H603" s="4">
        <f t="shared" si="8"/>
        <v>20700.002399999998</v>
      </c>
      <c r="I603" s="4"/>
      <c r="J603" s="4"/>
    </row>
    <row r="604" spans="1:10">
      <c r="A604" s="1">
        <v>604</v>
      </c>
      <c r="B604" s="1" t="s">
        <v>304</v>
      </c>
      <c r="C604" s="9">
        <v>45054</v>
      </c>
      <c r="D604" s="1" t="s">
        <v>39</v>
      </c>
      <c r="E604" s="1">
        <v>91317</v>
      </c>
      <c r="F604" s="4">
        <v>35294.120000000003</v>
      </c>
      <c r="G604" s="4">
        <f t="shared" si="7"/>
        <v>6705.8828000000003</v>
      </c>
      <c r="H604" s="4">
        <f t="shared" si="8"/>
        <v>42000.002800000002</v>
      </c>
      <c r="I604" s="4"/>
      <c r="J604" s="4"/>
    </row>
    <row r="605" spans="1:10">
      <c r="A605" s="1">
        <v>605</v>
      </c>
      <c r="B605" s="1" t="s">
        <v>874</v>
      </c>
      <c r="C605" s="9">
        <v>45056</v>
      </c>
      <c r="D605" s="1" t="s">
        <v>39</v>
      </c>
      <c r="E605" s="1">
        <v>91318</v>
      </c>
      <c r="F605" s="4">
        <v>74789.919999999998</v>
      </c>
      <c r="G605" s="4">
        <f t="shared" si="7"/>
        <v>14210.084800000001</v>
      </c>
      <c r="H605" s="4">
        <f t="shared" si="8"/>
        <v>89000.004799999995</v>
      </c>
      <c r="I605" s="4"/>
      <c r="J605" s="4"/>
    </row>
    <row r="606" spans="1:10">
      <c r="A606" s="1">
        <v>606</v>
      </c>
      <c r="B606" s="1" t="s">
        <v>875</v>
      </c>
      <c r="C606" s="9">
        <v>45057</v>
      </c>
      <c r="D606" s="1"/>
      <c r="F606" s="4">
        <v>33613.449999999997</v>
      </c>
      <c r="G606" s="4">
        <f t="shared" si="7"/>
        <v>6386.5554999999995</v>
      </c>
      <c r="H606" s="4">
        <f t="shared" si="8"/>
        <v>40000.005499999999</v>
      </c>
      <c r="I606" s="4"/>
      <c r="J606" s="4"/>
    </row>
    <row r="607" spans="1:10">
      <c r="A607" s="1">
        <v>607</v>
      </c>
      <c r="B607" s="1" t="s">
        <v>876</v>
      </c>
      <c r="C607" s="9">
        <v>45057</v>
      </c>
      <c r="D607" s="1" t="s">
        <v>39</v>
      </c>
      <c r="E607" s="1">
        <v>91319</v>
      </c>
      <c r="F607" s="4">
        <v>25210.080000000002</v>
      </c>
      <c r="G607" s="4">
        <f t="shared" si="7"/>
        <v>4789.9152000000004</v>
      </c>
      <c r="H607" s="4">
        <f t="shared" si="8"/>
        <v>29999.995200000001</v>
      </c>
      <c r="I607" s="4"/>
      <c r="J607" s="4"/>
    </row>
    <row r="608" spans="1:10">
      <c r="A608" s="1">
        <v>608</v>
      </c>
      <c r="B608" s="1" t="s">
        <v>677</v>
      </c>
      <c r="C608" s="9">
        <v>45057</v>
      </c>
      <c r="D608" s="1" t="s">
        <v>39</v>
      </c>
      <c r="E608" s="1">
        <v>91321</v>
      </c>
      <c r="F608" s="4">
        <v>16807</v>
      </c>
      <c r="G608" s="4">
        <f t="shared" si="7"/>
        <v>3193.33</v>
      </c>
      <c r="H608" s="4">
        <f t="shared" si="8"/>
        <v>20000.330000000002</v>
      </c>
      <c r="I608" s="4"/>
      <c r="J608" s="4"/>
    </row>
    <row r="609" spans="1:10">
      <c r="A609" s="1">
        <v>609</v>
      </c>
      <c r="B609" s="1" t="s">
        <v>492</v>
      </c>
      <c r="C609" s="9">
        <v>45057</v>
      </c>
      <c r="D609" s="1" t="s">
        <v>39</v>
      </c>
      <c r="E609" s="1">
        <v>91320</v>
      </c>
      <c r="F609" s="4">
        <v>4201.68</v>
      </c>
      <c r="G609" s="4">
        <f t="shared" si="7"/>
        <v>798.31920000000002</v>
      </c>
      <c r="H609" s="4">
        <f t="shared" si="8"/>
        <v>4999.9992000000002</v>
      </c>
      <c r="I609" s="4"/>
      <c r="J609" s="4"/>
    </row>
    <row r="610" spans="1:10">
      <c r="A610" s="1">
        <v>610</v>
      </c>
      <c r="B610" s="1" t="s">
        <v>877</v>
      </c>
      <c r="C610" s="9">
        <v>45060</v>
      </c>
      <c r="D610" s="1" t="s">
        <v>39</v>
      </c>
      <c r="E610" s="1">
        <v>91322</v>
      </c>
      <c r="F610" s="4">
        <v>4202</v>
      </c>
      <c r="G610" s="4">
        <f t="shared" si="7"/>
        <v>798.38</v>
      </c>
      <c r="H610" s="4">
        <f t="shared" si="8"/>
        <v>5000.38</v>
      </c>
      <c r="I610" s="4"/>
      <c r="J610" s="4"/>
    </row>
    <row r="611" spans="1:10">
      <c r="A611" s="1">
        <v>611</v>
      </c>
      <c r="B611" s="1" t="s">
        <v>878</v>
      </c>
      <c r="C611" s="9">
        <v>45061</v>
      </c>
      <c r="D611" s="1" t="s">
        <v>39</v>
      </c>
      <c r="E611" s="1">
        <v>91323</v>
      </c>
      <c r="F611" s="4">
        <v>13781.51</v>
      </c>
      <c r="G611" s="4">
        <f t="shared" si="7"/>
        <v>2618.4868999999999</v>
      </c>
      <c r="H611" s="4">
        <f t="shared" si="8"/>
        <v>16399.996899999998</v>
      </c>
      <c r="I611" s="4"/>
      <c r="J611" s="4"/>
    </row>
    <row r="612" spans="1:10">
      <c r="A612" s="1">
        <v>612</v>
      </c>
      <c r="B612" s="1" t="s">
        <v>879</v>
      </c>
      <c r="C612" s="9">
        <v>45061</v>
      </c>
      <c r="D612" s="1" t="s">
        <v>39</v>
      </c>
      <c r="E612" s="1">
        <v>91324</v>
      </c>
      <c r="F612" s="4">
        <v>8403.36</v>
      </c>
      <c r="G612" s="4">
        <f t="shared" si="7"/>
        <v>1596.6384</v>
      </c>
      <c r="H612" s="4">
        <f t="shared" si="8"/>
        <v>9999.9984000000004</v>
      </c>
      <c r="I612" s="4"/>
      <c r="J612" s="4"/>
    </row>
    <row r="613" spans="1:10">
      <c r="A613" s="1">
        <v>613</v>
      </c>
      <c r="B613" s="1" t="s">
        <v>849</v>
      </c>
      <c r="C613" s="9">
        <v>45061</v>
      </c>
      <c r="D613" s="1" t="s">
        <v>39</v>
      </c>
      <c r="E613" s="1">
        <v>91325</v>
      </c>
      <c r="F613" s="4">
        <v>8403.36</v>
      </c>
      <c r="G613" s="4">
        <f t="shared" si="7"/>
        <v>1596.6384</v>
      </c>
      <c r="H613" s="4">
        <f t="shared" si="8"/>
        <v>9999.9984000000004</v>
      </c>
      <c r="I613" s="4"/>
      <c r="J613" s="4"/>
    </row>
    <row r="614" spans="1:10">
      <c r="A614" s="1">
        <v>614</v>
      </c>
      <c r="B614" s="1" t="s">
        <v>880</v>
      </c>
      <c r="C614" s="9">
        <v>45067</v>
      </c>
      <c r="D614" s="1" t="s">
        <v>39</v>
      </c>
      <c r="E614" s="1">
        <v>91326</v>
      </c>
      <c r="F614" s="4">
        <v>31932.77</v>
      </c>
      <c r="G614" s="4">
        <f t="shared" si="7"/>
        <v>6067.2263000000003</v>
      </c>
      <c r="H614" s="4">
        <f t="shared" si="8"/>
        <v>37999.996299999999</v>
      </c>
      <c r="I614" s="4"/>
      <c r="J614" s="4"/>
    </row>
    <row r="615" spans="1:10">
      <c r="A615" s="1">
        <v>615</v>
      </c>
      <c r="B615" s="1" t="s">
        <v>881</v>
      </c>
      <c r="C615" s="9">
        <v>45067</v>
      </c>
      <c r="D615" s="1" t="s">
        <v>39</v>
      </c>
      <c r="E615" s="1">
        <v>91327</v>
      </c>
      <c r="F615" s="4">
        <v>11596.63</v>
      </c>
      <c r="G615" s="4">
        <f t="shared" si="7"/>
        <v>2203.3597</v>
      </c>
      <c r="H615" s="4">
        <f t="shared" si="8"/>
        <v>13799.989699999998</v>
      </c>
      <c r="I615" s="4"/>
      <c r="J615" s="4"/>
    </row>
    <row r="616" spans="1:10">
      <c r="A616" s="1">
        <v>616</v>
      </c>
      <c r="B616" s="1" t="s">
        <v>882</v>
      </c>
      <c r="C616" s="9">
        <v>45067</v>
      </c>
      <c r="D616" s="1" t="s">
        <v>39</v>
      </c>
      <c r="E616" s="1">
        <v>91328</v>
      </c>
      <c r="F616" s="4">
        <v>18487.39</v>
      </c>
      <c r="G616" s="4">
        <f t="shared" si="7"/>
        <v>3512.6041</v>
      </c>
      <c r="H616" s="4">
        <f t="shared" si="8"/>
        <v>21999.9941</v>
      </c>
      <c r="I616" s="4"/>
      <c r="J616" s="4"/>
    </row>
    <row r="617" spans="1:10">
      <c r="A617" s="1">
        <v>617</v>
      </c>
      <c r="B617" s="1" t="s">
        <v>883</v>
      </c>
      <c r="C617" s="9">
        <v>45070</v>
      </c>
      <c r="D617" s="1" t="s">
        <v>39</v>
      </c>
      <c r="E617" s="1">
        <v>91329</v>
      </c>
      <c r="F617" s="4">
        <v>8403.36</v>
      </c>
      <c r="G617" s="4">
        <f t="shared" si="7"/>
        <v>1596.6384</v>
      </c>
      <c r="H617" s="4">
        <f t="shared" si="8"/>
        <v>9999.9984000000004</v>
      </c>
      <c r="I617" s="4"/>
      <c r="J617" s="4"/>
    </row>
    <row r="618" spans="1:10">
      <c r="A618" s="1">
        <v>618</v>
      </c>
      <c r="B618" s="1" t="s">
        <v>884</v>
      </c>
      <c r="C618" s="9">
        <v>45070</v>
      </c>
      <c r="D618" s="1" t="s">
        <v>39</v>
      </c>
      <c r="E618" s="1">
        <v>91330</v>
      </c>
      <c r="F618" s="4">
        <v>8403.36</v>
      </c>
      <c r="G618" s="4">
        <f t="shared" si="7"/>
        <v>1596.6384</v>
      </c>
      <c r="H618" s="4">
        <f t="shared" si="8"/>
        <v>9999.9984000000004</v>
      </c>
      <c r="I618" s="4"/>
      <c r="J618" s="4"/>
    </row>
    <row r="619" spans="1:10">
      <c r="A619" s="1">
        <v>619</v>
      </c>
      <c r="B619" s="1" t="s">
        <v>885</v>
      </c>
      <c r="C619" s="9">
        <v>45073</v>
      </c>
      <c r="D619" s="1" t="s">
        <v>39</v>
      </c>
      <c r="E619" s="1">
        <v>91331</v>
      </c>
      <c r="F619" s="4">
        <v>39495.79</v>
      </c>
      <c r="G619" s="4">
        <f t="shared" si="7"/>
        <v>7504.2001</v>
      </c>
      <c r="H619" s="4">
        <f t="shared" si="8"/>
        <v>46999.990100000003</v>
      </c>
      <c r="I619" s="4"/>
      <c r="J619" s="4"/>
    </row>
    <row r="620" spans="1:10">
      <c r="A620" s="1">
        <v>620</v>
      </c>
      <c r="B620" s="1" t="s">
        <v>886</v>
      </c>
      <c r="C620" s="9">
        <v>45077</v>
      </c>
      <c r="D620" s="1" t="s">
        <v>39</v>
      </c>
      <c r="E620" s="1">
        <v>91333</v>
      </c>
      <c r="F620" s="4">
        <v>115126</v>
      </c>
      <c r="G620" s="4">
        <f t="shared" si="7"/>
        <v>21873.94</v>
      </c>
      <c r="H620" s="4">
        <f t="shared" si="8"/>
        <v>136999.94</v>
      </c>
      <c r="I620" s="4"/>
      <c r="J620" s="4"/>
    </row>
    <row r="621" spans="1:10">
      <c r="A621" s="1">
        <v>621</v>
      </c>
      <c r="B621" s="1" t="s">
        <v>290</v>
      </c>
      <c r="C621" s="9">
        <v>45079</v>
      </c>
      <c r="D621" s="1" t="s">
        <v>39</v>
      </c>
      <c r="E621" s="1">
        <v>91334</v>
      </c>
      <c r="F621" s="4">
        <v>21008.400000000001</v>
      </c>
      <c r="G621" s="4">
        <f t="shared" si="7"/>
        <v>3991.5960000000005</v>
      </c>
      <c r="H621" s="4">
        <f t="shared" si="8"/>
        <v>24999.996000000003</v>
      </c>
      <c r="I621" s="4"/>
      <c r="J621" s="4"/>
    </row>
    <row r="622" spans="1:10">
      <c r="A622" s="1">
        <v>622</v>
      </c>
      <c r="B622" s="1" t="s">
        <v>743</v>
      </c>
      <c r="C622" s="9">
        <v>45080</v>
      </c>
      <c r="D622" s="1" t="s">
        <v>39</v>
      </c>
      <c r="E622" s="1">
        <v>91335</v>
      </c>
      <c r="F622" s="4">
        <v>26890.76</v>
      </c>
      <c r="G622" s="4">
        <f t="shared" si="7"/>
        <v>5109.2443999999996</v>
      </c>
      <c r="H622" s="4">
        <f t="shared" si="8"/>
        <v>32000.004399999998</v>
      </c>
      <c r="I622" s="4"/>
      <c r="J622" s="4"/>
    </row>
    <row r="623" spans="1:10">
      <c r="A623" s="1">
        <v>623</v>
      </c>
      <c r="B623" s="1" t="s">
        <v>887</v>
      </c>
      <c r="C623" s="9">
        <v>45081</v>
      </c>
      <c r="D623" s="1" t="s">
        <v>39</v>
      </c>
      <c r="E623" s="1">
        <v>91336</v>
      </c>
      <c r="F623" s="4">
        <v>37983.19</v>
      </c>
      <c r="G623" s="4">
        <f t="shared" si="7"/>
        <v>7216.8061000000007</v>
      </c>
      <c r="H623" s="4">
        <f t="shared" si="8"/>
        <v>45199.996100000004</v>
      </c>
      <c r="I623" s="4"/>
      <c r="J623" s="4"/>
    </row>
    <row r="624" spans="1:10">
      <c r="A624" s="1">
        <v>624</v>
      </c>
      <c r="B624" s="1" t="s">
        <v>888</v>
      </c>
      <c r="C624" s="9">
        <v>45081</v>
      </c>
      <c r="D624" s="1" t="s">
        <v>39</v>
      </c>
      <c r="E624" s="1">
        <v>91337</v>
      </c>
      <c r="F624" s="4">
        <v>190588.23</v>
      </c>
      <c r="G624" s="4">
        <f t="shared" si="7"/>
        <v>36211.763700000003</v>
      </c>
      <c r="H624" s="4">
        <f t="shared" si="8"/>
        <v>226799.99370000002</v>
      </c>
      <c r="I624" s="4"/>
      <c r="J624" s="4"/>
    </row>
    <row r="625" spans="1:10">
      <c r="A625" s="1">
        <v>625</v>
      </c>
      <c r="B625" s="1" t="s">
        <v>889</v>
      </c>
      <c r="C625" s="9">
        <v>45083</v>
      </c>
      <c r="D625" s="1" t="s">
        <v>39</v>
      </c>
      <c r="E625" s="1">
        <v>91338</v>
      </c>
      <c r="F625" s="4">
        <v>21008.400000000001</v>
      </c>
      <c r="G625" s="4">
        <f t="shared" si="7"/>
        <v>3991.5960000000005</v>
      </c>
      <c r="H625" s="4">
        <f t="shared" si="8"/>
        <v>24999.996000000003</v>
      </c>
      <c r="I625" s="4"/>
      <c r="J625" s="4"/>
    </row>
    <row r="626" spans="1:10">
      <c r="A626" s="1">
        <v>626</v>
      </c>
      <c r="B626" s="1" t="s">
        <v>890</v>
      </c>
      <c r="C626" s="9">
        <v>45083</v>
      </c>
      <c r="D626" s="1" t="s">
        <v>39</v>
      </c>
      <c r="E626" s="1">
        <v>91339</v>
      </c>
      <c r="F626" s="4">
        <v>21008.400000000001</v>
      </c>
      <c r="G626" s="4">
        <f t="shared" si="7"/>
        <v>3991.5960000000005</v>
      </c>
      <c r="H626" s="4">
        <f t="shared" si="8"/>
        <v>24999.996000000003</v>
      </c>
      <c r="I626" s="4"/>
      <c r="J626" s="4"/>
    </row>
    <row r="627" spans="1:10">
      <c r="A627" s="1">
        <v>627</v>
      </c>
      <c r="B627" s="1" t="s">
        <v>890</v>
      </c>
      <c r="C627" s="9">
        <v>45083</v>
      </c>
      <c r="D627" s="1" t="s">
        <v>39</v>
      </c>
      <c r="E627" s="1">
        <v>91340</v>
      </c>
      <c r="F627" s="4">
        <v>21008.400000000001</v>
      </c>
      <c r="G627" s="4">
        <f t="shared" si="7"/>
        <v>3991.5960000000005</v>
      </c>
      <c r="H627" s="4">
        <f t="shared" si="8"/>
        <v>24999.996000000003</v>
      </c>
      <c r="I627" s="4"/>
      <c r="J627" s="4"/>
    </row>
    <row r="628" spans="1:10">
      <c r="A628" s="1">
        <v>628</v>
      </c>
      <c r="B628" s="1" t="s">
        <v>891</v>
      </c>
      <c r="C628" s="9">
        <v>45085</v>
      </c>
      <c r="D628" s="1" t="s">
        <v>39</v>
      </c>
      <c r="E628" s="1">
        <v>91344</v>
      </c>
      <c r="F628" s="1">
        <v>55042</v>
      </c>
      <c r="G628" s="4">
        <f t="shared" si="7"/>
        <v>10457.98</v>
      </c>
      <c r="H628" s="4">
        <f t="shared" si="8"/>
        <v>65499.979999999996</v>
      </c>
      <c r="I628" s="4"/>
      <c r="J628" s="4"/>
    </row>
    <row r="629" spans="1:10">
      <c r="A629" s="1">
        <v>629</v>
      </c>
      <c r="B629" s="1" t="s">
        <v>892</v>
      </c>
      <c r="C629" s="9">
        <v>45086</v>
      </c>
      <c r="D629" s="1" t="s">
        <v>39</v>
      </c>
      <c r="F629" s="4">
        <v>16807</v>
      </c>
      <c r="G629" s="4">
        <f t="shared" si="7"/>
        <v>3193.33</v>
      </c>
      <c r="H629" s="4">
        <f t="shared" si="8"/>
        <v>20000.330000000002</v>
      </c>
      <c r="I629" s="4"/>
      <c r="J629" s="4"/>
    </row>
    <row r="630" spans="1:10">
      <c r="A630" s="1">
        <v>630</v>
      </c>
      <c r="B630" s="1" t="s">
        <v>893</v>
      </c>
      <c r="C630" s="9">
        <v>45086</v>
      </c>
      <c r="D630" s="1" t="s">
        <v>39</v>
      </c>
      <c r="F630" s="4">
        <v>16807</v>
      </c>
      <c r="G630" s="4">
        <f t="shared" si="7"/>
        <v>3193.33</v>
      </c>
      <c r="H630" s="4">
        <f t="shared" si="8"/>
        <v>20000.330000000002</v>
      </c>
      <c r="I630" s="4"/>
      <c r="J630" s="4"/>
    </row>
    <row r="631" spans="1:10">
      <c r="A631" s="1">
        <v>631</v>
      </c>
      <c r="B631" s="1" t="s">
        <v>894</v>
      </c>
      <c r="C631" s="9">
        <v>45087</v>
      </c>
      <c r="D631" s="1" t="s">
        <v>39</v>
      </c>
      <c r="E631" s="1">
        <v>91341</v>
      </c>
      <c r="F631" s="4">
        <v>21008.400000000001</v>
      </c>
      <c r="G631" s="4">
        <f t="shared" si="7"/>
        <v>3991.5960000000005</v>
      </c>
      <c r="H631" s="4">
        <f t="shared" si="8"/>
        <v>24999.996000000003</v>
      </c>
      <c r="I631" s="4"/>
      <c r="J631" s="4"/>
    </row>
    <row r="632" spans="1:10">
      <c r="A632" s="1">
        <v>632</v>
      </c>
      <c r="B632" s="1" t="s">
        <v>853</v>
      </c>
      <c r="C632" s="9">
        <v>45087</v>
      </c>
      <c r="D632" s="1" t="s">
        <v>39</v>
      </c>
      <c r="E632" s="1">
        <v>91342</v>
      </c>
      <c r="F632" s="4">
        <v>21008.400000000001</v>
      </c>
      <c r="G632" s="4">
        <f t="shared" si="7"/>
        <v>3991.5960000000005</v>
      </c>
      <c r="H632" s="4">
        <f t="shared" si="8"/>
        <v>24999.996000000003</v>
      </c>
      <c r="I632" s="4"/>
      <c r="J632" s="4"/>
    </row>
    <row r="633" spans="1:10">
      <c r="A633" s="1">
        <v>633</v>
      </c>
      <c r="B633" s="1" t="s">
        <v>895</v>
      </c>
      <c r="C633" s="9">
        <v>45089</v>
      </c>
      <c r="D633" s="1" t="s">
        <v>39</v>
      </c>
      <c r="E633" s="1">
        <v>91343</v>
      </c>
      <c r="F633" s="4">
        <v>22689.07</v>
      </c>
      <c r="G633" s="4">
        <f t="shared" si="7"/>
        <v>4310.9233000000004</v>
      </c>
      <c r="H633" s="4">
        <f t="shared" si="8"/>
        <v>26999.993300000002</v>
      </c>
      <c r="I633" s="4"/>
      <c r="J633" s="4"/>
    </row>
    <row r="634" spans="1:10">
      <c r="A634" s="1">
        <v>634</v>
      </c>
      <c r="B634" s="1" t="s">
        <v>896</v>
      </c>
      <c r="C634" s="9">
        <v>45089</v>
      </c>
      <c r="D634" s="1" t="s">
        <v>39</v>
      </c>
      <c r="E634" s="1">
        <v>91345</v>
      </c>
      <c r="F634" s="4">
        <v>31092.43</v>
      </c>
      <c r="G634" s="4">
        <f t="shared" si="7"/>
        <v>5907.5617000000002</v>
      </c>
      <c r="H634" s="4">
        <f t="shared" si="8"/>
        <v>36999.991699999999</v>
      </c>
      <c r="I634" s="4"/>
      <c r="J634" s="4"/>
    </row>
    <row r="635" spans="1:10">
      <c r="A635" s="1">
        <v>635</v>
      </c>
      <c r="B635" s="1" t="s">
        <v>897</v>
      </c>
      <c r="C635" s="9">
        <v>45089</v>
      </c>
      <c r="D635" s="1" t="s">
        <v>39</v>
      </c>
      <c r="E635" s="1">
        <v>91346</v>
      </c>
      <c r="F635" s="4">
        <v>48739.49</v>
      </c>
      <c r="G635" s="4">
        <f t="shared" si="7"/>
        <v>9260.5030999999999</v>
      </c>
      <c r="H635" s="4">
        <f t="shared" si="8"/>
        <v>57999.9931</v>
      </c>
      <c r="I635" s="4"/>
      <c r="J635" s="4"/>
    </row>
    <row r="636" spans="1:10">
      <c r="A636" s="1">
        <v>636</v>
      </c>
      <c r="B636" s="1" t="s">
        <v>898</v>
      </c>
      <c r="C636" s="9">
        <v>45089</v>
      </c>
      <c r="D636" s="1" t="s">
        <v>759</v>
      </c>
      <c r="E636" s="1">
        <v>13</v>
      </c>
      <c r="F636" s="4">
        <v>6890.76</v>
      </c>
      <c r="G636" s="4">
        <f t="shared" si="7"/>
        <v>1309.2444</v>
      </c>
      <c r="H636" s="4">
        <f t="shared" si="8"/>
        <v>8200.0043999999998</v>
      </c>
      <c r="I636" s="4"/>
      <c r="J636" s="4"/>
    </row>
    <row r="637" spans="1:10">
      <c r="A637" s="1">
        <v>637</v>
      </c>
      <c r="B637" s="1" t="s">
        <v>638</v>
      </c>
      <c r="C637" s="9">
        <v>45090</v>
      </c>
      <c r="D637" s="1" t="s">
        <v>39</v>
      </c>
      <c r="E637" s="1">
        <v>91347</v>
      </c>
      <c r="F637" s="4">
        <v>8403.36</v>
      </c>
      <c r="G637" s="4">
        <f t="shared" si="7"/>
        <v>1596.6384</v>
      </c>
      <c r="H637" s="4">
        <f t="shared" si="8"/>
        <v>9999.9984000000004</v>
      </c>
      <c r="I637" s="4"/>
      <c r="J637" s="4"/>
    </row>
    <row r="638" spans="1:10">
      <c r="A638" s="1">
        <v>638</v>
      </c>
      <c r="B638" s="1" t="s">
        <v>899</v>
      </c>
      <c r="C638" s="9">
        <v>45090</v>
      </c>
      <c r="D638" s="1" t="s">
        <v>39</v>
      </c>
      <c r="E638" s="1">
        <v>91348</v>
      </c>
      <c r="F638" s="4">
        <v>4369.7470000000003</v>
      </c>
      <c r="G638" s="4">
        <f t="shared" si="7"/>
        <v>830.25193000000002</v>
      </c>
      <c r="H638" s="4">
        <f t="shared" si="8"/>
        <v>5199.9989300000007</v>
      </c>
      <c r="I638" s="4"/>
      <c r="J638" s="4"/>
    </row>
    <row r="639" spans="1:10">
      <c r="A639" s="1">
        <v>639</v>
      </c>
      <c r="B639" s="1" t="s">
        <v>900</v>
      </c>
      <c r="C639" s="9">
        <v>45090</v>
      </c>
      <c r="D639" s="1" t="s">
        <v>39</v>
      </c>
      <c r="E639" s="1">
        <v>91349</v>
      </c>
      <c r="F639" s="4">
        <v>8403.36</v>
      </c>
      <c r="G639" s="4">
        <f t="shared" si="7"/>
        <v>1596.6384</v>
      </c>
      <c r="H639" s="4">
        <f t="shared" si="8"/>
        <v>9999.9984000000004</v>
      </c>
      <c r="I639" s="4"/>
      <c r="J639" s="4"/>
    </row>
    <row r="640" spans="1:10">
      <c r="A640" s="1">
        <v>640</v>
      </c>
      <c r="B640" s="1" t="s">
        <v>901</v>
      </c>
      <c r="C640" s="9">
        <v>45090</v>
      </c>
      <c r="D640" s="1" t="s">
        <v>39</v>
      </c>
      <c r="E640" s="1">
        <v>91350</v>
      </c>
      <c r="F640" s="15">
        <v>8403.36</v>
      </c>
      <c r="G640" s="4">
        <f t="shared" si="7"/>
        <v>1596.6384</v>
      </c>
      <c r="H640" s="4">
        <f t="shared" si="8"/>
        <v>9999.9984000000004</v>
      </c>
      <c r="I640" s="4"/>
      <c r="J640" s="4"/>
    </row>
    <row r="641" spans="1:10">
      <c r="A641" s="1">
        <v>641</v>
      </c>
      <c r="B641" s="1" t="s">
        <v>902</v>
      </c>
      <c r="C641" s="9">
        <v>45099</v>
      </c>
      <c r="D641" s="1" t="s">
        <v>39</v>
      </c>
      <c r="E641" s="1">
        <v>91351</v>
      </c>
      <c r="F641" s="4">
        <v>22689.07</v>
      </c>
      <c r="G641" s="4">
        <f t="shared" si="7"/>
        <v>4310.9233000000004</v>
      </c>
      <c r="H641" s="4">
        <f t="shared" si="8"/>
        <v>26999.993300000002</v>
      </c>
      <c r="I641" s="4"/>
      <c r="J641" s="4"/>
    </row>
    <row r="642" spans="1:10">
      <c r="A642" s="1">
        <v>642</v>
      </c>
      <c r="B642" s="1" t="s">
        <v>903</v>
      </c>
      <c r="C642" s="7">
        <v>45099</v>
      </c>
      <c r="D642" s="1" t="s">
        <v>39</v>
      </c>
      <c r="E642" s="1">
        <v>91352</v>
      </c>
      <c r="F642" s="4">
        <v>21008.400000000001</v>
      </c>
      <c r="G642" s="4">
        <f t="shared" si="7"/>
        <v>3991.5960000000005</v>
      </c>
      <c r="H642" s="4">
        <f t="shared" si="8"/>
        <v>24999.996000000003</v>
      </c>
      <c r="I642" s="4"/>
      <c r="J642" s="4"/>
    </row>
    <row r="643" spans="1:10">
      <c r="A643" s="1">
        <v>643</v>
      </c>
      <c r="B643" s="1" t="s">
        <v>904</v>
      </c>
      <c r="C643" s="9">
        <v>45107</v>
      </c>
      <c r="D643" s="1"/>
      <c r="F643" s="4">
        <v>25210.080000000002</v>
      </c>
      <c r="G643" s="4">
        <f t="shared" si="7"/>
        <v>4789.9152000000004</v>
      </c>
      <c r="H643" s="4">
        <f t="shared" si="8"/>
        <v>29999.995200000001</v>
      </c>
      <c r="I643" s="4"/>
      <c r="J643" s="4"/>
    </row>
    <row r="644" spans="1:10">
      <c r="A644" s="1">
        <v>644</v>
      </c>
      <c r="B644" s="1" t="s">
        <v>905</v>
      </c>
      <c r="C644" s="9">
        <v>45107</v>
      </c>
      <c r="D644" s="1" t="s">
        <v>39</v>
      </c>
      <c r="E644" s="1">
        <v>91353</v>
      </c>
      <c r="F644" s="4">
        <v>100840.33</v>
      </c>
      <c r="G644" s="4">
        <f t="shared" si="7"/>
        <v>19159.662700000001</v>
      </c>
      <c r="H644" s="4">
        <f t="shared" si="8"/>
        <v>119999.9927</v>
      </c>
      <c r="I644" s="4"/>
      <c r="J644" s="4"/>
    </row>
    <row r="645" spans="1:10">
      <c r="A645" s="1">
        <v>645</v>
      </c>
      <c r="B645" s="1" t="s">
        <v>906</v>
      </c>
      <c r="C645" s="9">
        <v>45107</v>
      </c>
      <c r="D645" s="1" t="s">
        <v>39</v>
      </c>
      <c r="E645" s="1">
        <v>91354</v>
      </c>
      <c r="F645" s="4">
        <v>8403.36</v>
      </c>
      <c r="G645" s="4">
        <f t="shared" si="7"/>
        <v>1596.6384</v>
      </c>
      <c r="H645" s="4">
        <f t="shared" si="8"/>
        <v>9999.9984000000004</v>
      </c>
      <c r="I645" s="4"/>
      <c r="J645" s="4"/>
    </row>
    <row r="646" spans="1:10">
      <c r="A646" s="1">
        <v>646</v>
      </c>
      <c r="B646" s="1" t="s">
        <v>603</v>
      </c>
      <c r="C646" s="9">
        <v>45107</v>
      </c>
      <c r="D646" s="1" t="s">
        <v>759</v>
      </c>
      <c r="E646" s="1">
        <v>14</v>
      </c>
      <c r="F646" s="4">
        <v>25210.080000000002</v>
      </c>
      <c r="G646" s="4">
        <f t="shared" si="7"/>
        <v>4789.9152000000004</v>
      </c>
      <c r="H646" s="4">
        <f t="shared" si="8"/>
        <v>29999.995200000001</v>
      </c>
      <c r="I646" s="4"/>
      <c r="J646" s="4"/>
    </row>
    <row r="647" spans="1:10">
      <c r="A647" s="1">
        <v>647</v>
      </c>
      <c r="B647" s="1" t="s">
        <v>907</v>
      </c>
      <c r="C647" s="9">
        <v>45110</v>
      </c>
      <c r="D647" s="1" t="s">
        <v>39</v>
      </c>
      <c r="E647" s="1">
        <v>91355</v>
      </c>
      <c r="F647" s="4">
        <v>4621.8500000000004</v>
      </c>
      <c r="G647" s="4">
        <f t="shared" si="7"/>
        <v>878.15150000000006</v>
      </c>
      <c r="H647" s="4">
        <f t="shared" si="8"/>
        <v>5500.0015000000003</v>
      </c>
      <c r="I647" s="4"/>
      <c r="J647" s="4"/>
    </row>
    <row r="648" spans="1:10">
      <c r="A648" s="1">
        <v>648</v>
      </c>
      <c r="B648" s="1" t="s">
        <v>908</v>
      </c>
      <c r="C648" s="9">
        <v>45113</v>
      </c>
      <c r="D648" s="1" t="s">
        <v>39</v>
      </c>
      <c r="E648" s="1">
        <v>91356</v>
      </c>
      <c r="F648" s="4">
        <v>8403.36</v>
      </c>
      <c r="G648" s="4">
        <f t="shared" si="7"/>
        <v>1596.6384</v>
      </c>
      <c r="H648" s="4">
        <f t="shared" si="8"/>
        <v>9999.9984000000004</v>
      </c>
      <c r="I648" s="4"/>
      <c r="J648" s="4"/>
    </row>
    <row r="649" spans="1:10">
      <c r="A649" s="1">
        <v>649</v>
      </c>
      <c r="B649" s="1" t="s">
        <v>909</v>
      </c>
      <c r="C649" s="9">
        <v>45113</v>
      </c>
      <c r="D649" s="1" t="s">
        <v>39</v>
      </c>
      <c r="E649" s="1">
        <v>91357</v>
      </c>
      <c r="F649" s="4">
        <v>4201.68</v>
      </c>
      <c r="G649" s="4">
        <f t="shared" si="7"/>
        <v>798.31920000000002</v>
      </c>
      <c r="H649" s="4">
        <f t="shared" si="8"/>
        <v>4999.9992000000002</v>
      </c>
      <c r="I649" s="4"/>
      <c r="J649" s="4"/>
    </row>
    <row r="650" spans="1:10">
      <c r="A650" s="1">
        <v>650</v>
      </c>
      <c r="B650" s="1" t="s">
        <v>910</v>
      </c>
      <c r="C650" s="9">
        <v>45113</v>
      </c>
      <c r="D650" s="1" t="s">
        <v>759</v>
      </c>
      <c r="E650" s="1">
        <v>15</v>
      </c>
      <c r="F650" s="4">
        <v>33613.440000000002</v>
      </c>
      <c r="G650" s="4">
        <f t="shared" si="7"/>
        <v>6386.5536000000002</v>
      </c>
      <c r="H650" s="4">
        <f t="shared" si="8"/>
        <v>39999.993600000002</v>
      </c>
      <c r="I650" s="4"/>
      <c r="J650" s="4"/>
    </row>
    <row r="651" spans="1:10">
      <c r="A651" s="1">
        <v>651</v>
      </c>
      <c r="B651" s="1" t="s">
        <v>911</v>
      </c>
      <c r="C651" s="9">
        <v>45113</v>
      </c>
      <c r="D651" s="1" t="s">
        <v>39</v>
      </c>
      <c r="E651" s="1">
        <v>91358</v>
      </c>
      <c r="F651" s="4">
        <v>5042</v>
      </c>
      <c r="G651" s="4">
        <f t="shared" si="7"/>
        <v>957.98</v>
      </c>
      <c r="H651" s="4">
        <f t="shared" si="8"/>
        <v>5999.98</v>
      </c>
      <c r="I651" s="4"/>
      <c r="J651" s="4"/>
    </row>
    <row r="652" spans="1:10">
      <c r="A652" s="1">
        <v>652</v>
      </c>
      <c r="B652" s="1" t="s">
        <v>912</v>
      </c>
      <c r="C652" s="9">
        <v>45114</v>
      </c>
      <c r="D652" s="1" t="s">
        <v>39</v>
      </c>
      <c r="E652" s="1">
        <v>91359</v>
      </c>
      <c r="F652" s="4">
        <v>11344.53</v>
      </c>
      <c r="G652" s="4">
        <f t="shared" si="7"/>
        <v>2155.4607000000001</v>
      </c>
      <c r="H652" s="4">
        <f t="shared" si="8"/>
        <v>13499.9907</v>
      </c>
      <c r="I652" s="4"/>
      <c r="J652" s="4"/>
    </row>
    <row r="653" spans="1:10">
      <c r="A653" s="1">
        <v>653</v>
      </c>
      <c r="B653" s="1" t="s">
        <v>913</v>
      </c>
      <c r="C653" s="9">
        <v>45117</v>
      </c>
      <c r="D653" s="1"/>
      <c r="F653" s="4">
        <v>16807</v>
      </c>
      <c r="G653" s="4">
        <f t="shared" si="7"/>
        <v>3193.33</v>
      </c>
      <c r="H653" s="4">
        <f t="shared" si="8"/>
        <v>20000.330000000002</v>
      </c>
      <c r="I653" s="4"/>
      <c r="J653" s="4"/>
    </row>
    <row r="654" spans="1:10">
      <c r="A654" s="1">
        <v>654</v>
      </c>
      <c r="B654" s="1" t="s">
        <v>914</v>
      </c>
      <c r="C654" s="9">
        <v>45123</v>
      </c>
      <c r="D654" s="1" t="s">
        <v>39</v>
      </c>
      <c r="E654" s="1">
        <v>91360</v>
      </c>
      <c r="F654" s="4">
        <v>5042.01</v>
      </c>
      <c r="G654" s="4">
        <f t="shared" si="7"/>
        <v>957.9819</v>
      </c>
      <c r="H654" s="4">
        <f t="shared" si="8"/>
        <v>5999.9919</v>
      </c>
      <c r="I654" s="4"/>
      <c r="J654" s="4"/>
    </row>
    <row r="655" spans="1:10">
      <c r="A655" s="1">
        <v>655</v>
      </c>
      <c r="B655" s="1" t="s">
        <v>883</v>
      </c>
      <c r="C655" s="9">
        <v>45123</v>
      </c>
      <c r="D655" s="1" t="s">
        <v>39</v>
      </c>
      <c r="E655" s="1">
        <v>91361</v>
      </c>
      <c r="F655" s="4">
        <v>8403.36</v>
      </c>
      <c r="G655" s="4">
        <f t="shared" si="7"/>
        <v>1596.6384</v>
      </c>
      <c r="H655" s="4">
        <f t="shared" si="8"/>
        <v>9999.9984000000004</v>
      </c>
      <c r="I655" s="4"/>
      <c r="J655" s="4"/>
    </row>
    <row r="656" spans="1:10">
      <c r="A656" s="1">
        <v>656</v>
      </c>
      <c r="B656" s="1" t="s">
        <v>915</v>
      </c>
      <c r="C656" s="9">
        <v>45124</v>
      </c>
      <c r="D656" s="1" t="s">
        <v>39</v>
      </c>
      <c r="E656" s="1">
        <v>91362</v>
      </c>
      <c r="F656" s="4">
        <v>37815.125999999997</v>
      </c>
      <c r="G656" s="4">
        <f t="shared" si="7"/>
        <v>7184.8739399999995</v>
      </c>
      <c r="H656" s="4">
        <f t="shared" si="8"/>
        <v>44999.999939999994</v>
      </c>
      <c r="I656" s="4"/>
      <c r="J656" s="4"/>
    </row>
    <row r="657" spans="1:10">
      <c r="A657" s="1">
        <v>657</v>
      </c>
      <c r="B657" s="1" t="s">
        <v>290</v>
      </c>
      <c r="C657" s="9">
        <v>45124</v>
      </c>
      <c r="D657" s="1"/>
      <c r="F657" s="4">
        <v>23529.4</v>
      </c>
      <c r="G657" s="4">
        <f t="shared" si="7"/>
        <v>4470.5860000000002</v>
      </c>
      <c r="H657" s="4">
        <f t="shared" si="8"/>
        <v>27999.986000000001</v>
      </c>
      <c r="I657" s="4"/>
      <c r="J657" s="4"/>
    </row>
    <row r="658" spans="1:10">
      <c r="A658" s="1">
        <v>658</v>
      </c>
      <c r="B658" s="1" t="s">
        <v>916</v>
      </c>
      <c r="C658" s="9">
        <v>45124</v>
      </c>
      <c r="D658" s="1" t="s">
        <v>39</v>
      </c>
      <c r="E658" s="1">
        <v>91363</v>
      </c>
      <c r="F658" s="4">
        <v>21848.739000000001</v>
      </c>
      <c r="G658" s="4">
        <f t="shared" si="7"/>
        <v>4151.2604099999999</v>
      </c>
      <c r="H658" s="4">
        <f t="shared" si="8"/>
        <v>25999.99941</v>
      </c>
      <c r="I658" s="4"/>
      <c r="J658" s="4"/>
    </row>
    <row r="659" spans="1:10">
      <c r="A659" s="1">
        <v>659</v>
      </c>
      <c r="B659" s="1" t="s">
        <v>917</v>
      </c>
      <c r="C659" s="9">
        <v>45124</v>
      </c>
      <c r="D659" s="1" t="s">
        <v>39</v>
      </c>
      <c r="E659" s="1">
        <v>91364</v>
      </c>
      <c r="F659" s="4">
        <v>25210.080000000002</v>
      </c>
      <c r="G659" s="4">
        <f t="shared" si="7"/>
        <v>4789.9152000000004</v>
      </c>
      <c r="H659" s="4">
        <f t="shared" si="8"/>
        <v>29999.995200000001</v>
      </c>
      <c r="I659" s="4"/>
      <c r="J659" s="4"/>
    </row>
    <row r="660" spans="1:10">
      <c r="A660" s="1">
        <v>660</v>
      </c>
      <c r="B660" s="1" t="s">
        <v>918</v>
      </c>
      <c r="C660" s="9">
        <v>45124</v>
      </c>
      <c r="D660" s="1" t="s">
        <v>39</v>
      </c>
      <c r="E660" s="1">
        <v>91367</v>
      </c>
      <c r="F660" s="4">
        <v>16806.72</v>
      </c>
      <c r="G660" s="4">
        <f t="shared" si="7"/>
        <v>3193.2768000000001</v>
      </c>
      <c r="H660" s="4">
        <f t="shared" si="8"/>
        <v>19999.996800000001</v>
      </c>
      <c r="I660" s="4"/>
      <c r="J660" s="4"/>
    </row>
    <row r="661" spans="1:10">
      <c r="A661" s="1">
        <v>661</v>
      </c>
      <c r="B661" s="1" t="s">
        <v>603</v>
      </c>
      <c r="C661" s="9">
        <v>45124</v>
      </c>
      <c r="D661" s="1" t="s">
        <v>759</v>
      </c>
      <c r="E661" s="1">
        <v>16</v>
      </c>
      <c r="F661" s="4">
        <v>25210.080000000002</v>
      </c>
      <c r="G661" s="4">
        <f t="shared" si="7"/>
        <v>4789.9152000000004</v>
      </c>
      <c r="H661" s="4">
        <f t="shared" si="8"/>
        <v>29999.995200000001</v>
      </c>
      <c r="I661" s="4"/>
      <c r="J661" s="4"/>
    </row>
    <row r="662" spans="1:10">
      <c r="A662" s="1">
        <v>662</v>
      </c>
      <c r="B662" s="1" t="s">
        <v>877</v>
      </c>
      <c r="C662" s="9">
        <v>45124</v>
      </c>
      <c r="D662" s="1" t="s">
        <v>39</v>
      </c>
      <c r="E662" s="1">
        <v>91365</v>
      </c>
      <c r="F662" s="4">
        <v>4201.68</v>
      </c>
      <c r="G662" s="4">
        <f t="shared" si="7"/>
        <v>798.31920000000002</v>
      </c>
      <c r="H662" s="4">
        <f t="shared" si="8"/>
        <v>4999.9992000000002</v>
      </c>
      <c r="I662" s="4"/>
      <c r="J662" s="4"/>
    </row>
    <row r="663" spans="1:10">
      <c r="A663" s="1">
        <v>663</v>
      </c>
      <c r="B663" s="1" t="s">
        <v>919</v>
      </c>
      <c r="C663" s="9">
        <v>45127</v>
      </c>
      <c r="D663" s="1" t="s">
        <v>39</v>
      </c>
      <c r="E663" s="1">
        <v>91366</v>
      </c>
      <c r="F663" s="4">
        <v>8403.36</v>
      </c>
      <c r="G663" s="4">
        <f t="shared" si="7"/>
        <v>1596.6384</v>
      </c>
      <c r="H663" s="4">
        <f t="shared" si="8"/>
        <v>9999.9984000000004</v>
      </c>
      <c r="I663" s="4"/>
      <c r="J663" s="4"/>
    </row>
    <row r="664" spans="1:10">
      <c r="A664" s="1">
        <v>664</v>
      </c>
      <c r="B664" s="1" t="s">
        <v>638</v>
      </c>
      <c r="C664" s="9">
        <v>45129</v>
      </c>
      <c r="D664" s="1" t="s">
        <v>39</v>
      </c>
      <c r="E664" s="1">
        <v>91368</v>
      </c>
      <c r="F664" s="4">
        <v>8403.36</v>
      </c>
      <c r="G664" s="4">
        <f t="shared" si="7"/>
        <v>1596.6384</v>
      </c>
      <c r="H664" s="4">
        <f t="shared" si="8"/>
        <v>9999.9984000000004</v>
      </c>
      <c r="I664" s="4"/>
      <c r="J664" s="4"/>
    </row>
    <row r="665" spans="1:10">
      <c r="A665" s="1">
        <v>665</v>
      </c>
      <c r="B665" s="1" t="s">
        <v>920</v>
      </c>
      <c r="C665" s="9">
        <v>45129</v>
      </c>
      <c r="D665" s="1" t="s">
        <v>39</v>
      </c>
      <c r="E665" s="1">
        <v>91369</v>
      </c>
      <c r="F665" s="4">
        <v>16807</v>
      </c>
      <c r="G665" s="4">
        <f t="shared" si="7"/>
        <v>3193.33</v>
      </c>
      <c r="H665" s="4">
        <f t="shared" si="8"/>
        <v>20000.330000000002</v>
      </c>
      <c r="I665" s="4"/>
      <c r="J665" s="4"/>
    </row>
    <row r="666" spans="1:10">
      <c r="A666" s="1">
        <v>666</v>
      </c>
      <c r="B666" s="1" t="s">
        <v>921</v>
      </c>
      <c r="C666" s="9">
        <v>45129</v>
      </c>
      <c r="D666" s="1" t="s">
        <v>39</v>
      </c>
      <c r="E666" s="1">
        <v>91370</v>
      </c>
      <c r="F666" s="4">
        <v>4202</v>
      </c>
      <c r="G666" s="4">
        <f t="shared" si="7"/>
        <v>798.38</v>
      </c>
      <c r="H666" s="4">
        <f t="shared" si="8"/>
        <v>5000.38</v>
      </c>
      <c r="I666" s="4"/>
      <c r="J666" s="4"/>
    </row>
    <row r="667" spans="1:10">
      <c r="A667" s="1">
        <v>667</v>
      </c>
      <c r="B667" s="1" t="s">
        <v>922</v>
      </c>
      <c r="C667" s="9">
        <v>45129</v>
      </c>
      <c r="D667" s="1" t="s">
        <v>39</v>
      </c>
      <c r="E667" s="1">
        <v>91371</v>
      </c>
      <c r="F667" s="4">
        <v>21008.400000000001</v>
      </c>
      <c r="G667" s="4">
        <f t="shared" si="7"/>
        <v>3991.5960000000005</v>
      </c>
      <c r="H667" s="4">
        <f t="shared" si="8"/>
        <v>24999.996000000003</v>
      </c>
      <c r="I667" s="4"/>
      <c r="J667" s="4"/>
    </row>
    <row r="668" spans="1:10">
      <c r="A668" s="1">
        <v>668</v>
      </c>
      <c r="B668" s="1" t="s">
        <v>923</v>
      </c>
      <c r="C668" s="9">
        <v>45134</v>
      </c>
      <c r="D668" s="1" t="s">
        <v>759</v>
      </c>
      <c r="E668" s="1">
        <v>16</v>
      </c>
      <c r="F668" s="4">
        <v>37815.129999999997</v>
      </c>
      <c r="G668" s="4">
        <f t="shared" si="7"/>
        <v>7184.8746999999994</v>
      </c>
      <c r="H668" s="4">
        <f t="shared" si="8"/>
        <v>45000.004699999998</v>
      </c>
      <c r="I668" s="4"/>
      <c r="J668" s="4"/>
    </row>
    <row r="669" spans="1:10">
      <c r="A669" s="1">
        <v>669</v>
      </c>
      <c r="B669" s="1" t="s">
        <v>781</v>
      </c>
      <c r="C669" s="9">
        <v>45136</v>
      </c>
      <c r="D669" s="1" t="s">
        <v>39</v>
      </c>
      <c r="E669" s="1">
        <v>91372</v>
      </c>
      <c r="F669" s="4">
        <v>50420.17</v>
      </c>
      <c r="G669" s="4">
        <f t="shared" si="7"/>
        <v>9579.8323</v>
      </c>
      <c r="H669" s="4">
        <f t="shared" si="8"/>
        <v>60000.0023</v>
      </c>
      <c r="I669" s="4"/>
      <c r="J669" s="4"/>
    </row>
    <row r="670" spans="1:10">
      <c r="A670" s="1">
        <v>670</v>
      </c>
      <c r="B670" s="1" t="s">
        <v>924</v>
      </c>
      <c r="C670" s="9">
        <v>45136</v>
      </c>
      <c r="D670" s="1" t="s">
        <v>39</v>
      </c>
      <c r="E670" s="1">
        <v>91373</v>
      </c>
      <c r="F670" s="4">
        <v>26890.75</v>
      </c>
      <c r="G670" s="4">
        <f t="shared" si="7"/>
        <v>5109.2425000000003</v>
      </c>
      <c r="H670" s="4">
        <f t="shared" si="8"/>
        <v>31999.9925</v>
      </c>
      <c r="I670" s="4"/>
      <c r="J670" s="4"/>
    </row>
    <row r="671" spans="1:10">
      <c r="A671" s="1">
        <v>671</v>
      </c>
      <c r="B671" s="1" t="s">
        <v>153</v>
      </c>
      <c r="C671" s="9">
        <v>45136</v>
      </c>
      <c r="D671" s="1" t="s">
        <v>759</v>
      </c>
      <c r="E671" s="1">
        <v>17</v>
      </c>
      <c r="F671" s="4">
        <v>25210.080000000002</v>
      </c>
      <c r="G671" s="4">
        <f t="shared" si="7"/>
        <v>4789.9152000000004</v>
      </c>
      <c r="H671" s="4">
        <f t="shared" si="8"/>
        <v>29999.995200000001</v>
      </c>
      <c r="I671" s="4"/>
      <c r="J671" s="4"/>
    </row>
    <row r="672" spans="1:10">
      <c r="A672" s="1">
        <v>672</v>
      </c>
      <c r="B672" s="1" t="s">
        <v>925</v>
      </c>
      <c r="C672" s="9">
        <v>45138</v>
      </c>
      <c r="D672" s="1" t="s">
        <v>39</v>
      </c>
      <c r="E672" s="1">
        <v>91374</v>
      </c>
      <c r="F672" s="4">
        <v>8403.36</v>
      </c>
      <c r="G672" s="4">
        <f t="shared" si="7"/>
        <v>1596.6384</v>
      </c>
      <c r="H672" s="4">
        <f t="shared" si="8"/>
        <v>9999.9984000000004</v>
      </c>
      <c r="I672" s="4"/>
      <c r="J672" s="4"/>
    </row>
    <row r="673" spans="1:10">
      <c r="A673" s="1">
        <v>673</v>
      </c>
      <c r="B673" s="1" t="s">
        <v>926</v>
      </c>
      <c r="C673" s="9">
        <v>45138</v>
      </c>
      <c r="D673" s="1" t="s">
        <v>39</v>
      </c>
      <c r="E673" s="1">
        <v>91375</v>
      </c>
      <c r="F673" s="4">
        <v>23529.41</v>
      </c>
      <c r="G673" s="4">
        <f t="shared" si="7"/>
        <v>4470.5879000000004</v>
      </c>
      <c r="H673" s="4">
        <f t="shared" si="8"/>
        <v>27999.997900000002</v>
      </c>
      <c r="I673" s="4"/>
      <c r="J673" s="4"/>
    </row>
    <row r="674" spans="1:10">
      <c r="A674" s="1">
        <v>674</v>
      </c>
      <c r="B674" s="1" t="s">
        <v>927</v>
      </c>
      <c r="C674" s="9">
        <v>45138</v>
      </c>
      <c r="D674" s="1" t="s">
        <v>39</v>
      </c>
      <c r="E674" s="1">
        <v>91376</v>
      </c>
      <c r="F674" s="4">
        <v>8403</v>
      </c>
      <c r="G674" s="4">
        <f t="shared" si="7"/>
        <v>1596.57</v>
      </c>
      <c r="H674" s="4">
        <f t="shared" si="8"/>
        <v>9999.57</v>
      </c>
      <c r="I674" s="4"/>
      <c r="J674" s="4"/>
    </row>
    <row r="675" spans="1:10">
      <c r="A675" s="1">
        <v>675</v>
      </c>
      <c r="B675" s="1" t="s">
        <v>928</v>
      </c>
      <c r="C675" s="9">
        <v>45138</v>
      </c>
      <c r="D675" s="1" t="s">
        <v>759</v>
      </c>
      <c r="E675" s="1">
        <v>18</v>
      </c>
      <c r="F675" s="4">
        <v>18487.39</v>
      </c>
      <c r="G675" s="4">
        <f t="shared" si="7"/>
        <v>3512.6041</v>
      </c>
      <c r="H675" s="4">
        <f t="shared" si="8"/>
        <v>21999.9941</v>
      </c>
      <c r="I675" s="4"/>
      <c r="J675" s="4"/>
    </row>
    <row r="676" spans="1:10">
      <c r="A676" s="1">
        <v>676</v>
      </c>
      <c r="B676" s="1" t="s">
        <v>928</v>
      </c>
      <c r="C676" s="9">
        <v>45138</v>
      </c>
      <c r="D676" s="1" t="s">
        <v>759</v>
      </c>
      <c r="E676" s="1">
        <v>19</v>
      </c>
      <c r="F676" s="4">
        <v>18487.39</v>
      </c>
      <c r="G676" s="4">
        <f t="shared" si="7"/>
        <v>3512.6041</v>
      </c>
      <c r="H676" s="4">
        <f t="shared" si="8"/>
        <v>21999.9941</v>
      </c>
      <c r="I676" s="4"/>
      <c r="J676" s="4"/>
    </row>
    <row r="677" spans="1:10">
      <c r="A677" s="1">
        <v>677</v>
      </c>
      <c r="B677" s="1" t="s">
        <v>929</v>
      </c>
      <c r="C677" s="9">
        <v>45139</v>
      </c>
      <c r="D677" s="1" t="s">
        <v>39</v>
      </c>
      <c r="E677" s="1">
        <v>91377</v>
      </c>
      <c r="F677" s="4">
        <v>6722.68</v>
      </c>
      <c r="G677" s="4">
        <f t="shared" si="7"/>
        <v>1277.3092000000001</v>
      </c>
      <c r="H677" s="4">
        <f t="shared" si="8"/>
        <v>7999.9892</v>
      </c>
      <c r="I677" s="4"/>
      <c r="J677" s="4"/>
    </row>
    <row r="678" spans="1:10">
      <c r="A678" s="1">
        <v>678</v>
      </c>
      <c r="B678" s="1" t="s">
        <v>930</v>
      </c>
      <c r="C678" s="9">
        <v>45146</v>
      </c>
      <c r="D678" s="1" t="s">
        <v>39</v>
      </c>
      <c r="E678" s="1">
        <v>91379</v>
      </c>
      <c r="F678" s="4">
        <v>50000</v>
      </c>
      <c r="G678" s="4">
        <f t="shared" si="7"/>
        <v>9500</v>
      </c>
      <c r="H678" s="4">
        <f t="shared" si="8"/>
        <v>59500</v>
      </c>
      <c r="I678" s="4"/>
      <c r="J678" s="4"/>
    </row>
    <row r="679" spans="1:10">
      <c r="A679" s="1">
        <v>679</v>
      </c>
      <c r="B679" s="1" t="s">
        <v>931</v>
      </c>
      <c r="C679" s="9">
        <v>45140</v>
      </c>
      <c r="D679" s="1" t="s">
        <v>39</v>
      </c>
      <c r="E679" s="1">
        <v>91378</v>
      </c>
      <c r="F679" s="4">
        <v>58823.53</v>
      </c>
      <c r="G679" s="4">
        <f t="shared" si="7"/>
        <v>11176.4707</v>
      </c>
      <c r="H679" s="4">
        <f t="shared" si="8"/>
        <v>70000.000700000004</v>
      </c>
      <c r="I679" s="4"/>
      <c r="J679" s="4"/>
    </row>
    <row r="680" spans="1:10">
      <c r="A680" s="1">
        <v>680</v>
      </c>
      <c r="B680" s="1" t="s">
        <v>932</v>
      </c>
      <c r="C680" s="9">
        <v>45146</v>
      </c>
      <c r="D680" s="1" t="s">
        <v>39</v>
      </c>
      <c r="E680" s="1">
        <v>91380</v>
      </c>
      <c r="F680" s="4">
        <v>48739.49</v>
      </c>
      <c r="G680" s="4">
        <f t="shared" si="7"/>
        <v>9260.5030999999999</v>
      </c>
      <c r="H680" s="4">
        <f t="shared" si="8"/>
        <v>57999.9931</v>
      </c>
      <c r="I680" s="4"/>
      <c r="J680" s="4"/>
    </row>
    <row r="681" spans="1:10">
      <c r="A681" s="1">
        <v>681</v>
      </c>
      <c r="B681" s="1" t="s">
        <v>933</v>
      </c>
      <c r="C681" s="9">
        <v>45146</v>
      </c>
      <c r="D681" s="1"/>
      <c r="F681" s="4">
        <v>16807</v>
      </c>
      <c r="G681" s="4">
        <f t="shared" si="7"/>
        <v>3193.33</v>
      </c>
      <c r="H681" s="4">
        <f t="shared" si="8"/>
        <v>20000.330000000002</v>
      </c>
      <c r="I681" s="4"/>
      <c r="J681" s="4"/>
    </row>
    <row r="682" spans="1:10">
      <c r="A682" s="1">
        <v>682</v>
      </c>
      <c r="B682" s="1" t="s">
        <v>649</v>
      </c>
      <c r="C682" s="9">
        <v>45146</v>
      </c>
      <c r="D682" s="1"/>
      <c r="F682" s="4">
        <v>16807</v>
      </c>
      <c r="G682" s="4">
        <f t="shared" si="7"/>
        <v>3193.33</v>
      </c>
      <c r="H682" s="4">
        <f t="shared" si="8"/>
        <v>20000.330000000002</v>
      </c>
      <c r="I682" s="4"/>
      <c r="J682" s="4"/>
    </row>
    <row r="683" spans="1:10">
      <c r="A683" s="1">
        <v>683</v>
      </c>
      <c r="B683" s="1" t="s">
        <v>934</v>
      </c>
      <c r="C683" s="9">
        <v>45146</v>
      </c>
      <c r="D683" s="1" t="s">
        <v>39</v>
      </c>
      <c r="E683" s="1">
        <v>91381</v>
      </c>
      <c r="F683" s="4">
        <v>95798.32</v>
      </c>
      <c r="G683" s="4">
        <f t="shared" si="7"/>
        <v>18201.680800000002</v>
      </c>
      <c r="H683" s="4">
        <f t="shared" si="8"/>
        <v>114000.00080000001</v>
      </c>
      <c r="I683" s="4"/>
      <c r="J683" s="4"/>
    </row>
    <row r="684" spans="1:10">
      <c r="A684" s="1">
        <v>684</v>
      </c>
      <c r="B684" s="1" t="s">
        <v>935</v>
      </c>
      <c r="C684" s="9">
        <v>45147</v>
      </c>
      <c r="D684" s="1" t="s">
        <v>39</v>
      </c>
      <c r="E684" s="1">
        <v>91382</v>
      </c>
      <c r="F684" s="4">
        <v>52941.17</v>
      </c>
      <c r="G684" s="4">
        <f t="shared" si="7"/>
        <v>10058.8223</v>
      </c>
      <c r="H684" s="4">
        <f t="shared" si="8"/>
        <v>62999.992299999998</v>
      </c>
      <c r="I684" s="4"/>
      <c r="J684" s="4"/>
    </row>
    <row r="685" spans="1:10">
      <c r="A685" s="1">
        <v>685</v>
      </c>
      <c r="B685" s="1" t="s">
        <v>936</v>
      </c>
      <c r="C685" s="9">
        <v>45153</v>
      </c>
      <c r="D685" s="1"/>
      <c r="F685" s="4">
        <v>33613.449999999997</v>
      </c>
      <c r="G685" s="4">
        <f t="shared" si="7"/>
        <v>6386.5554999999995</v>
      </c>
      <c r="H685" s="4">
        <f t="shared" si="8"/>
        <v>40000.005499999999</v>
      </c>
      <c r="I685" s="4"/>
      <c r="J685" s="4"/>
    </row>
    <row r="686" spans="1:10">
      <c r="A686" s="1">
        <v>686</v>
      </c>
      <c r="B686" s="1" t="s">
        <v>937</v>
      </c>
      <c r="C686" s="9">
        <v>45154</v>
      </c>
      <c r="D686" s="1" t="s">
        <v>39</v>
      </c>
      <c r="E686" s="1">
        <v>91383</v>
      </c>
      <c r="F686" s="4">
        <v>29411.759999999998</v>
      </c>
      <c r="G686" s="4">
        <f t="shared" ref="G686:G940" si="9">F686*0.19</f>
        <v>5588.2343999999994</v>
      </c>
      <c r="H686" s="4">
        <f t="shared" ref="H686:H940" si="10">F686+G686</f>
        <v>34999.994399999996</v>
      </c>
      <c r="I686" s="4"/>
      <c r="J686" s="4"/>
    </row>
    <row r="687" spans="1:10">
      <c r="A687" s="1">
        <v>687</v>
      </c>
      <c r="B687" s="1" t="s">
        <v>938</v>
      </c>
      <c r="C687" s="9">
        <v>45157</v>
      </c>
      <c r="D687" s="1" t="s">
        <v>39</v>
      </c>
      <c r="E687" s="1">
        <v>91384</v>
      </c>
      <c r="F687" s="4">
        <v>47899.16</v>
      </c>
      <c r="G687" s="4">
        <f t="shared" si="9"/>
        <v>9100.840400000001</v>
      </c>
      <c r="H687" s="4">
        <f t="shared" si="10"/>
        <v>57000.000400000004</v>
      </c>
      <c r="I687" s="4"/>
      <c r="J687" s="4"/>
    </row>
    <row r="688" spans="1:10">
      <c r="A688" s="1">
        <v>688</v>
      </c>
      <c r="B688" s="1" t="s">
        <v>939</v>
      </c>
      <c r="C688" s="9">
        <v>45157</v>
      </c>
      <c r="D688" s="1" t="s">
        <v>39</v>
      </c>
      <c r="E688" s="1">
        <v>91385</v>
      </c>
      <c r="F688" s="4">
        <v>4201.68</v>
      </c>
      <c r="G688" s="4">
        <f t="shared" si="9"/>
        <v>798.31920000000002</v>
      </c>
      <c r="H688" s="4">
        <f t="shared" si="10"/>
        <v>4999.9992000000002</v>
      </c>
      <c r="I688" s="4"/>
      <c r="J688" s="4"/>
    </row>
    <row r="689" spans="1:10">
      <c r="A689" s="1">
        <v>689</v>
      </c>
      <c r="B689" s="1" t="s">
        <v>940</v>
      </c>
      <c r="C689" s="9">
        <v>45158</v>
      </c>
      <c r="D689" s="1" t="s">
        <v>39</v>
      </c>
      <c r="E689" s="1">
        <v>91386</v>
      </c>
      <c r="F689" s="4">
        <v>8403.36</v>
      </c>
      <c r="G689" s="4">
        <f t="shared" si="9"/>
        <v>1596.6384</v>
      </c>
      <c r="H689" s="4">
        <f t="shared" si="10"/>
        <v>9999.9984000000004</v>
      </c>
      <c r="I689" s="4"/>
      <c r="J689" s="4"/>
    </row>
    <row r="690" spans="1:10">
      <c r="A690" s="1">
        <v>690</v>
      </c>
      <c r="B690" s="1" t="s">
        <v>941</v>
      </c>
      <c r="C690" s="9">
        <v>45159</v>
      </c>
      <c r="D690" s="1" t="s">
        <v>39</v>
      </c>
      <c r="E690" s="1">
        <v>91387</v>
      </c>
      <c r="F690" s="4">
        <v>42016.800000000003</v>
      </c>
      <c r="G690" s="4">
        <f t="shared" si="9"/>
        <v>7983.1920000000009</v>
      </c>
      <c r="H690" s="4">
        <f t="shared" si="10"/>
        <v>49999.992000000006</v>
      </c>
      <c r="I690" s="4"/>
      <c r="J690" s="4"/>
    </row>
    <row r="691" spans="1:10">
      <c r="A691" s="1">
        <v>691</v>
      </c>
      <c r="B691" s="1" t="s">
        <v>942</v>
      </c>
      <c r="C691" s="9">
        <v>45163</v>
      </c>
      <c r="D691" s="1" t="s">
        <v>39</v>
      </c>
      <c r="E691" s="1">
        <v>91388</v>
      </c>
      <c r="F691" s="4">
        <v>5714.28</v>
      </c>
      <c r="G691" s="4">
        <f t="shared" si="9"/>
        <v>1085.7131999999999</v>
      </c>
      <c r="H691" s="4">
        <f t="shared" si="10"/>
        <v>6799.9931999999999</v>
      </c>
      <c r="I691" s="4"/>
      <c r="J691" s="4"/>
    </row>
    <row r="692" spans="1:10">
      <c r="A692" s="1">
        <v>692</v>
      </c>
      <c r="B692" s="1" t="s">
        <v>943</v>
      </c>
      <c r="C692" s="9">
        <v>45169</v>
      </c>
      <c r="D692" s="1" t="s">
        <v>39</v>
      </c>
      <c r="E692" s="1">
        <v>91389</v>
      </c>
      <c r="F692" s="4">
        <v>25210.080000000002</v>
      </c>
      <c r="G692" s="4">
        <f t="shared" si="9"/>
        <v>4789.9152000000004</v>
      </c>
      <c r="H692" s="4">
        <f t="shared" si="10"/>
        <v>29999.995200000001</v>
      </c>
      <c r="I692" s="4"/>
      <c r="J692" s="4"/>
    </row>
    <row r="693" spans="1:10">
      <c r="A693" s="1">
        <v>693</v>
      </c>
      <c r="B693" s="1" t="s">
        <v>944</v>
      </c>
      <c r="C693" s="9">
        <v>45169</v>
      </c>
      <c r="D693" s="1" t="s">
        <v>39</v>
      </c>
      <c r="E693" s="1">
        <v>91390</v>
      </c>
      <c r="F693" s="4">
        <v>41596.637999999999</v>
      </c>
      <c r="G693" s="4">
        <f t="shared" si="9"/>
        <v>7903.3612199999998</v>
      </c>
      <c r="H693" s="4">
        <f t="shared" si="10"/>
        <v>49499.999219999998</v>
      </c>
      <c r="I693" s="4"/>
      <c r="J693" s="4"/>
    </row>
    <row r="694" spans="1:10">
      <c r="A694" s="1">
        <v>694</v>
      </c>
      <c r="B694" s="1" t="s">
        <v>945</v>
      </c>
      <c r="C694" s="9">
        <v>45172</v>
      </c>
      <c r="D694" s="1" t="s">
        <v>39</v>
      </c>
      <c r="E694" s="1">
        <v>91391</v>
      </c>
      <c r="F694" s="4">
        <v>27731.09</v>
      </c>
      <c r="G694" s="4">
        <f t="shared" si="9"/>
        <v>5268.9071000000004</v>
      </c>
      <c r="H694" s="4">
        <f t="shared" si="10"/>
        <v>32999.997100000001</v>
      </c>
      <c r="I694" s="4"/>
      <c r="J694" s="4"/>
    </row>
    <row r="695" spans="1:10">
      <c r="A695" s="1">
        <v>695</v>
      </c>
      <c r="B695" s="1" t="s">
        <v>946</v>
      </c>
      <c r="C695" s="9">
        <v>45178</v>
      </c>
      <c r="D695" s="1" t="s">
        <v>39</v>
      </c>
      <c r="E695" s="1">
        <v>91392</v>
      </c>
      <c r="F695" s="4">
        <v>34453.78</v>
      </c>
      <c r="G695" s="4">
        <f t="shared" si="9"/>
        <v>6546.2182000000003</v>
      </c>
      <c r="H695" s="4">
        <f t="shared" si="10"/>
        <v>40999.998200000002</v>
      </c>
      <c r="I695" s="4"/>
      <c r="J695" s="4"/>
    </row>
    <row r="696" spans="1:10">
      <c r="A696" s="1">
        <v>696</v>
      </c>
      <c r="B696" s="1" t="s">
        <v>947</v>
      </c>
      <c r="C696" s="9">
        <v>45178</v>
      </c>
      <c r="D696" s="1" t="s">
        <v>39</v>
      </c>
      <c r="E696" s="1">
        <v>91393</v>
      </c>
      <c r="F696" s="4">
        <v>5882.35</v>
      </c>
      <c r="G696" s="4">
        <f t="shared" si="9"/>
        <v>1117.6465000000001</v>
      </c>
      <c r="H696" s="4">
        <f t="shared" si="10"/>
        <v>6999.9965000000002</v>
      </c>
      <c r="I696" s="4"/>
      <c r="J696" s="4"/>
    </row>
    <row r="697" spans="1:10">
      <c r="A697" s="1">
        <v>697</v>
      </c>
      <c r="B697" s="1" t="s">
        <v>922</v>
      </c>
      <c r="C697" s="9">
        <v>45178</v>
      </c>
      <c r="D697" s="1" t="s">
        <v>39</v>
      </c>
      <c r="E697" s="1">
        <v>91394</v>
      </c>
      <c r="F697" s="4">
        <v>21008.400000000001</v>
      </c>
      <c r="G697" s="4">
        <f t="shared" si="9"/>
        <v>3991.5960000000005</v>
      </c>
      <c r="H697" s="4">
        <f t="shared" si="10"/>
        <v>24999.996000000003</v>
      </c>
      <c r="I697" s="4"/>
      <c r="J697" s="4"/>
    </row>
    <row r="698" spans="1:10">
      <c r="A698" s="1">
        <v>698</v>
      </c>
      <c r="B698" s="1" t="s">
        <v>948</v>
      </c>
      <c r="C698" s="9">
        <v>45178</v>
      </c>
      <c r="D698" s="1" t="s">
        <v>39</v>
      </c>
      <c r="E698" s="1">
        <v>91395</v>
      </c>
      <c r="F698" s="4">
        <v>22689</v>
      </c>
      <c r="G698" s="4">
        <f t="shared" si="9"/>
        <v>4310.91</v>
      </c>
      <c r="H698" s="4">
        <f t="shared" si="10"/>
        <v>26999.91</v>
      </c>
      <c r="I698" s="4"/>
      <c r="J698" s="4"/>
    </row>
    <row r="699" spans="1:10">
      <c r="A699" s="1">
        <v>699</v>
      </c>
      <c r="B699" s="1" t="s">
        <v>949</v>
      </c>
      <c r="C699" s="9">
        <v>45184</v>
      </c>
      <c r="D699" s="1" t="s">
        <v>39</v>
      </c>
      <c r="E699" s="1">
        <v>91396</v>
      </c>
      <c r="F699" s="4">
        <v>21848.73</v>
      </c>
      <c r="G699" s="4">
        <f t="shared" si="9"/>
        <v>4151.2587000000003</v>
      </c>
      <c r="H699" s="4">
        <f t="shared" si="10"/>
        <v>25999.988700000002</v>
      </c>
      <c r="I699" s="4"/>
      <c r="J699" s="4"/>
    </row>
    <row r="700" spans="1:10">
      <c r="A700" s="1">
        <v>700</v>
      </c>
      <c r="B700" s="1" t="s">
        <v>950</v>
      </c>
      <c r="C700" s="9">
        <v>45196</v>
      </c>
      <c r="D700" s="1" t="s">
        <v>39</v>
      </c>
      <c r="E700" s="1">
        <v>91397</v>
      </c>
      <c r="F700" s="4">
        <v>33613.440000000002</v>
      </c>
      <c r="G700" s="4">
        <f t="shared" si="9"/>
        <v>6386.5536000000002</v>
      </c>
      <c r="H700" s="4">
        <f t="shared" si="10"/>
        <v>39999.993600000002</v>
      </c>
      <c r="I700" s="4"/>
      <c r="J700" s="4"/>
    </row>
    <row r="701" spans="1:10">
      <c r="A701" s="1">
        <v>701</v>
      </c>
      <c r="B701" s="1" t="s">
        <v>951</v>
      </c>
      <c r="C701" s="9">
        <v>45196</v>
      </c>
      <c r="D701" s="1" t="s">
        <v>39</v>
      </c>
      <c r="E701" s="1">
        <v>91398</v>
      </c>
      <c r="F701" s="4">
        <v>25210.080000000002</v>
      </c>
      <c r="G701" s="4">
        <f t="shared" si="9"/>
        <v>4789.9152000000004</v>
      </c>
      <c r="H701" s="4">
        <f t="shared" si="10"/>
        <v>29999.995200000001</v>
      </c>
      <c r="I701" s="4"/>
      <c r="J701" s="4"/>
    </row>
    <row r="702" spans="1:10">
      <c r="A702" s="1">
        <v>702</v>
      </c>
      <c r="B702" s="1" t="s">
        <v>952</v>
      </c>
      <c r="C702" s="9">
        <v>45196</v>
      </c>
      <c r="D702" s="1" t="s">
        <v>39</v>
      </c>
      <c r="E702" s="1">
        <v>91399</v>
      </c>
      <c r="F702" s="4">
        <v>31092.43</v>
      </c>
      <c r="G702" s="4">
        <f t="shared" si="9"/>
        <v>5907.5617000000002</v>
      </c>
      <c r="H702" s="4">
        <f t="shared" si="10"/>
        <v>36999.991699999999</v>
      </c>
      <c r="I702" s="4"/>
      <c r="J702" s="4"/>
    </row>
    <row r="703" spans="1:10">
      <c r="A703" s="1">
        <v>703</v>
      </c>
      <c r="B703" s="1" t="s">
        <v>953</v>
      </c>
      <c r="C703" s="9">
        <v>45197</v>
      </c>
      <c r="D703" s="1" t="s">
        <v>39</v>
      </c>
      <c r="E703" s="1">
        <v>91400</v>
      </c>
      <c r="F703" s="4">
        <v>44537.81</v>
      </c>
      <c r="G703" s="4">
        <f t="shared" si="9"/>
        <v>8462.1839</v>
      </c>
      <c r="H703" s="4">
        <f t="shared" si="10"/>
        <v>52999.993900000001</v>
      </c>
      <c r="I703" s="4"/>
      <c r="J703" s="4"/>
    </row>
    <row r="704" spans="1:10">
      <c r="A704" s="1">
        <v>704</v>
      </c>
      <c r="B704" s="1" t="s">
        <v>842</v>
      </c>
      <c r="C704" s="9">
        <v>45199</v>
      </c>
      <c r="D704" s="1" t="s">
        <v>39</v>
      </c>
      <c r="E704" s="1">
        <v>91401</v>
      </c>
      <c r="F704" s="4">
        <v>31092.436000000002</v>
      </c>
      <c r="G704" s="4">
        <f t="shared" si="9"/>
        <v>5907.5628400000005</v>
      </c>
      <c r="H704" s="4">
        <f t="shared" si="10"/>
        <v>36999.99884</v>
      </c>
      <c r="I704" s="4"/>
      <c r="J704" s="4"/>
    </row>
    <row r="705" spans="1:10">
      <c r="A705" s="1">
        <v>705</v>
      </c>
      <c r="B705" s="1" t="s">
        <v>954</v>
      </c>
      <c r="C705" s="9">
        <v>45199</v>
      </c>
      <c r="D705" s="1" t="s">
        <v>39</v>
      </c>
      <c r="E705" s="1">
        <v>91402</v>
      </c>
      <c r="F705" s="4">
        <v>35714.28</v>
      </c>
      <c r="G705" s="4">
        <f t="shared" si="9"/>
        <v>6785.7132000000001</v>
      </c>
      <c r="H705" s="4">
        <f t="shared" si="10"/>
        <v>42499.993199999997</v>
      </c>
      <c r="I705" s="4"/>
      <c r="J705" s="4"/>
    </row>
    <row r="706" spans="1:10">
      <c r="A706" s="1">
        <v>706</v>
      </c>
      <c r="B706" s="1" t="s">
        <v>947</v>
      </c>
      <c r="C706" s="9">
        <v>45200</v>
      </c>
      <c r="D706" s="1" t="s">
        <v>39</v>
      </c>
      <c r="E706" s="1">
        <v>91403</v>
      </c>
      <c r="F706" s="4">
        <v>5882.35</v>
      </c>
      <c r="G706" s="4">
        <f t="shared" si="9"/>
        <v>1117.6465000000001</v>
      </c>
      <c r="H706" s="4">
        <f t="shared" si="10"/>
        <v>6999.9965000000002</v>
      </c>
      <c r="I706" s="4"/>
      <c r="J706" s="4"/>
    </row>
    <row r="707" spans="1:10">
      <c r="A707" s="1">
        <v>707</v>
      </c>
      <c r="B707" s="1" t="s">
        <v>955</v>
      </c>
      <c r="C707" s="9">
        <v>45207</v>
      </c>
      <c r="D707" s="1" t="s">
        <v>39</v>
      </c>
      <c r="E707" s="1">
        <v>91404</v>
      </c>
      <c r="F707" s="4">
        <v>27731.09</v>
      </c>
      <c r="G707" s="4">
        <f t="shared" si="9"/>
        <v>5268.9071000000004</v>
      </c>
      <c r="H707" s="4">
        <f t="shared" si="10"/>
        <v>32999.997100000001</v>
      </c>
      <c r="I707" s="4"/>
      <c r="J707" s="4"/>
    </row>
    <row r="708" spans="1:10">
      <c r="A708" s="1">
        <v>708</v>
      </c>
      <c r="B708" s="1" t="s">
        <v>956</v>
      </c>
      <c r="C708" s="9">
        <v>45208</v>
      </c>
      <c r="D708" s="1" t="s">
        <v>39</v>
      </c>
      <c r="E708" s="1">
        <v>91409</v>
      </c>
      <c r="F708" s="4">
        <v>26890.76</v>
      </c>
      <c r="G708" s="4">
        <f t="shared" si="9"/>
        <v>5109.2443999999996</v>
      </c>
      <c r="H708" s="4">
        <f t="shared" si="10"/>
        <v>32000.004399999998</v>
      </c>
      <c r="I708" s="4"/>
      <c r="J708" s="4"/>
    </row>
    <row r="709" spans="1:10">
      <c r="A709" s="1">
        <v>709</v>
      </c>
      <c r="B709" s="1" t="s">
        <v>957</v>
      </c>
      <c r="C709" s="9">
        <v>45210</v>
      </c>
      <c r="D709" s="1" t="s">
        <v>39</v>
      </c>
      <c r="E709" s="1">
        <v>91405</v>
      </c>
      <c r="F709" s="4">
        <v>117647.05</v>
      </c>
      <c r="G709" s="4">
        <f t="shared" si="9"/>
        <v>22352.9395</v>
      </c>
      <c r="H709" s="4">
        <f t="shared" si="10"/>
        <v>139999.9895</v>
      </c>
      <c r="I709" s="4"/>
      <c r="J709" s="4"/>
    </row>
    <row r="710" spans="1:10">
      <c r="A710" s="1">
        <v>710</v>
      </c>
      <c r="B710" s="1" t="s">
        <v>957</v>
      </c>
      <c r="C710" s="9">
        <v>45214</v>
      </c>
      <c r="D710" s="1" t="s">
        <v>39</v>
      </c>
      <c r="E710" s="1">
        <v>91406</v>
      </c>
      <c r="F710" s="4">
        <v>25210.080000000002</v>
      </c>
      <c r="G710" s="4">
        <f t="shared" si="9"/>
        <v>4789.9152000000004</v>
      </c>
      <c r="H710" s="4">
        <f t="shared" si="10"/>
        <v>29999.995200000001</v>
      </c>
      <c r="I710" s="4"/>
      <c r="J710" s="4"/>
    </row>
    <row r="711" spans="1:10">
      <c r="A711" s="1">
        <v>711</v>
      </c>
      <c r="B711" s="1" t="s">
        <v>958</v>
      </c>
      <c r="C711" s="9">
        <v>45214</v>
      </c>
      <c r="D711" s="1" t="s">
        <v>39</v>
      </c>
      <c r="E711" s="1">
        <v>91407</v>
      </c>
      <c r="F711" s="4">
        <v>31092.43</v>
      </c>
      <c r="G711" s="4">
        <f t="shared" si="9"/>
        <v>5907.5617000000002</v>
      </c>
      <c r="H711" s="4">
        <f t="shared" si="10"/>
        <v>36999.991699999999</v>
      </c>
      <c r="I711" s="4"/>
      <c r="J711" s="4"/>
    </row>
    <row r="712" spans="1:10">
      <c r="A712" s="1">
        <v>712</v>
      </c>
      <c r="B712" s="1" t="s">
        <v>959</v>
      </c>
      <c r="C712" s="9">
        <v>45214</v>
      </c>
      <c r="D712" s="1" t="s">
        <v>39</v>
      </c>
      <c r="E712" s="1">
        <v>91408</v>
      </c>
      <c r="F712" s="4">
        <v>44117.646999999997</v>
      </c>
      <c r="G712" s="4">
        <f t="shared" si="9"/>
        <v>8382.3529299999991</v>
      </c>
      <c r="H712" s="4">
        <f t="shared" si="10"/>
        <v>52499.999929999998</v>
      </c>
      <c r="I712" s="4"/>
      <c r="J712" s="4"/>
    </row>
    <row r="713" spans="1:10">
      <c r="A713" s="1">
        <v>713</v>
      </c>
      <c r="B713" s="1" t="s">
        <v>960</v>
      </c>
      <c r="C713" s="9">
        <v>45214</v>
      </c>
      <c r="D713" s="1" t="s">
        <v>759</v>
      </c>
      <c r="E713" s="1">
        <v>20</v>
      </c>
      <c r="F713" s="4">
        <v>4201.68</v>
      </c>
      <c r="G713" s="4">
        <f t="shared" si="9"/>
        <v>798.31920000000002</v>
      </c>
      <c r="H713" s="4">
        <f t="shared" si="10"/>
        <v>4999.9992000000002</v>
      </c>
      <c r="I713" s="4"/>
      <c r="J713" s="4"/>
    </row>
    <row r="714" spans="1:10">
      <c r="A714" s="1">
        <v>714</v>
      </c>
      <c r="B714" s="1" t="s">
        <v>961</v>
      </c>
      <c r="C714" s="9">
        <v>45220</v>
      </c>
      <c r="D714" s="1" t="s">
        <v>39</v>
      </c>
      <c r="E714" s="1">
        <v>91410</v>
      </c>
      <c r="F714" s="4">
        <v>22689.07</v>
      </c>
      <c r="G714" s="4">
        <f t="shared" si="9"/>
        <v>4310.9233000000004</v>
      </c>
      <c r="H714" s="4">
        <f t="shared" si="10"/>
        <v>26999.993300000002</v>
      </c>
      <c r="I714" s="4"/>
      <c r="J714" s="4"/>
    </row>
    <row r="715" spans="1:10">
      <c r="A715" s="1">
        <v>715</v>
      </c>
      <c r="B715" s="1" t="s">
        <v>962</v>
      </c>
      <c r="C715" s="9">
        <v>45220</v>
      </c>
      <c r="D715" s="1" t="s">
        <v>39</v>
      </c>
      <c r="E715" s="1">
        <v>91411</v>
      </c>
      <c r="F715" s="4">
        <v>36974.788999999997</v>
      </c>
      <c r="G715" s="4">
        <f t="shared" si="9"/>
        <v>7025.2099099999996</v>
      </c>
      <c r="H715" s="4">
        <f t="shared" si="10"/>
        <v>43999.998909999995</v>
      </c>
      <c r="I715" s="4"/>
      <c r="J715" s="4"/>
    </row>
    <row r="716" spans="1:10">
      <c r="A716" s="1">
        <v>716</v>
      </c>
      <c r="B716" s="1" t="s">
        <v>963</v>
      </c>
      <c r="C716" s="9">
        <v>45220</v>
      </c>
      <c r="D716" s="1" t="s">
        <v>39</v>
      </c>
      <c r="E716" s="1">
        <v>91412</v>
      </c>
      <c r="F716" s="4">
        <v>42016.81</v>
      </c>
      <c r="G716" s="4">
        <f t="shared" si="9"/>
        <v>7983.1938999999993</v>
      </c>
      <c r="H716" s="4">
        <f t="shared" si="10"/>
        <v>50000.003899999996</v>
      </c>
      <c r="I716" s="4"/>
      <c r="J716" s="4"/>
    </row>
    <row r="717" spans="1:10">
      <c r="A717" s="1">
        <v>717</v>
      </c>
      <c r="B717" s="1" t="s">
        <v>964</v>
      </c>
      <c r="C717" s="9">
        <v>45220</v>
      </c>
      <c r="D717" s="1" t="s">
        <v>39</v>
      </c>
      <c r="E717" s="1">
        <v>91413</v>
      </c>
      <c r="F717" s="4">
        <v>33613.449999999997</v>
      </c>
      <c r="G717" s="4">
        <f t="shared" si="9"/>
        <v>6386.5554999999995</v>
      </c>
      <c r="H717" s="4">
        <f t="shared" si="10"/>
        <v>40000.005499999999</v>
      </c>
      <c r="I717" s="4"/>
      <c r="J717" s="4"/>
    </row>
    <row r="718" spans="1:10">
      <c r="A718" s="1">
        <v>718</v>
      </c>
      <c r="B718" s="1" t="s">
        <v>965</v>
      </c>
      <c r="C718" s="9">
        <v>45220</v>
      </c>
      <c r="D718" s="1" t="s">
        <v>39</v>
      </c>
      <c r="E718" s="1">
        <v>91414</v>
      </c>
      <c r="F718" s="4">
        <v>19327.73</v>
      </c>
      <c r="G718" s="4">
        <f t="shared" si="9"/>
        <v>3672.2687000000001</v>
      </c>
      <c r="H718" s="4">
        <f t="shared" si="10"/>
        <v>22999.9987</v>
      </c>
      <c r="I718" s="4"/>
      <c r="J718" s="4"/>
    </row>
    <row r="719" spans="1:10">
      <c r="A719" s="1">
        <v>719</v>
      </c>
      <c r="B719" s="1" t="s">
        <v>966</v>
      </c>
      <c r="C719" s="9">
        <v>45220</v>
      </c>
      <c r="D719" s="1" t="s">
        <v>39</v>
      </c>
      <c r="E719" s="1">
        <v>91415</v>
      </c>
      <c r="F719" s="4">
        <v>25210.080000000002</v>
      </c>
      <c r="G719" s="4">
        <f t="shared" si="9"/>
        <v>4789.9152000000004</v>
      </c>
      <c r="H719" s="4">
        <f t="shared" si="10"/>
        <v>29999.995200000001</v>
      </c>
      <c r="I719" s="4"/>
      <c r="J719" s="4"/>
    </row>
    <row r="720" spans="1:10">
      <c r="A720" s="1">
        <v>720</v>
      </c>
      <c r="B720" s="1" t="s">
        <v>967</v>
      </c>
      <c r="C720" s="9">
        <v>45224</v>
      </c>
      <c r="D720" s="1" t="s">
        <v>39</v>
      </c>
      <c r="E720" s="1">
        <v>91416</v>
      </c>
      <c r="F720" s="4">
        <v>26890.75</v>
      </c>
      <c r="G720" s="4">
        <f t="shared" si="9"/>
        <v>5109.2425000000003</v>
      </c>
      <c r="H720" s="4">
        <f t="shared" si="10"/>
        <v>31999.9925</v>
      </c>
      <c r="I720" s="4"/>
      <c r="J720" s="4"/>
    </row>
    <row r="721" spans="1:10">
      <c r="A721" s="1">
        <v>721</v>
      </c>
      <c r="B721" s="1" t="s">
        <v>968</v>
      </c>
      <c r="C721" s="9">
        <v>45224</v>
      </c>
      <c r="D721" s="1" t="s">
        <v>39</v>
      </c>
      <c r="E721" s="1">
        <v>91421</v>
      </c>
      <c r="F721" s="4">
        <v>31092.43</v>
      </c>
      <c r="G721" s="4">
        <f t="shared" si="9"/>
        <v>5907.5617000000002</v>
      </c>
      <c r="H721" s="4">
        <f t="shared" si="10"/>
        <v>36999.991699999999</v>
      </c>
      <c r="I721" s="4"/>
      <c r="J721" s="4"/>
    </row>
    <row r="722" spans="1:10">
      <c r="A722" s="1">
        <v>722</v>
      </c>
      <c r="B722" s="1" t="s">
        <v>969</v>
      </c>
      <c r="C722" s="9">
        <v>45224</v>
      </c>
      <c r="D722" s="1" t="s">
        <v>39</v>
      </c>
      <c r="E722" s="1">
        <v>91418</v>
      </c>
      <c r="F722" s="4">
        <v>48403.360000000001</v>
      </c>
      <c r="G722" s="4">
        <f t="shared" si="9"/>
        <v>9196.6383999999998</v>
      </c>
      <c r="H722" s="4">
        <f t="shared" si="10"/>
        <v>57599.998399999997</v>
      </c>
      <c r="I722" s="4"/>
      <c r="J722" s="4"/>
    </row>
    <row r="723" spans="1:10">
      <c r="A723" s="1">
        <v>723</v>
      </c>
      <c r="B723" s="1" t="s">
        <v>970</v>
      </c>
      <c r="C723" s="9">
        <v>45224</v>
      </c>
      <c r="D723" s="1" t="s">
        <v>39</v>
      </c>
      <c r="E723" s="1">
        <v>91417</v>
      </c>
      <c r="F723" s="4">
        <v>29411.759999999998</v>
      </c>
      <c r="G723" s="4">
        <f t="shared" si="9"/>
        <v>5588.2343999999994</v>
      </c>
      <c r="H723" s="4">
        <f t="shared" si="10"/>
        <v>34999.994399999996</v>
      </c>
      <c r="I723" s="4"/>
      <c r="J723" s="4"/>
    </row>
    <row r="724" spans="1:10">
      <c r="A724" s="1">
        <v>724</v>
      </c>
      <c r="B724" s="1" t="s">
        <v>971</v>
      </c>
      <c r="C724" s="9">
        <v>45225</v>
      </c>
      <c r="D724" s="1" t="s">
        <v>39</v>
      </c>
      <c r="E724" s="1">
        <v>91419</v>
      </c>
      <c r="F724" s="4">
        <v>26890.75</v>
      </c>
      <c r="G724" s="4">
        <f t="shared" si="9"/>
        <v>5109.2425000000003</v>
      </c>
      <c r="H724" s="4">
        <f t="shared" si="10"/>
        <v>31999.9925</v>
      </c>
      <c r="I724" s="4"/>
      <c r="J724" s="4"/>
    </row>
    <row r="725" spans="1:10">
      <c r="A725" s="1">
        <v>725</v>
      </c>
      <c r="B725" s="1" t="s">
        <v>972</v>
      </c>
      <c r="C725" s="9">
        <v>45226</v>
      </c>
      <c r="D725" s="1" t="s">
        <v>39</v>
      </c>
      <c r="E725" s="1">
        <v>91420</v>
      </c>
      <c r="F725" s="4">
        <v>20168.060000000001</v>
      </c>
      <c r="G725" s="4">
        <f t="shared" si="9"/>
        <v>3831.9314000000004</v>
      </c>
      <c r="H725" s="4">
        <f t="shared" si="10"/>
        <v>23999.991400000003</v>
      </c>
      <c r="I725" s="4"/>
      <c r="J725" s="4"/>
    </row>
    <row r="726" spans="1:10">
      <c r="A726" s="1">
        <v>726</v>
      </c>
      <c r="B726" s="1" t="s">
        <v>973</v>
      </c>
      <c r="C726" s="9">
        <v>45232</v>
      </c>
      <c r="D726" s="1" t="s">
        <v>39</v>
      </c>
      <c r="E726" s="1">
        <v>91422</v>
      </c>
      <c r="F726" s="4">
        <v>21008.400000000001</v>
      </c>
      <c r="G726" s="4">
        <f t="shared" si="9"/>
        <v>3991.5960000000005</v>
      </c>
      <c r="H726" s="4">
        <f t="shared" si="10"/>
        <v>24999.996000000003</v>
      </c>
      <c r="I726" s="4"/>
      <c r="J726" s="4"/>
    </row>
    <row r="727" spans="1:10">
      <c r="A727" s="1">
        <v>727</v>
      </c>
      <c r="B727" s="1" t="s">
        <v>974</v>
      </c>
      <c r="C727" s="9">
        <v>45233</v>
      </c>
      <c r="D727" s="1"/>
      <c r="F727" s="4">
        <v>75630.25</v>
      </c>
      <c r="G727" s="4">
        <f t="shared" si="9"/>
        <v>14369.747499999999</v>
      </c>
      <c r="H727" s="4">
        <f t="shared" si="10"/>
        <v>89999.997499999998</v>
      </c>
      <c r="I727" s="4"/>
      <c r="J727" s="4"/>
    </row>
    <row r="728" spans="1:10">
      <c r="A728" s="1">
        <v>728</v>
      </c>
      <c r="B728" s="1" t="s">
        <v>705</v>
      </c>
      <c r="C728" s="9">
        <v>45235</v>
      </c>
      <c r="D728" s="1" t="s">
        <v>39</v>
      </c>
      <c r="E728" s="1">
        <v>91423</v>
      </c>
      <c r="F728" s="4">
        <v>31092.43</v>
      </c>
      <c r="G728" s="4">
        <f t="shared" si="9"/>
        <v>5907.5617000000002</v>
      </c>
      <c r="H728" s="4">
        <f t="shared" si="10"/>
        <v>36999.991699999999</v>
      </c>
      <c r="I728" s="4"/>
      <c r="J728" s="4"/>
    </row>
    <row r="729" spans="1:10">
      <c r="A729" s="1">
        <v>729</v>
      </c>
      <c r="B729" s="1" t="s">
        <v>975</v>
      </c>
      <c r="C729" s="9"/>
      <c r="D729" s="1" t="s">
        <v>39</v>
      </c>
      <c r="E729" s="1">
        <v>91424</v>
      </c>
      <c r="F729" s="4"/>
      <c r="G729" s="4">
        <f t="shared" si="9"/>
        <v>0</v>
      </c>
      <c r="H729" s="4">
        <f t="shared" si="10"/>
        <v>0</v>
      </c>
      <c r="I729" s="4"/>
      <c r="J729" s="4"/>
    </row>
    <row r="730" spans="1:10">
      <c r="A730" s="1">
        <v>730</v>
      </c>
      <c r="B730" s="1" t="s">
        <v>976</v>
      </c>
      <c r="C730" s="9">
        <v>45236</v>
      </c>
      <c r="D730" s="1" t="s">
        <v>39</v>
      </c>
      <c r="E730" s="1">
        <v>91425</v>
      </c>
      <c r="F730" s="4">
        <v>31092.43</v>
      </c>
      <c r="G730" s="4">
        <f t="shared" si="9"/>
        <v>5907.5617000000002</v>
      </c>
      <c r="H730" s="4">
        <f t="shared" si="10"/>
        <v>36999.991699999999</v>
      </c>
      <c r="I730" s="4"/>
      <c r="J730" s="4"/>
    </row>
    <row r="731" spans="1:10">
      <c r="A731" s="1">
        <v>731</v>
      </c>
      <c r="B731" s="1" t="s">
        <v>977</v>
      </c>
      <c r="C731" s="9">
        <v>45238</v>
      </c>
      <c r="D731" s="1" t="s">
        <v>39</v>
      </c>
      <c r="E731" s="1">
        <v>91426</v>
      </c>
      <c r="F731" s="4">
        <v>6302.52</v>
      </c>
      <c r="G731" s="4">
        <f t="shared" si="9"/>
        <v>1197.4788000000001</v>
      </c>
      <c r="H731" s="4">
        <f t="shared" si="10"/>
        <v>7499.9988000000003</v>
      </c>
      <c r="I731" s="4"/>
      <c r="J731" s="4"/>
    </row>
    <row r="732" spans="1:10">
      <c r="A732" s="1">
        <v>732</v>
      </c>
      <c r="B732" s="1" t="s">
        <v>978</v>
      </c>
      <c r="C732" s="9">
        <v>45239</v>
      </c>
      <c r="D732" s="1" t="s">
        <v>39</v>
      </c>
      <c r="E732" s="1">
        <v>91427</v>
      </c>
      <c r="F732" s="4">
        <v>21008.400000000001</v>
      </c>
      <c r="G732" s="4">
        <f t="shared" si="9"/>
        <v>3991.5960000000005</v>
      </c>
      <c r="H732" s="4">
        <f t="shared" si="10"/>
        <v>24999.996000000003</v>
      </c>
      <c r="I732" s="4"/>
      <c r="J732" s="4"/>
    </row>
    <row r="733" spans="1:10">
      <c r="A733" s="1">
        <v>733</v>
      </c>
      <c r="B733" s="1" t="s">
        <v>979</v>
      </c>
      <c r="C733" s="9">
        <v>45239</v>
      </c>
      <c r="D733" s="1" t="s">
        <v>39</v>
      </c>
      <c r="E733" s="1">
        <v>91428</v>
      </c>
      <c r="F733" s="4">
        <v>25210.080000000002</v>
      </c>
      <c r="G733" s="4">
        <f t="shared" si="9"/>
        <v>4789.9152000000004</v>
      </c>
      <c r="H733" s="4">
        <f t="shared" si="10"/>
        <v>29999.995200000001</v>
      </c>
      <c r="I733" s="4"/>
      <c r="J733" s="4"/>
    </row>
    <row r="734" spans="1:10">
      <c r="A734" s="1">
        <v>734</v>
      </c>
      <c r="B734" s="1" t="s">
        <v>980</v>
      </c>
      <c r="C734" s="9">
        <v>45242</v>
      </c>
      <c r="D734" s="1" t="s">
        <v>759</v>
      </c>
      <c r="E734" s="1">
        <v>21</v>
      </c>
      <c r="F734" s="4">
        <v>4201.68</v>
      </c>
      <c r="G734" s="4">
        <f t="shared" si="9"/>
        <v>798.31920000000002</v>
      </c>
      <c r="H734" s="4">
        <f t="shared" si="10"/>
        <v>4999.9992000000002</v>
      </c>
      <c r="I734" s="4"/>
      <c r="J734" s="4"/>
    </row>
    <row r="735" spans="1:10">
      <c r="A735" s="1">
        <v>735</v>
      </c>
      <c r="B735" s="1" t="s">
        <v>981</v>
      </c>
      <c r="C735" s="9">
        <v>45242</v>
      </c>
      <c r="D735" s="1" t="s">
        <v>39</v>
      </c>
      <c r="E735" s="1">
        <v>91429</v>
      </c>
      <c r="F735" s="4">
        <v>26890.76</v>
      </c>
      <c r="G735" s="4">
        <f t="shared" si="9"/>
        <v>5109.2443999999996</v>
      </c>
      <c r="H735" s="4">
        <f t="shared" si="10"/>
        <v>32000.004399999998</v>
      </c>
      <c r="I735" s="4"/>
      <c r="J735" s="4"/>
    </row>
    <row r="736" spans="1:10">
      <c r="A736" s="1">
        <v>736</v>
      </c>
      <c r="B736" s="1" t="s">
        <v>982</v>
      </c>
      <c r="C736" s="9">
        <v>45242</v>
      </c>
      <c r="D736" s="1" t="s">
        <v>39</v>
      </c>
      <c r="E736" s="1">
        <v>91430</v>
      </c>
      <c r="F736" s="4">
        <v>27731.09</v>
      </c>
      <c r="G736" s="4">
        <f t="shared" si="9"/>
        <v>5268.9071000000004</v>
      </c>
      <c r="H736" s="4">
        <f t="shared" si="10"/>
        <v>32999.997100000001</v>
      </c>
      <c r="I736" s="4"/>
      <c r="J736" s="4"/>
    </row>
    <row r="737" spans="1:10">
      <c r="A737" s="1">
        <v>737</v>
      </c>
      <c r="B737" s="1" t="s">
        <v>983</v>
      </c>
      <c r="C737" s="9">
        <v>45242</v>
      </c>
      <c r="D737" s="1" t="s">
        <v>39</v>
      </c>
      <c r="E737" s="1">
        <v>91431</v>
      </c>
      <c r="F737" s="4">
        <v>25210.080000000002</v>
      </c>
      <c r="G737" s="4">
        <f t="shared" si="9"/>
        <v>4789.9152000000004</v>
      </c>
      <c r="H737" s="4">
        <f t="shared" si="10"/>
        <v>29999.995200000001</v>
      </c>
      <c r="I737" s="4"/>
      <c r="J737" s="4"/>
    </row>
    <row r="738" spans="1:10">
      <c r="A738" s="1">
        <v>738</v>
      </c>
      <c r="B738" s="1" t="s">
        <v>984</v>
      </c>
      <c r="C738" s="9">
        <v>45246</v>
      </c>
      <c r="D738" s="1" t="s">
        <v>39</v>
      </c>
      <c r="E738" s="1">
        <v>91432</v>
      </c>
      <c r="F738" s="4">
        <v>8403.36</v>
      </c>
      <c r="G738" s="4">
        <f t="shared" si="9"/>
        <v>1596.6384</v>
      </c>
      <c r="H738" s="4">
        <f t="shared" si="10"/>
        <v>9999.9984000000004</v>
      </c>
      <c r="I738" s="4"/>
      <c r="J738" s="4"/>
    </row>
    <row r="739" spans="1:10">
      <c r="A739" s="1">
        <v>739</v>
      </c>
      <c r="B739" s="1" t="s">
        <v>985</v>
      </c>
      <c r="C739" s="9">
        <v>45248</v>
      </c>
      <c r="D739" s="1" t="s">
        <v>39</v>
      </c>
      <c r="E739" s="1">
        <v>91433</v>
      </c>
      <c r="F739" s="4">
        <v>42016.81</v>
      </c>
      <c r="G739" s="4">
        <f t="shared" si="9"/>
        <v>7983.1938999999993</v>
      </c>
      <c r="H739" s="4">
        <f t="shared" si="10"/>
        <v>50000.003899999996</v>
      </c>
      <c r="I739" s="4"/>
      <c r="J739" s="4"/>
    </row>
    <row r="740" spans="1:10">
      <c r="A740" s="1">
        <v>740</v>
      </c>
      <c r="B740" s="1" t="s">
        <v>986</v>
      </c>
      <c r="C740" s="9">
        <v>45248</v>
      </c>
      <c r="D740" s="1" t="s">
        <v>39</v>
      </c>
      <c r="E740" s="1">
        <v>91434</v>
      </c>
      <c r="F740" s="4">
        <v>31092.44</v>
      </c>
      <c r="G740" s="4">
        <f t="shared" si="9"/>
        <v>5907.5635999999995</v>
      </c>
      <c r="H740" s="4">
        <f t="shared" si="10"/>
        <v>37000.003599999996</v>
      </c>
      <c r="I740" s="4"/>
      <c r="J740" s="4"/>
    </row>
    <row r="741" spans="1:10">
      <c r="A741" s="1">
        <v>741</v>
      </c>
      <c r="B741" s="1" t="s">
        <v>987</v>
      </c>
      <c r="C741" s="9">
        <v>45248</v>
      </c>
      <c r="D741" s="1" t="s">
        <v>39</v>
      </c>
      <c r="E741" s="1">
        <v>91435</v>
      </c>
      <c r="F741" s="4">
        <v>50420.17</v>
      </c>
      <c r="G741" s="4">
        <f t="shared" si="9"/>
        <v>9579.8323</v>
      </c>
      <c r="H741" s="4">
        <f t="shared" si="10"/>
        <v>60000.0023</v>
      </c>
      <c r="I741" s="4"/>
      <c r="J741" s="4"/>
    </row>
    <row r="742" spans="1:10">
      <c r="A742" s="1">
        <v>742</v>
      </c>
      <c r="B742" s="1" t="s">
        <v>988</v>
      </c>
      <c r="C742" s="9">
        <v>45250</v>
      </c>
      <c r="D742" s="1" t="s">
        <v>39</v>
      </c>
      <c r="E742" s="1">
        <v>91436</v>
      </c>
      <c r="F742" s="4">
        <v>21008</v>
      </c>
      <c r="G742" s="4">
        <f t="shared" si="9"/>
        <v>3991.52</v>
      </c>
      <c r="H742" s="4">
        <f t="shared" si="10"/>
        <v>24999.52</v>
      </c>
      <c r="I742" s="4"/>
      <c r="J742" s="4"/>
    </row>
    <row r="743" spans="1:10">
      <c r="A743" s="1">
        <v>743</v>
      </c>
      <c r="B743" s="1" t="s">
        <v>290</v>
      </c>
      <c r="C743" s="9">
        <v>45252</v>
      </c>
      <c r="D743" s="1" t="s">
        <v>39</v>
      </c>
      <c r="E743" s="1">
        <v>91437</v>
      </c>
      <c r="F743" s="4">
        <v>21008</v>
      </c>
      <c r="G743" s="4">
        <f t="shared" si="9"/>
        <v>3991.52</v>
      </c>
      <c r="H743" s="4">
        <f t="shared" si="10"/>
        <v>24999.52</v>
      </c>
      <c r="I743" s="4"/>
      <c r="J743" s="4"/>
    </row>
    <row r="744" spans="1:10">
      <c r="A744" s="1">
        <v>744</v>
      </c>
      <c r="B744" s="1" t="s">
        <v>989</v>
      </c>
      <c r="C744" s="9">
        <v>45253</v>
      </c>
      <c r="D744" s="1" t="s">
        <v>39</v>
      </c>
      <c r="E744" s="1">
        <v>91438</v>
      </c>
      <c r="F744" s="4">
        <v>31512.6</v>
      </c>
      <c r="G744" s="4">
        <f t="shared" si="9"/>
        <v>5987.3940000000002</v>
      </c>
      <c r="H744" s="4">
        <f t="shared" si="10"/>
        <v>37499.993999999999</v>
      </c>
      <c r="I744" s="4"/>
      <c r="J744" s="4"/>
    </row>
    <row r="745" spans="1:10">
      <c r="A745" s="1">
        <v>745</v>
      </c>
      <c r="B745" s="1" t="s">
        <v>990</v>
      </c>
      <c r="C745" s="9">
        <v>45253</v>
      </c>
      <c r="D745" s="1" t="s">
        <v>759</v>
      </c>
      <c r="E745" s="1">
        <v>22</v>
      </c>
      <c r="F745" s="4">
        <v>4202</v>
      </c>
      <c r="G745" s="4">
        <f t="shared" si="9"/>
        <v>798.38</v>
      </c>
      <c r="H745" s="4">
        <f t="shared" si="10"/>
        <v>5000.38</v>
      </c>
      <c r="I745" s="4"/>
      <c r="J745" s="4"/>
    </row>
    <row r="746" spans="1:10">
      <c r="A746" s="1">
        <v>746</v>
      </c>
      <c r="B746" s="1" t="s">
        <v>991</v>
      </c>
      <c r="C746" s="9">
        <v>45254</v>
      </c>
      <c r="D746" s="1" t="s">
        <v>39</v>
      </c>
      <c r="E746" s="1">
        <v>91439</v>
      </c>
      <c r="F746" s="4">
        <v>21008.400000000001</v>
      </c>
      <c r="G746" s="4">
        <f t="shared" si="9"/>
        <v>3991.5960000000005</v>
      </c>
      <c r="H746" s="4">
        <f t="shared" si="10"/>
        <v>24999.996000000003</v>
      </c>
      <c r="I746" s="4"/>
      <c r="J746" s="4"/>
    </row>
    <row r="747" spans="1:10">
      <c r="A747" s="1">
        <v>747</v>
      </c>
      <c r="B747" s="1" t="s">
        <v>992</v>
      </c>
      <c r="C747" s="9">
        <v>45255</v>
      </c>
      <c r="D747" s="1" t="s">
        <v>39</v>
      </c>
      <c r="E747" s="1">
        <v>91440</v>
      </c>
      <c r="F747" s="4">
        <v>37983.19</v>
      </c>
      <c r="G747" s="4">
        <f t="shared" si="9"/>
        <v>7216.8061000000007</v>
      </c>
      <c r="H747" s="4">
        <f t="shared" si="10"/>
        <v>45199.996100000004</v>
      </c>
      <c r="I747" s="4"/>
      <c r="J747" s="4"/>
    </row>
    <row r="748" spans="1:10">
      <c r="A748" s="1">
        <v>748</v>
      </c>
      <c r="B748" s="1" t="s">
        <v>993</v>
      </c>
      <c r="C748" s="9">
        <v>45259</v>
      </c>
      <c r="D748" s="1" t="s">
        <v>39</v>
      </c>
      <c r="E748" s="1">
        <v>91441</v>
      </c>
      <c r="F748" s="4">
        <v>63445.38</v>
      </c>
      <c r="G748" s="4">
        <f t="shared" si="9"/>
        <v>12054.6222</v>
      </c>
      <c r="H748" s="4">
        <f t="shared" si="10"/>
        <v>75500.002200000003</v>
      </c>
      <c r="I748" s="4"/>
      <c r="J748" s="4"/>
    </row>
    <row r="749" spans="1:10">
      <c r="A749" s="1">
        <v>749</v>
      </c>
      <c r="B749" s="1" t="s">
        <v>994</v>
      </c>
      <c r="C749" s="9">
        <v>45259</v>
      </c>
      <c r="D749" s="1" t="s">
        <v>39</v>
      </c>
      <c r="E749" s="1">
        <v>91442</v>
      </c>
      <c r="F749" s="4">
        <v>42016.81</v>
      </c>
      <c r="G749" s="4">
        <f t="shared" si="9"/>
        <v>7983.1938999999993</v>
      </c>
      <c r="H749" s="4">
        <f t="shared" si="10"/>
        <v>50000.003899999996</v>
      </c>
      <c r="I749" s="4"/>
      <c r="J749" s="4"/>
    </row>
    <row r="750" spans="1:10">
      <c r="A750" s="1">
        <v>750</v>
      </c>
      <c r="B750" s="1" t="s">
        <v>995</v>
      </c>
      <c r="C750" s="9">
        <v>45261</v>
      </c>
      <c r="D750" s="1" t="s">
        <v>39</v>
      </c>
      <c r="E750" s="1">
        <v>91443</v>
      </c>
      <c r="F750" s="4">
        <v>41596.639999999999</v>
      </c>
      <c r="G750" s="4">
        <f t="shared" si="9"/>
        <v>7903.3616000000002</v>
      </c>
      <c r="H750" s="4">
        <f t="shared" si="10"/>
        <v>49500.001600000003</v>
      </c>
      <c r="I750" s="4"/>
      <c r="J750" s="4"/>
    </row>
    <row r="751" spans="1:10">
      <c r="A751" s="1">
        <v>751</v>
      </c>
      <c r="B751" s="1" t="s">
        <v>996</v>
      </c>
      <c r="C751" s="9">
        <v>45262</v>
      </c>
      <c r="D751" s="1" t="s">
        <v>39</v>
      </c>
      <c r="E751" s="1">
        <v>91444</v>
      </c>
      <c r="F751" s="4">
        <v>54579.83</v>
      </c>
      <c r="G751" s="4">
        <f t="shared" si="9"/>
        <v>10370.1677</v>
      </c>
      <c r="H751" s="4">
        <f t="shared" si="10"/>
        <v>64949.9977</v>
      </c>
      <c r="I751" s="4"/>
      <c r="J751" s="4"/>
    </row>
    <row r="752" spans="1:10">
      <c r="A752" s="1">
        <v>752</v>
      </c>
      <c r="B752" s="1" t="s">
        <v>997</v>
      </c>
      <c r="C752" s="9">
        <v>45263</v>
      </c>
      <c r="D752" s="1" t="s">
        <v>39</v>
      </c>
      <c r="E752" s="1">
        <v>91445</v>
      </c>
      <c r="F752" s="4">
        <v>31092.44</v>
      </c>
      <c r="G752" s="4">
        <f t="shared" si="9"/>
        <v>5907.5635999999995</v>
      </c>
      <c r="H752" s="4">
        <f t="shared" si="10"/>
        <v>37000.003599999996</v>
      </c>
      <c r="I752" s="4"/>
      <c r="J752" s="4"/>
    </row>
    <row r="753" spans="1:10">
      <c r="A753" s="1">
        <v>753</v>
      </c>
      <c r="B753" s="1" t="s">
        <v>998</v>
      </c>
      <c r="C753" s="9">
        <v>45263</v>
      </c>
      <c r="D753" s="1" t="s">
        <v>39</v>
      </c>
      <c r="E753" s="1">
        <v>91446</v>
      </c>
      <c r="F753" s="4">
        <v>92436.97</v>
      </c>
      <c r="G753" s="4">
        <f t="shared" si="9"/>
        <v>17563.024300000001</v>
      </c>
      <c r="H753" s="4">
        <f t="shared" si="10"/>
        <v>109999.99430000001</v>
      </c>
      <c r="I753" s="4"/>
      <c r="J753" s="4"/>
    </row>
    <row r="754" spans="1:10">
      <c r="A754" s="1">
        <v>754</v>
      </c>
      <c r="B754" s="1" t="s">
        <v>999</v>
      </c>
      <c r="C754" s="9">
        <v>45265</v>
      </c>
      <c r="D754" s="1" t="s">
        <v>39</v>
      </c>
      <c r="E754" s="1">
        <v>91447</v>
      </c>
      <c r="F754" s="4">
        <v>62605.04</v>
      </c>
      <c r="G754" s="4">
        <f t="shared" si="9"/>
        <v>11894.9576</v>
      </c>
      <c r="H754" s="4">
        <f t="shared" si="10"/>
        <v>74499.997600000002</v>
      </c>
      <c r="I754" s="4"/>
      <c r="J754" s="4"/>
    </row>
    <row r="755" spans="1:10">
      <c r="A755" s="1">
        <v>755</v>
      </c>
      <c r="B755" s="1" t="s">
        <v>1000</v>
      </c>
      <c r="C755" s="9">
        <v>45267</v>
      </c>
      <c r="D755" s="1" t="s">
        <v>39</v>
      </c>
      <c r="E755" s="1">
        <v>91448</v>
      </c>
      <c r="F755" s="4">
        <v>21008.400000000001</v>
      </c>
      <c r="G755" s="4">
        <f t="shared" si="9"/>
        <v>3991.5960000000005</v>
      </c>
      <c r="H755" s="4">
        <f t="shared" si="10"/>
        <v>24999.996000000003</v>
      </c>
      <c r="I755" s="4"/>
      <c r="J755" s="4"/>
    </row>
    <row r="756" spans="1:10">
      <c r="A756" s="1">
        <v>756</v>
      </c>
      <c r="B756" s="1" t="s">
        <v>1001</v>
      </c>
      <c r="C756" s="9">
        <v>45270</v>
      </c>
      <c r="D756" s="1" t="s">
        <v>39</v>
      </c>
      <c r="E756" s="1">
        <v>91449</v>
      </c>
      <c r="F756" s="4">
        <v>21008.400000000001</v>
      </c>
      <c r="G756" s="4">
        <f t="shared" si="9"/>
        <v>3991.5960000000005</v>
      </c>
      <c r="H756" s="4">
        <f t="shared" si="10"/>
        <v>24999.996000000003</v>
      </c>
      <c r="I756" s="4"/>
      <c r="J756" s="4"/>
    </row>
    <row r="757" spans="1:10">
      <c r="A757" s="1">
        <v>757</v>
      </c>
      <c r="B757" s="1" t="s">
        <v>1002</v>
      </c>
      <c r="C757" s="9">
        <v>45270</v>
      </c>
      <c r="D757" s="1" t="s">
        <v>39</v>
      </c>
      <c r="E757" s="1">
        <v>91450</v>
      </c>
      <c r="F757" s="4">
        <v>8403.36</v>
      </c>
      <c r="G757" s="4">
        <f t="shared" si="9"/>
        <v>1596.6384</v>
      </c>
      <c r="H757" s="4">
        <f t="shared" si="10"/>
        <v>9999.9984000000004</v>
      </c>
      <c r="I757" s="4"/>
      <c r="J757" s="4"/>
    </row>
    <row r="758" spans="1:10">
      <c r="A758" s="1">
        <v>758</v>
      </c>
      <c r="B758" s="1" t="s">
        <v>1003</v>
      </c>
      <c r="C758" s="9">
        <v>45271</v>
      </c>
      <c r="D758" s="1" t="s">
        <v>39</v>
      </c>
      <c r="E758" s="1">
        <v>91451</v>
      </c>
      <c r="F758" s="4">
        <v>117647</v>
      </c>
      <c r="G758" s="4">
        <f t="shared" si="9"/>
        <v>22352.93</v>
      </c>
      <c r="H758" s="4">
        <f t="shared" si="10"/>
        <v>139999.93</v>
      </c>
      <c r="I758" s="4"/>
      <c r="J758" s="4"/>
    </row>
    <row r="759" spans="1:10">
      <c r="A759" s="1">
        <v>759</v>
      </c>
      <c r="B759" s="1" t="s">
        <v>1004</v>
      </c>
      <c r="C759" s="9">
        <v>45272</v>
      </c>
      <c r="D759" s="1" t="s">
        <v>39</v>
      </c>
      <c r="E759" s="1">
        <v>91452</v>
      </c>
      <c r="F759" s="4">
        <v>33613.449999999997</v>
      </c>
      <c r="G759" s="4">
        <f t="shared" si="9"/>
        <v>6386.5554999999995</v>
      </c>
      <c r="H759" s="4">
        <f t="shared" si="10"/>
        <v>40000.005499999999</v>
      </c>
      <c r="I759" s="4"/>
      <c r="J759" s="4"/>
    </row>
    <row r="760" spans="1:10">
      <c r="A760" s="1">
        <v>760</v>
      </c>
      <c r="B760" s="1" t="s">
        <v>1005</v>
      </c>
      <c r="C760" s="9">
        <v>45272</v>
      </c>
      <c r="D760" s="1" t="s">
        <v>759</v>
      </c>
      <c r="E760" s="1">
        <v>23</v>
      </c>
      <c r="F760" s="4">
        <v>4201.68</v>
      </c>
      <c r="G760" s="4">
        <f t="shared" si="9"/>
        <v>798.31920000000002</v>
      </c>
      <c r="H760" s="4">
        <f t="shared" si="10"/>
        <v>4999.9992000000002</v>
      </c>
      <c r="I760" s="4"/>
      <c r="J760" s="4"/>
    </row>
    <row r="761" spans="1:10">
      <c r="A761" s="1">
        <v>761</v>
      </c>
      <c r="B761" s="1" t="s">
        <v>741</v>
      </c>
      <c r="C761" s="9">
        <v>45274</v>
      </c>
      <c r="D761" s="1" t="s">
        <v>39</v>
      </c>
      <c r="E761" s="1">
        <v>91453</v>
      </c>
      <c r="F761" s="4">
        <v>31092.44</v>
      </c>
      <c r="G761" s="4">
        <f t="shared" si="9"/>
        <v>5907.5635999999995</v>
      </c>
      <c r="H761" s="4">
        <f t="shared" si="10"/>
        <v>37000.003599999996</v>
      </c>
      <c r="I761" s="4"/>
      <c r="J761" s="4"/>
    </row>
    <row r="762" spans="1:10">
      <c r="A762" s="1">
        <v>762</v>
      </c>
      <c r="B762" s="1" t="s">
        <v>1006</v>
      </c>
      <c r="C762" s="9">
        <v>45274</v>
      </c>
      <c r="D762" s="1" t="s">
        <v>39</v>
      </c>
      <c r="E762" s="1">
        <v>91457</v>
      </c>
      <c r="F762" s="4">
        <v>35126.050000000003</v>
      </c>
      <c r="G762" s="4">
        <f t="shared" si="9"/>
        <v>6673.9495000000006</v>
      </c>
      <c r="H762" s="4">
        <f t="shared" si="10"/>
        <v>41799.999500000005</v>
      </c>
      <c r="I762" s="4"/>
      <c r="J762" s="4"/>
    </row>
    <row r="763" spans="1:10">
      <c r="A763" s="1">
        <v>763</v>
      </c>
      <c r="B763" s="1" t="s">
        <v>1007</v>
      </c>
      <c r="C763" s="9">
        <v>45274</v>
      </c>
      <c r="D763" s="1" t="s">
        <v>12</v>
      </c>
      <c r="E763" s="1">
        <v>14</v>
      </c>
      <c r="F763" s="4">
        <v>42016.81</v>
      </c>
      <c r="G763" s="4">
        <f t="shared" si="9"/>
        <v>7983.1938999999993</v>
      </c>
      <c r="H763" s="4">
        <f t="shared" si="10"/>
        <v>50000.003899999996</v>
      </c>
      <c r="I763" s="4"/>
      <c r="J763" s="4"/>
    </row>
    <row r="764" spans="1:10">
      <c r="A764" s="1">
        <v>764</v>
      </c>
      <c r="B764" s="1" t="s">
        <v>1008</v>
      </c>
      <c r="C764" s="9">
        <v>45274</v>
      </c>
      <c r="D764" s="1" t="s">
        <v>39</v>
      </c>
      <c r="E764" s="1"/>
      <c r="F764" s="4">
        <v>176470.58</v>
      </c>
      <c r="G764" s="4">
        <f t="shared" si="9"/>
        <v>33529.410199999998</v>
      </c>
      <c r="H764" s="4">
        <f t="shared" si="10"/>
        <v>209999.9902</v>
      </c>
      <c r="I764" s="4"/>
      <c r="J764" s="4"/>
    </row>
    <row r="765" spans="1:10">
      <c r="A765" s="1">
        <v>765</v>
      </c>
      <c r="B765" s="1" t="s">
        <v>1009</v>
      </c>
      <c r="C765" s="9">
        <v>45275</v>
      </c>
      <c r="D765" s="1" t="s">
        <v>39</v>
      </c>
      <c r="E765" s="1">
        <v>91454</v>
      </c>
      <c r="F765" s="4">
        <v>98319.33</v>
      </c>
      <c r="G765" s="4">
        <f t="shared" si="9"/>
        <v>18680.672699999999</v>
      </c>
      <c r="H765" s="4">
        <f t="shared" si="10"/>
        <v>117000.0027</v>
      </c>
      <c r="I765" s="4"/>
      <c r="J765" s="4"/>
    </row>
    <row r="766" spans="1:10">
      <c r="A766" s="1">
        <v>766</v>
      </c>
      <c r="B766" s="1" t="s">
        <v>1010</v>
      </c>
      <c r="C766" s="9">
        <v>45280</v>
      </c>
      <c r="D766" s="1" t="s">
        <v>39</v>
      </c>
      <c r="E766" s="1">
        <v>91455</v>
      </c>
      <c r="F766" s="4">
        <v>8403.36</v>
      </c>
      <c r="G766" s="4">
        <f t="shared" si="9"/>
        <v>1596.6384</v>
      </c>
      <c r="H766" s="4">
        <f t="shared" si="10"/>
        <v>9999.9984000000004</v>
      </c>
      <c r="I766" s="4"/>
      <c r="J766" s="4"/>
    </row>
    <row r="767" spans="1:10">
      <c r="A767" s="1">
        <v>767</v>
      </c>
      <c r="B767" s="1" t="s">
        <v>1011</v>
      </c>
      <c r="C767" s="9">
        <v>45280</v>
      </c>
      <c r="D767" s="1" t="s">
        <v>39</v>
      </c>
      <c r="E767" s="1">
        <v>91456</v>
      </c>
      <c r="F767" s="4">
        <v>5042</v>
      </c>
      <c r="G767" s="4">
        <f t="shared" si="9"/>
        <v>957.98</v>
      </c>
      <c r="H767" s="4">
        <f t="shared" si="10"/>
        <v>5999.98</v>
      </c>
      <c r="I767" s="4"/>
      <c r="J767" s="4"/>
    </row>
    <row r="768" spans="1:10">
      <c r="A768" s="1">
        <v>768</v>
      </c>
      <c r="B768" s="1" t="s">
        <v>1012</v>
      </c>
      <c r="C768" s="9">
        <v>45285</v>
      </c>
      <c r="D768" s="1" t="s">
        <v>39</v>
      </c>
      <c r="E768" s="1">
        <v>91458</v>
      </c>
      <c r="F768" s="4">
        <v>58823.519999999997</v>
      </c>
      <c r="G768" s="4">
        <f t="shared" si="9"/>
        <v>11176.468799999999</v>
      </c>
      <c r="H768" s="4">
        <f t="shared" si="10"/>
        <v>69999.988799999992</v>
      </c>
      <c r="I768" s="4"/>
      <c r="J768" s="4"/>
    </row>
    <row r="769" spans="1:10">
      <c r="A769" s="1">
        <v>769</v>
      </c>
      <c r="B769" s="1" t="s">
        <v>1013</v>
      </c>
      <c r="C769" s="9">
        <v>45285</v>
      </c>
      <c r="D769" s="1" t="s">
        <v>12</v>
      </c>
      <c r="E769" s="1">
        <v>16</v>
      </c>
      <c r="F769" s="4">
        <v>79831.929999999993</v>
      </c>
      <c r="G769" s="4">
        <f t="shared" si="9"/>
        <v>15168.066699999999</v>
      </c>
      <c r="H769" s="4">
        <f t="shared" si="10"/>
        <v>94999.996699999989</v>
      </c>
      <c r="I769" s="4"/>
      <c r="J769" s="4"/>
    </row>
    <row r="770" spans="1:10">
      <c r="A770" s="1">
        <v>770</v>
      </c>
      <c r="B770" s="1" t="s">
        <v>1014</v>
      </c>
      <c r="C770" s="9">
        <v>45287</v>
      </c>
      <c r="D770" s="1" t="s">
        <v>39</v>
      </c>
      <c r="E770" s="1">
        <v>91459</v>
      </c>
      <c r="F770" s="4">
        <v>31092.44</v>
      </c>
      <c r="G770" s="4">
        <f t="shared" si="9"/>
        <v>5907.5635999999995</v>
      </c>
      <c r="H770" s="4">
        <f t="shared" si="10"/>
        <v>37000.003599999996</v>
      </c>
      <c r="I770" s="4"/>
      <c r="J770" s="4"/>
    </row>
    <row r="771" spans="1:10">
      <c r="A771" s="1">
        <v>771</v>
      </c>
      <c r="B771" s="1" t="s">
        <v>1015</v>
      </c>
      <c r="C771" s="9">
        <v>45289</v>
      </c>
      <c r="D771" s="1" t="s">
        <v>39</v>
      </c>
      <c r="E771" s="1">
        <v>91460</v>
      </c>
      <c r="F771" s="4">
        <v>22689.07</v>
      </c>
      <c r="G771" s="4">
        <f t="shared" si="9"/>
        <v>4310.9233000000004</v>
      </c>
      <c r="H771" s="4">
        <f t="shared" si="10"/>
        <v>26999.993300000002</v>
      </c>
      <c r="I771" s="4"/>
      <c r="J771" s="4"/>
    </row>
    <row r="772" spans="1:10">
      <c r="A772" s="1">
        <v>772</v>
      </c>
      <c r="B772" s="1" t="s">
        <v>1016</v>
      </c>
      <c r="C772" s="9">
        <v>45290</v>
      </c>
      <c r="D772" s="1" t="s">
        <v>39</v>
      </c>
      <c r="E772" s="1">
        <v>91461</v>
      </c>
      <c r="F772" s="4">
        <v>50420.167999999998</v>
      </c>
      <c r="G772" s="4">
        <f t="shared" si="9"/>
        <v>9579.8319200000005</v>
      </c>
      <c r="H772" s="4">
        <f t="shared" si="10"/>
        <v>59999.999920000002</v>
      </c>
      <c r="I772" s="4"/>
      <c r="J772" s="4"/>
    </row>
    <row r="773" spans="1:10">
      <c r="A773" s="1">
        <v>773</v>
      </c>
      <c r="B773" s="1" t="s">
        <v>1017</v>
      </c>
      <c r="C773" s="9">
        <v>45290</v>
      </c>
      <c r="D773" s="1" t="s">
        <v>39</v>
      </c>
      <c r="E773" s="1">
        <v>91462</v>
      </c>
      <c r="F773" s="4">
        <v>31092.44</v>
      </c>
      <c r="G773" s="4">
        <f t="shared" si="9"/>
        <v>5907.5635999999995</v>
      </c>
      <c r="H773" s="4">
        <f t="shared" si="10"/>
        <v>37000.003599999996</v>
      </c>
      <c r="I773" s="4"/>
      <c r="J773" s="4"/>
    </row>
    <row r="774" spans="1:10">
      <c r="A774" s="1">
        <v>774</v>
      </c>
      <c r="B774" s="1" t="s">
        <v>947</v>
      </c>
      <c r="C774" s="9">
        <v>45290</v>
      </c>
      <c r="D774" s="1" t="s">
        <v>39</v>
      </c>
      <c r="E774" s="1">
        <v>91463</v>
      </c>
      <c r="F774" s="4">
        <v>5042.01</v>
      </c>
      <c r="G774" s="4">
        <f t="shared" si="9"/>
        <v>957.9819</v>
      </c>
      <c r="H774" s="4">
        <f t="shared" si="10"/>
        <v>5999.9919</v>
      </c>
      <c r="I774" s="4"/>
      <c r="J774" s="4"/>
    </row>
    <row r="775" spans="1:10">
      <c r="A775" s="1">
        <v>775</v>
      </c>
      <c r="B775" s="1" t="s">
        <v>1018</v>
      </c>
      <c r="C775" s="9">
        <v>45293</v>
      </c>
      <c r="D775" s="1" t="s">
        <v>39</v>
      </c>
      <c r="E775" s="1">
        <v>91464</v>
      </c>
      <c r="F775" s="4">
        <v>26890.76</v>
      </c>
      <c r="G775" s="4">
        <f t="shared" si="9"/>
        <v>5109.2443999999996</v>
      </c>
      <c r="H775" s="4">
        <f t="shared" si="10"/>
        <v>32000.004399999998</v>
      </c>
      <c r="I775" s="4"/>
      <c r="J775" s="4"/>
    </row>
    <row r="776" spans="1:10">
      <c r="A776" s="1">
        <v>776</v>
      </c>
      <c r="B776" s="1" t="s">
        <v>1019</v>
      </c>
      <c r="C776" s="9">
        <v>45296</v>
      </c>
      <c r="D776" s="1" t="s">
        <v>39</v>
      </c>
      <c r="E776" s="1">
        <v>91465</v>
      </c>
      <c r="F776" s="4">
        <v>90420.17</v>
      </c>
      <c r="G776" s="4">
        <f t="shared" si="9"/>
        <v>17179.832299999998</v>
      </c>
      <c r="H776" s="4">
        <f t="shared" si="10"/>
        <v>107600.00229999999</v>
      </c>
      <c r="I776" s="4"/>
      <c r="J776" s="4"/>
    </row>
    <row r="777" spans="1:10">
      <c r="A777" s="1">
        <v>777</v>
      </c>
      <c r="B777" s="1" t="s">
        <v>1020</v>
      </c>
      <c r="C777" s="9">
        <v>45298</v>
      </c>
      <c r="D777" s="1" t="s">
        <v>39</v>
      </c>
      <c r="E777" s="1">
        <v>91466</v>
      </c>
      <c r="F777" s="4">
        <v>25210.080000000002</v>
      </c>
      <c r="G777" s="4">
        <f t="shared" si="9"/>
        <v>4789.9152000000004</v>
      </c>
      <c r="H777" s="4">
        <f t="shared" si="10"/>
        <v>29999.995200000001</v>
      </c>
      <c r="I777" s="4"/>
      <c r="J777" s="4"/>
    </row>
    <row r="778" spans="1:10">
      <c r="A778" s="1">
        <v>778</v>
      </c>
      <c r="B778" s="1" t="s">
        <v>983</v>
      </c>
      <c r="C778" s="9">
        <v>45299</v>
      </c>
      <c r="D778" s="1" t="s">
        <v>39</v>
      </c>
      <c r="E778" s="1">
        <v>91467</v>
      </c>
      <c r="F778" s="4">
        <v>26890.76</v>
      </c>
      <c r="G778" s="4">
        <f t="shared" si="9"/>
        <v>5109.2443999999996</v>
      </c>
      <c r="H778" s="4">
        <f t="shared" si="10"/>
        <v>32000.004399999998</v>
      </c>
      <c r="I778" s="4"/>
      <c r="J778" s="4"/>
    </row>
    <row r="779" spans="1:10">
      <c r="A779" s="1">
        <v>779</v>
      </c>
      <c r="B779" s="1" t="s">
        <v>1021</v>
      </c>
      <c r="C779" s="9">
        <v>45299</v>
      </c>
      <c r="D779" s="1" t="s">
        <v>39</v>
      </c>
      <c r="E779" s="1">
        <v>91468</v>
      </c>
      <c r="F779" s="4">
        <v>21008.400000000001</v>
      </c>
      <c r="G779" s="4">
        <f t="shared" si="9"/>
        <v>3991.5960000000005</v>
      </c>
      <c r="H779" s="4">
        <f t="shared" si="10"/>
        <v>24999.996000000003</v>
      </c>
      <c r="I779" s="4"/>
      <c r="J779" s="4"/>
    </row>
    <row r="780" spans="1:10">
      <c r="A780" s="1">
        <v>780</v>
      </c>
      <c r="B780" s="1" t="s">
        <v>1022</v>
      </c>
      <c r="C780" s="9">
        <v>45300</v>
      </c>
      <c r="D780" s="1" t="s">
        <v>39</v>
      </c>
      <c r="E780" s="1">
        <v>91469</v>
      </c>
      <c r="F780" s="4">
        <v>33613.449999999997</v>
      </c>
      <c r="G780" s="4">
        <f t="shared" si="9"/>
        <v>6386.5554999999995</v>
      </c>
      <c r="H780" s="4">
        <f t="shared" si="10"/>
        <v>40000.005499999999</v>
      </c>
      <c r="I780" s="4"/>
      <c r="J780" s="4"/>
    </row>
    <row r="781" spans="1:10">
      <c r="A781" s="1">
        <v>781</v>
      </c>
      <c r="B781" s="1" t="s">
        <v>1023</v>
      </c>
      <c r="C781" s="9">
        <v>45300</v>
      </c>
      <c r="D781" s="1" t="s">
        <v>39</v>
      </c>
      <c r="E781" s="1">
        <v>91470</v>
      </c>
      <c r="F781" s="4">
        <v>33613.449999999997</v>
      </c>
      <c r="G781" s="4">
        <f t="shared" si="9"/>
        <v>6386.5554999999995</v>
      </c>
      <c r="H781" s="4">
        <f t="shared" si="10"/>
        <v>40000.005499999999</v>
      </c>
      <c r="I781" s="4"/>
      <c r="J781" s="4"/>
    </row>
    <row r="782" spans="1:10">
      <c r="A782" s="1">
        <v>782</v>
      </c>
      <c r="B782" s="1" t="s">
        <v>1024</v>
      </c>
      <c r="C782" s="9">
        <v>45301</v>
      </c>
      <c r="D782" s="1" t="s">
        <v>39</v>
      </c>
      <c r="E782" s="1">
        <v>91471</v>
      </c>
      <c r="F782" s="4">
        <v>4201.68</v>
      </c>
      <c r="G782" s="4">
        <f t="shared" si="9"/>
        <v>798.31920000000002</v>
      </c>
      <c r="H782" s="4">
        <f t="shared" si="10"/>
        <v>4999.9992000000002</v>
      </c>
      <c r="I782" s="4"/>
      <c r="J782" s="4"/>
    </row>
    <row r="783" spans="1:10">
      <c r="A783" s="1">
        <v>783</v>
      </c>
      <c r="B783" s="1" t="s">
        <v>1025</v>
      </c>
      <c r="C783" s="9">
        <v>45301</v>
      </c>
      <c r="D783" s="1" t="s">
        <v>39</v>
      </c>
      <c r="E783" s="1">
        <v>91472</v>
      </c>
      <c r="F783" s="4">
        <v>54621.85</v>
      </c>
      <c r="G783" s="4">
        <f t="shared" si="9"/>
        <v>10378.1515</v>
      </c>
      <c r="H783" s="4">
        <f t="shared" si="10"/>
        <v>65000.001499999998</v>
      </c>
      <c r="I783" s="4"/>
      <c r="J783" s="4"/>
    </row>
    <row r="784" spans="1:10">
      <c r="A784" s="1">
        <v>784</v>
      </c>
      <c r="B784" s="1" t="s">
        <v>920</v>
      </c>
      <c r="C784" s="9">
        <v>45303</v>
      </c>
      <c r="D784" s="1" t="s">
        <v>39</v>
      </c>
      <c r="E784" s="1">
        <v>91473</v>
      </c>
      <c r="F784" s="4">
        <v>16806.72</v>
      </c>
      <c r="G784" s="4">
        <f t="shared" si="9"/>
        <v>3193.2768000000001</v>
      </c>
      <c r="H784" s="4">
        <f t="shared" si="10"/>
        <v>19999.996800000001</v>
      </c>
      <c r="I784" s="4"/>
      <c r="J784" s="4"/>
    </row>
    <row r="785" spans="1:10">
      <c r="A785" s="1">
        <v>785</v>
      </c>
      <c r="B785" s="1" t="s">
        <v>1026</v>
      </c>
      <c r="C785" s="9">
        <v>45305</v>
      </c>
      <c r="D785" s="1" t="s">
        <v>39</v>
      </c>
      <c r="E785" s="1">
        <v>91474</v>
      </c>
      <c r="F785" s="4">
        <v>49579.8</v>
      </c>
      <c r="G785" s="4">
        <f t="shared" si="9"/>
        <v>9420.1620000000003</v>
      </c>
      <c r="H785" s="4">
        <f t="shared" si="10"/>
        <v>58999.962</v>
      </c>
      <c r="I785" s="4"/>
      <c r="J785" s="4"/>
    </row>
    <row r="786" spans="1:10">
      <c r="A786" s="1">
        <v>786</v>
      </c>
      <c r="B786" s="1" t="s">
        <v>1027</v>
      </c>
      <c r="C786" s="9">
        <v>45308</v>
      </c>
      <c r="D786" s="1" t="s">
        <v>39</v>
      </c>
      <c r="E786" s="1">
        <v>91475</v>
      </c>
      <c r="F786" s="4">
        <v>46218.48</v>
      </c>
      <c r="G786" s="4">
        <f t="shared" si="9"/>
        <v>8781.5112000000008</v>
      </c>
      <c r="H786" s="4">
        <f t="shared" si="10"/>
        <v>54999.991200000004</v>
      </c>
      <c r="I786" s="4"/>
      <c r="J786" s="4"/>
    </row>
    <row r="787" spans="1:10">
      <c r="A787" s="1">
        <v>787</v>
      </c>
      <c r="B787" s="1" t="s">
        <v>1028</v>
      </c>
      <c r="C787" s="9">
        <v>45309</v>
      </c>
      <c r="D787" s="1" t="s">
        <v>39</v>
      </c>
      <c r="F787" s="4">
        <v>8403.36</v>
      </c>
      <c r="G787" s="4">
        <f t="shared" si="9"/>
        <v>1596.6384</v>
      </c>
      <c r="H787" s="4">
        <f t="shared" si="10"/>
        <v>9999.9984000000004</v>
      </c>
      <c r="I787" s="4"/>
      <c r="J787" s="4"/>
    </row>
    <row r="788" spans="1:10">
      <c r="A788" s="1">
        <v>788</v>
      </c>
      <c r="B788" s="1" t="s">
        <v>1029</v>
      </c>
      <c r="C788" s="9">
        <v>45310</v>
      </c>
      <c r="D788" s="1" t="s">
        <v>39</v>
      </c>
      <c r="E788" s="1">
        <v>91476</v>
      </c>
      <c r="F788" s="4">
        <v>64705.88</v>
      </c>
      <c r="G788" s="4">
        <f t="shared" si="9"/>
        <v>12294.117199999999</v>
      </c>
      <c r="H788" s="4">
        <f t="shared" si="10"/>
        <v>76999.997199999998</v>
      </c>
      <c r="I788" s="4"/>
      <c r="J788" s="4"/>
    </row>
    <row r="789" spans="1:10">
      <c r="A789" s="1">
        <v>789</v>
      </c>
      <c r="B789" s="1" t="s">
        <v>1030</v>
      </c>
      <c r="C789" s="9">
        <v>45312</v>
      </c>
      <c r="D789" s="1" t="s">
        <v>39</v>
      </c>
      <c r="E789" s="1">
        <v>91477</v>
      </c>
      <c r="F789" s="4">
        <v>54621.85</v>
      </c>
      <c r="G789" s="4">
        <f t="shared" si="9"/>
        <v>10378.1515</v>
      </c>
      <c r="H789" s="4">
        <f t="shared" si="10"/>
        <v>65000.001499999998</v>
      </c>
      <c r="I789" s="4"/>
      <c r="J789" s="4"/>
    </row>
    <row r="790" spans="1:10">
      <c r="A790" s="1">
        <v>790</v>
      </c>
      <c r="B790" s="1" t="s">
        <v>1031</v>
      </c>
      <c r="C790" s="9">
        <v>45320</v>
      </c>
      <c r="D790" s="1" t="s">
        <v>39</v>
      </c>
      <c r="E790" s="1">
        <v>91478</v>
      </c>
      <c r="F790" s="4">
        <v>21008.400000000001</v>
      </c>
      <c r="G790" s="4">
        <f t="shared" si="9"/>
        <v>3991.5960000000005</v>
      </c>
      <c r="H790" s="4">
        <f t="shared" si="10"/>
        <v>24999.996000000003</v>
      </c>
      <c r="I790" s="4"/>
      <c r="J790" s="4"/>
    </row>
    <row r="791" spans="1:10">
      <c r="A791" s="1">
        <v>791</v>
      </c>
      <c r="B791" s="1" t="s">
        <v>1032</v>
      </c>
      <c r="C791" s="9">
        <v>45320</v>
      </c>
      <c r="D791" s="1" t="s">
        <v>39</v>
      </c>
      <c r="E791" s="1">
        <v>91479</v>
      </c>
      <c r="F791" s="4">
        <v>37815.129999999997</v>
      </c>
      <c r="G791" s="4">
        <f t="shared" si="9"/>
        <v>7184.8746999999994</v>
      </c>
      <c r="H791" s="4">
        <f t="shared" si="10"/>
        <v>45000.004699999998</v>
      </c>
      <c r="I791" s="4"/>
      <c r="J791" s="4"/>
    </row>
    <row r="792" spans="1:10">
      <c r="A792" s="1">
        <v>792</v>
      </c>
      <c r="B792" s="1" t="s">
        <v>1033</v>
      </c>
      <c r="C792" s="9">
        <v>45321</v>
      </c>
      <c r="D792" s="1" t="s">
        <v>39</v>
      </c>
      <c r="E792" s="1">
        <v>91480</v>
      </c>
      <c r="F792" s="4">
        <v>37815.129999999997</v>
      </c>
      <c r="G792" s="4">
        <f t="shared" si="9"/>
        <v>7184.8746999999994</v>
      </c>
      <c r="H792" s="4">
        <f t="shared" si="10"/>
        <v>45000.004699999998</v>
      </c>
      <c r="I792" s="4"/>
      <c r="J792" s="4"/>
    </row>
    <row r="793" spans="1:10">
      <c r="A793" s="1">
        <v>793</v>
      </c>
      <c r="B793" s="1" t="s">
        <v>1034</v>
      </c>
      <c r="C793" s="9">
        <v>45321</v>
      </c>
      <c r="D793" s="1" t="s">
        <v>39</v>
      </c>
      <c r="E793" s="1">
        <v>91481</v>
      </c>
      <c r="F793" s="4">
        <v>29411.759999999998</v>
      </c>
      <c r="G793" s="4">
        <f t="shared" si="9"/>
        <v>5588.2343999999994</v>
      </c>
      <c r="H793" s="4">
        <f t="shared" si="10"/>
        <v>34999.994399999996</v>
      </c>
      <c r="I793" s="4"/>
      <c r="J793" s="4"/>
    </row>
    <row r="794" spans="1:10">
      <c r="A794" s="1">
        <v>794</v>
      </c>
      <c r="B794" s="1" t="s">
        <v>1035</v>
      </c>
      <c r="C794" s="9">
        <v>45322</v>
      </c>
      <c r="D794" s="1" t="s">
        <v>39</v>
      </c>
      <c r="E794" s="1">
        <v>91482</v>
      </c>
      <c r="F794" s="4">
        <v>28571.43</v>
      </c>
      <c r="G794" s="4">
        <f t="shared" si="9"/>
        <v>5428.5717000000004</v>
      </c>
      <c r="H794" s="4">
        <f t="shared" si="10"/>
        <v>34000.001700000001</v>
      </c>
      <c r="I794" s="4"/>
      <c r="J794" s="4"/>
    </row>
    <row r="795" spans="1:10">
      <c r="A795" s="1">
        <v>795</v>
      </c>
      <c r="B795" s="1" t="s">
        <v>1036</v>
      </c>
      <c r="C795" s="9">
        <v>45322</v>
      </c>
      <c r="D795" s="1" t="s">
        <v>39</v>
      </c>
      <c r="E795" s="1">
        <v>91483</v>
      </c>
      <c r="F795" s="4">
        <v>28571.43</v>
      </c>
      <c r="G795" s="4">
        <f t="shared" si="9"/>
        <v>5428.5717000000004</v>
      </c>
      <c r="H795" s="4">
        <f t="shared" si="10"/>
        <v>34000.001700000001</v>
      </c>
      <c r="I795" s="4"/>
      <c r="J795" s="4"/>
    </row>
    <row r="796" spans="1:10">
      <c r="A796" s="1">
        <v>796</v>
      </c>
      <c r="B796" s="1" t="s">
        <v>1037</v>
      </c>
      <c r="C796" s="9">
        <v>45323</v>
      </c>
      <c r="D796" s="1" t="s">
        <v>39</v>
      </c>
      <c r="E796" s="1">
        <v>91484</v>
      </c>
      <c r="F796" s="4">
        <v>14285.71</v>
      </c>
      <c r="G796" s="4">
        <f t="shared" si="9"/>
        <v>2714.2848999999997</v>
      </c>
      <c r="H796" s="4">
        <f t="shared" si="10"/>
        <v>16999.994899999998</v>
      </c>
      <c r="I796" s="4"/>
      <c r="J796" s="4"/>
    </row>
    <row r="797" spans="1:10">
      <c r="A797" s="1">
        <v>797</v>
      </c>
      <c r="B797" s="1" t="s">
        <v>1038</v>
      </c>
      <c r="C797" s="9">
        <v>45323</v>
      </c>
      <c r="D797" s="1" t="s">
        <v>39</v>
      </c>
      <c r="E797" s="1">
        <v>91485</v>
      </c>
      <c r="F797" s="4">
        <v>36134.449999999997</v>
      </c>
      <c r="G797" s="4">
        <f t="shared" si="9"/>
        <v>6865.5454999999993</v>
      </c>
      <c r="H797" s="4">
        <f t="shared" si="10"/>
        <v>42999.995499999997</v>
      </c>
      <c r="I797" s="4"/>
      <c r="J797" s="4"/>
    </row>
    <row r="798" spans="1:10">
      <c r="A798" s="1">
        <v>798</v>
      </c>
      <c r="B798" s="1" t="s">
        <v>1039</v>
      </c>
      <c r="C798" s="9">
        <v>45329</v>
      </c>
      <c r="D798" s="1" t="s">
        <v>39</v>
      </c>
      <c r="E798" s="1">
        <v>91486</v>
      </c>
      <c r="F798" s="4">
        <v>10084.034</v>
      </c>
      <c r="G798" s="4">
        <f t="shared" si="9"/>
        <v>1915.9664599999999</v>
      </c>
      <c r="H798" s="4">
        <f t="shared" si="10"/>
        <v>12000.000459999999</v>
      </c>
      <c r="I798" s="4"/>
      <c r="J798" s="4"/>
    </row>
    <row r="799" spans="1:10">
      <c r="A799" s="1">
        <v>799</v>
      </c>
      <c r="B799" s="1" t="s">
        <v>1040</v>
      </c>
      <c r="C799" s="9">
        <v>45334</v>
      </c>
      <c r="D799" s="1" t="s">
        <v>39</v>
      </c>
      <c r="E799" s="1">
        <v>91487</v>
      </c>
      <c r="F799" s="4">
        <v>6134.45</v>
      </c>
      <c r="G799" s="4">
        <f t="shared" si="9"/>
        <v>1165.5454999999999</v>
      </c>
      <c r="H799" s="4">
        <f t="shared" si="10"/>
        <v>7299.9955</v>
      </c>
      <c r="I799" s="4"/>
      <c r="J799" s="4"/>
    </row>
    <row r="800" spans="1:10">
      <c r="A800" s="1">
        <v>800</v>
      </c>
      <c r="B800" s="1" t="s">
        <v>1037</v>
      </c>
      <c r="C800" s="9">
        <v>45334</v>
      </c>
      <c r="D800" s="1" t="s">
        <v>39</v>
      </c>
      <c r="E800" s="1">
        <v>91488</v>
      </c>
      <c r="F800" s="4">
        <v>14285.71</v>
      </c>
      <c r="G800" s="4">
        <f t="shared" si="9"/>
        <v>2714.2848999999997</v>
      </c>
      <c r="H800" s="4">
        <f t="shared" si="10"/>
        <v>16999.994899999998</v>
      </c>
      <c r="I800" s="4"/>
      <c r="J800" s="4"/>
    </row>
    <row r="801" spans="1:10">
      <c r="A801" s="1">
        <v>801</v>
      </c>
      <c r="B801" s="1" t="s">
        <v>1041</v>
      </c>
      <c r="C801" s="9">
        <v>45340</v>
      </c>
      <c r="D801" s="1" t="s">
        <v>39</v>
      </c>
      <c r="E801" s="1">
        <v>91490</v>
      </c>
      <c r="F801" s="4">
        <v>64536.97</v>
      </c>
      <c r="G801" s="4">
        <f t="shared" si="9"/>
        <v>12262.024300000001</v>
      </c>
      <c r="H801" s="4">
        <f t="shared" si="10"/>
        <v>76798.994300000006</v>
      </c>
      <c r="I801" s="4"/>
      <c r="J801" s="4"/>
    </row>
    <row r="802" spans="1:10">
      <c r="A802" s="1">
        <v>802</v>
      </c>
      <c r="B802" s="1" t="s">
        <v>1042</v>
      </c>
      <c r="C802" s="9">
        <v>45338</v>
      </c>
      <c r="D802" s="1" t="s">
        <v>39</v>
      </c>
      <c r="E802" s="1">
        <v>91489</v>
      </c>
      <c r="F802" s="4">
        <v>29411.759999999998</v>
      </c>
      <c r="G802" s="4">
        <f t="shared" si="9"/>
        <v>5588.2343999999994</v>
      </c>
      <c r="H802" s="4">
        <f t="shared" si="10"/>
        <v>34999.994399999996</v>
      </c>
      <c r="I802" s="4"/>
      <c r="J802" s="4"/>
    </row>
    <row r="803" spans="1:10">
      <c r="A803" s="1">
        <v>803</v>
      </c>
      <c r="B803" s="1" t="s">
        <v>841</v>
      </c>
      <c r="C803" s="9">
        <v>45340</v>
      </c>
      <c r="D803" s="1" t="s">
        <v>39</v>
      </c>
      <c r="E803" s="1">
        <v>91491</v>
      </c>
      <c r="F803" s="4">
        <v>6890.76</v>
      </c>
      <c r="G803" s="4">
        <f t="shared" si="9"/>
        <v>1309.2444</v>
      </c>
      <c r="H803" s="4">
        <f t="shared" si="10"/>
        <v>8200.0043999999998</v>
      </c>
      <c r="I803" s="4"/>
      <c r="J803" s="4"/>
    </row>
    <row r="804" spans="1:10">
      <c r="A804" s="1">
        <v>804</v>
      </c>
      <c r="B804" s="1" t="s">
        <v>1043</v>
      </c>
      <c r="C804" s="9">
        <v>45340</v>
      </c>
      <c r="D804" s="1" t="s">
        <v>39</v>
      </c>
      <c r="E804" s="1">
        <v>91492</v>
      </c>
      <c r="F804" s="4">
        <v>25882.35</v>
      </c>
      <c r="G804" s="4">
        <f t="shared" si="9"/>
        <v>4917.6464999999998</v>
      </c>
      <c r="H804" s="4">
        <f t="shared" si="10"/>
        <v>30799.996499999997</v>
      </c>
      <c r="I804" s="4"/>
      <c r="J804" s="4"/>
    </row>
    <row r="805" spans="1:10">
      <c r="A805" s="1">
        <v>805</v>
      </c>
      <c r="B805" s="1" t="s">
        <v>1044</v>
      </c>
      <c r="C805" s="9">
        <v>45340</v>
      </c>
      <c r="D805" s="1" t="s">
        <v>39</v>
      </c>
      <c r="E805" s="1">
        <v>91493</v>
      </c>
      <c r="F805" s="4">
        <v>53781.51</v>
      </c>
      <c r="G805" s="4">
        <f t="shared" si="9"/>
        <v>10218.4869</v>
      </c>
      <c r="H805" s="4">
        <f t="shared" si="10"/>
        <v>63999.996899999998</v>
      </c>
      <c r="I805" s="4"/>
      <c r="J805" s="4"/>
    </row>
    <row r="806" spans="1:10">
      <c r="A806" s="1">
        <v>806</v>
      </c>
      <c r="B806" s="1" t="s">
        <v>1045</v>
      </c>
      <c r="C806" s="9">
        <v>45341</v>
      </c>
      <c r="D806" s="1" t="s">
        <v>39</v>
      </c>
      <c r="E806" s="1">
        <v>91494</v>
      </c>
      <c r="F806" s="4">
        <v>50420.17</v>
      </c>
      <c r="G806" s="4">
        <f t="shared" si="9"/>
        <v>9579.8323</v>
      </c>
      <c r="H806" s="4">
        <f t="shared" si="10"/>
        <v>60000.0023</v>
      </c>
      <c r="I806" s="4"/>
      <c r="J806" s="4"/>
    </row>
    <row r="807" spans="1:10">
      <c r="A807" s="1">
        <v>807</v>
      </c>
      <c r="B807" s="1" t="s">
        <v>1046</v>
      </c>
      <c r="C807" s="9">
        <v>45350</v>
      </c>
      <c r="D807" s="1" t="s">
        <v>39</v>
      </c>
      <c r="E807" s="1">
        <v>91495</v>
      </c>
      <c r="F807" s="4">
        <v>46218.49</v>
      </c>
      <c r="G807" s="4">
        <f t="shared" si="9"/>
        <v>8781.5131000000001</v>
      </c>
      <c r="H807" s="4">
        <f t="shared" si="10"/>
        <v>55000.003100000002</v>
      </c>
      <c r="I807" s="4"/>
      <c r="J807" s="4"/>
    </row>
    <row r="808" spans="1:10">
      <c r="A808" s="1">
        <v>808</v>
      </c>
      <c r="B808" s="1" t="s">
        <v>1047</v>
      </c>
      <c r="C808" s="9">
        <v>45350</v>
      </c>
      <c r="D808" s="1" t="s">
        <v>39</v>
      </c>
      <c r="E808" s="1">
        <v>91496</v>
      </c>
      <c r="F808" s="4">
        <v>63865.55</v>
      </c>
      <c r="G808" s="4">
        <f t="shared" si="9"/>
        <v>12134.4545</v>
      </c>
      <c r="H808" s="4">
        <f t="shared" si="10"/>
        <v>76000.00450000001</v>
      </c>
      <c r="I808" s="4"/>
      <c r="J808" s="4"/>
    </row>
    <row r="809" spans="1:10">
      <c r="A809" s="1">
        <v>809</v>
      </c>
      <c r="B809" s="1" t="s">
        <v>1048</v>
      </c>
      <c r="C809" s="9">
        <v>45350</v>
      </c>
      <c r="D809" s="1" t="s">
        <v>39</v>
      </c>
      <c r="F809" s="4">
        <v>29411.759999999998</v>
      </c>
      <c r="G809" s="4">
        <f t="shared" si="9"/>
        <v>5588.2343999999994</v>
      </c>
      <c r="H809" s="4">
        <f t="shared" si="10"/>
        <v>34999.994399999996</v>
      </c>
      <c r="I809" s="4"/>
      <c r="J809" s="4"/>
    </row>
    <row r="810" spans="1:10">
      <c r="A810" s="1">
        <v>810</v>
      </c>
      <c r="B810" s="1" t="s">
        <v>1049</v>
      </c>
      <c r="C810" s="9">
        <v>45352</v>
      </c>
      <c r="D810" s="1" t="s">
        <v>39</v>
      </c>
      <c r="E810" s="1">
        <v>91497</v>
      </c>
      <c r="F810" s="4">
        <v>67226.89</v>
      </c>
      <c r="G810" s="4">
        <f t="shared" si="9"/>
        <v>12773.1091</v>
      </c>
      <c r="H810" s="4">
        <f t="shared" si="10"/>
        <v>79999.999100000001</v>
      </c>
      <c r="I810" s="4"/>
      <c r="J810" s="4"/>
    </row>
    <row r="811" spans="1:10">
      <c r="A811" s="1">
        <v>811</v>
      </c>
      <c r="B811" s="1" t="s">
        <v>1050</v>
      </c>
      <c r="C811" s="9">
        <v>45355</v>
      </c>
      <c r="D811" s="1" t="s">
        <v>39</v>
      </c>
      <c r="E811" s="1">
        <v>91498</v>
      </c>
      <c r="F811" s="4">
        <v>58823.53</v>
      </c>
      <c r="G811" s="4">
        <f t="shared" si="9"/>
        <v>11176.4707</v>
      </c>
      <c r="H811" s="4">
        <f t="shared" si="10"/>
        <v>70000.000700000004</v>
      </c>
      <c r="I811" s="4"/>
      <c r="J811" s="4"/>
    </row>
    <row r="812" spans="1:10">
      <c r="A812" s="1">
        <v>812</v>
      </c>
      <c r="B812" s="1" t="s">
        <v>1051</v>
      </c>
      <c r="C812" s="9">
        <v>45357</v>
      </c>
      <c r="D812" s="1" t="s">
        <v>39</v>
      </c>
      <c r="E812" s="1">
        <v>91499</v>
      </c>
      <c r="F812" s="4">
        <v>67226.89</v>
      </c>
      <c r="G812" s="4">
        <f t="shared" si="9"/>
        <v>12773.1091</v>
      </c>
      <c r="H812" s="4">
        <f t="shared" si="10"/>
        <v>79999.999100000001</v>
      </c>
      <c r="I812" s="4"/>
      <c r="J812" s="4"/>
    </row>
    <row r="813" spans="1:10">
      <c r="A813" s="1">
        <v>813</v>
      </c>
      <c r="B813" s="1" t="s">
        <v>1052</v>
      </c>
      <c r="C813" s="9">
        <v>45412</v>
      </c>
      <c r="D813" s="1" t="s">
        <v>39</v>
      </c>
      <c r="E813" s="1">
        <v>91533</v>
      </c>
      <c r="F813" s="4">
        <v>46218.49</v>
      </c>
      <c r="G813" s="4">
        <f t="shared" si="9"/>
        <v>8781.5131000000001</v>
      </c>
      <c r="H813" s="4">
        <f t="shared" si="10"/>
        <v>55000.003100000002</v>
      </c>
      <c r="I813" s="4"/>
      <c r="J813" s="4"/>
    </row>
    <row r="814" spans="1:10">
      <c r="A814" s="1">
        <v>814</v>
      </c>
      <c r="B814" s="1" t="s">
        <v>1053</v>
      </c>
      <c r="C814" s="9">
        <v>45357</v>
      </c>
      <c r="D814" s="1" t="s">
        <v>39</v>
      </c>
      <c r="F814" s="4">
        <v>42016.81</v>
      </c>
      <c r="G814" s="4">
        <f t="shared" si="9"/>
        <v>7983.1938999999993</v>
      </c>
      <c r="H814" s="4">
        <f t="shared" si="10"/>
        <v>50000.003899999996</v>
      </c>
      <c r="I814" s="4"/>
      <c r="J814" s="4"/>
    </row>
    <row r="815" spans="1:10">
      <c r="A815" s="1">
        <v>815</v>
      </c>
      <c r="B815" s="1" t="s">
        <v>1054</v>
      </c>
      <c r="C815" s="9">
        <v>45357</v>
      </c>
      <c r="D815" s="1" t="s">
        <v>39</v>
      </c>
      <c r="E815" s="1">
        <v>91500</v>
      </c>
      <c r="F815" s="4">
        <v>5882.35</v>
      </c>
      <c r="G815" s="4">
        <f t="shared" si="9"/>
        <v>1117.6465000000001</v>
      </c>
      <c r="H815" s="4">
        <f t="shared" si="10"/>
        <v>6999.9965000000002</v>
      </c>
      <c r="I815" s="4"/>
      <c r="J815" s="4"/>
    </row>
    <row r="816" spans="1:10">
      <c r="A816" s="1">
        <v>816</v>
      </c>
      <c r="B816" s="1" t="s">
        <v>1055</v>
      </c>
      <c r="C816" s="9">
        <v>45361</v>
      </c>
      <c r="D816" s="1" t="s">
        <v>39</v>
      </c>
      <c r="E816" s="1">
        <v>91501</v>
      </c>
      <c r="F816" s="4">
        <v>46218.49</v>
      </c>
      <c r="G816" s="4">
        <f t="shared" si="9"/>
        <v>8781.5131000000001</v>
      </c>
      <c r="H816" s="4">
        <f t="shared" si="10"/>
        <v>55000.003100000002</v>
      </c>
      <c r="I816" s="4"/>
      <c r="J816" s="4"/>
    </row>
    <row r="817" spans="1:10">
      <c r="A817" s="1">
        <v>817</v>
      </c>
      <c r="B817" s="1" t="s">
        <v>1056</v>
      </c>
      <c r="C817" s="9">
        <v>45363</v>
      </c>
      <c r="D817" s="1" t="s">
        <v>39</v>
      </c>
      <c r="E817" s="1">
        <v>91502</v>
      </c>
      <c r="F817" s="4">
        <v>56302.52</v>
      </c>
      <c r="G817" s="4">
        <f t="shared" si="9"/>
        <v>10697.478799999999</v>
      </c>
      <c r="H817" s="4">
        <f t="shared" si="10"/>
        <v>66999.998800000001</v>
      </c>
      <c r="I817" s="4"/>
      <c r="J817" s="4"/>
    </row>
    <row r="818" spans="1:10">
      <c r="A818" s="1">
        <v>818</v>
      </c>
      <c r="B818" s="1" t="s">
        <v>1057</v>
      </c>
      <c r="C818" s="9">
        <v>45368</v>
      </c>
      <c r="D818" s="1" t="s">
        <v>39</v>
      </c>
      <c r="E818" s="1">
        <v>91503</v>
      </c>
      <c r="F818" s="4">
        <v>33613.449999999997</v>
      </c>
      <c r="G818" s="4">
        <f t="shared" si="9"/>
        <v>6386.5554999999995</v>
      </c>
      <c r="H818" s="4">
        <f t="shared" si="10"/>
        <v>40000.005499999999</v>
      </c>
      <c r="I818" s="4"/>
      <c r="J818" s="4"/>
    </row>
    <row r="819" spans="1:10">
      <c r="A819" s="1">
        <v>819</v>
      </c>
      <c r="B819" s="1" t="s">
        <v>1058</v>
      </c>
      <c r="C819" s="9">
        <v>45369</v>
      </c>
      <c r="D819" s="1" t="s">
        <v>39</v>
      </c>
      <c r="E819" s="1">
        <v>91504</v>
      </c>
      <c r="F819" s="4">
        <v>22689.08</v>
      </c>
      <c r="G819" s="4">
        <f t="shared" si="9"/>
        <v>4310.9252000000006</v>
      </c>
      <c r="H819" s="4">
        <f t="shared" si="10"/>
        <v>27000.005200000003</v>
      </c>
      <c r="I819" s="4"/>
      <c r="J819" s="4"/>
    </row>
    <row r="820" spans="1:10">
      <c r="A820" s="1">
        <v>820</v>
      </c>
      <c r="B820" s="1" t="s">
        <v>1059</v>
      </c>
      <c r="C820" s="9">
        <v>45370</v>
      </c>
      <c r="D820" s="1" t="s">
        <v>39</v>
      </c>
      <c r="E820" s="1">
        <v>91505</v>
      </c>
      <c r="F820" s="4">
        <v>33613.449999999997</v>
      </c>
      <c r="G820" s="4">
        <f t="shared" si="9"/>
        <v>6386.5554999999995</v>
      </c>
      <c r="H820" s="4">
        <f t="shared" si="10"/>
        <v>40000.005499999999</v>
      </c>
      <c r="I820" s="4"/>
      <c r="J820" s="4"/>
    </row>
    <row r="821" spans="1:10">
      <c r="A821" s="1">
        <v>821</v>
      </c>
      <c r="B821" s="1" t="s">
        <v>1060</v>
      </c>
      <c r="C821" s="9">
        <v>45370</v>
      </c>
      <c r="D821" s="1" t="s">
        <v>39</v>
      </c>
      <c r="E821" s="1">
        <v>91506</v>
      </c>
      <c r="F821" s="4">
        <v>21008.400000000001</v>
      </c>
      <c r="G821" s="4">
        <f t="shared" si="9"/>
        <v>3991.5960000000005</v>
      </c>
      <c r="H821" s="4">
        <f t="shared" si="10"/>
        <v>24999.996000000003</v>
      </c>
      <c r="I821" s="4"/>
      <c r="J821" s="4"/>
    </row>
    <row r="822" spans="1:10">
      <c r="A822" s="1">
        <v>822</v>
      </c>
      <c r="B822" s="1" t="s">
        <v>1061</v>
      </c>
      <c r="C822" s="9">
        <v>45372</v>
      </c>
      <c r="D822" s="1" t="s">
        <v>39</v>
      </c>
      <c r="E822" s="1">
        <v>91507</v>
      </c>
      <c r="F822" s="4">
        <v>8403.36</v>
      </c>
      <c r="G822" s="4">
        <f t="shared" si="9"/>
        <v>1596.6384</v>
      </c>
      <c r="H822" s="4">
        <f t="shared" si="10"/>
        <v>9999.9984000000004</v>
      </c>
      <c r="I822" s="4"/>
      <c r="J822" s="4"/>
    </row>
    <row r="823" spans="1:10">
      <c r="A823" s="1">
        <v>823</v>
      </c>
      <c r="B823" s="1" t="s">
        <v>1058</v>
      </c>
      <c r="C823" s="9">
        <v>45379</v>
      </c>
      <c r="D823" s="1" t="s">
        <v>39</v>
      </c>
      <c r="E823" s="1">
        <v>91508</v>
      </c>
      <c r="F823" s="4">
        <v>22689.07</v>
      </c>
      <c r="G823" s="4">
        <f t="shared" si="9"/>
        <v>4310.9233000000004</v>
      </c>
      <c r="H823" s="4">
        <f t="shared" si="10"/>
        <v>26999.993300000002</v>
      </c>
      <c r="I823" s="4"/>
      <c r="J823" s="4"/>
    </row>
    <row r="824" spans="1:10">
      <c r="A824" s="1">
        <v>824</v>
      </c>
      <c r="B824" s="1" t="s">
        <v>1043</v>
      </c>
      <c r="C824" s="9">
        <v>45382</v>
      </c>
      <c r="D824" s="1" t="s">
        <v>39</v>
      </c>
      <c r="E824" s="1">
        <v>91509</v>
      </c>
      <c r="F824" s="4">
        <v>33613.449999999997</v>
      </c>
      <c r="G824" s="4">
        <f t="shared" si="9"/>
        <v>6386.5554999999995</v>
      </c>
      <c r="H824" s="4">
        <f t="shared" si="10"/>
        <v>40000.005499999999</v>
      </c>
      <c r="I824" s="4"/>
      <c r="J824" s="4"/>
    </row>
    <row r="825" spans="1:10">
      <c r="A825" s="1">
        <v>825</v>
      </c>
      <c r="B825" s="1" t="s">
        <v>1062</v>
      </c>
      <c r="C825" s="9">
        <v>45383</v>
      </c>
      <c r="D825" s="1" t="s">
        <v>39</v>
      </c>
      <c r="E825" s="1">
        <v>91510</v>
      </c>
      <c r="F825" s="4">
        <v>21008.400000000001</v>
      </c>
      <c r="G825" s="4">
        <f t="shared" si="9"/>
        <v>3991.5960000000005</v>
      </c>
      <c r="H825" s="4">
        <f t="shared" si="10"/>
        <v>24999.996000000003</v>
      </c>
      <c r="I825" s="4"/>
      <c r="J825" s="4"/>
    </row>
    <row r="826" spans="1:10">
      <c r="A826" s="1">
        <v>826</v>
      </c>
      <c r="B826" s="1" t="s">
        <v>1063</v>
      </c>
      <c r="C826" s="9">
        <v>45383</v>
      </c>
      <c r="D826" s="1" t="s">
        <v>39</v>
      </c>
      <c r="E826" s="1">
        <v>91511</v>
      </c>
      <c r="F826" s="4">
        <v>26890.76</v>
      </c>
      <c r="G826" s="4">
        <f t="shared" si="9"/>
        <v>5109.2443999999996</v>
      </c>
      <c r="H826" s="4">
        <f t="shared" si="10"/>
        <v>32000.004399999998</v>
      </c>
      <c r="I826" s="4"/>
      <c r="J826" s="4"/>
    </row>
    <row r="827" spans="1:10">
      <c r="A827" s="1">
        <v>827</v>
      </c>
      <c r="B827" s="1" t="s">
        <v>1064</v>
      </c>
      <c r="C827" s="9">
        <v>45384</v>
      </c>
      <c r="D827" s="1" t="s">
        <v>39</v>
      </c>
      <c r="E827" s="1">
        <v>91512</v>
      </c>
      <c r="F827" s="4">
        <v>31092.44</v>
      </c>
      <c r="G827" s="4">
        <f t="shared" si="9"/>
        <v>5907.5635999999995</v>
      </c>
      <c r="H827" s="4">
        <f t="shared" si="10"/>
        <v>37000.003599999996</v>
      </c>
      <c r="I827" s="4"/>
      <c r="J827" s="4"/>
    </row>
    <row r="828" spans="1:10">
      <c r="A828" s="1">
        <v>828</v>
      </c>
      <c r="B828" s="1" t="s">
        <v>705</v>
      </c>
      <c r="C828" s="9">
        <v>45386</v>
      </c>
      <c r="D828" s="1" t="s">
        <v>39</v>
      </c>
      <c r="E828" s="1">
        <v>91513</v>
      </c>
      <c r="F828" s="4">
        <v>31092.44</v>
      </c>
      <c r="G828" s="4">
        <f t="shared" si="9"/>
        <v>5907.5635999999995</v>
      </c>
      <c r="H828" s="4">
        <f t="shared" si="10"/>
        <v>37000.003599999996</v>
      </c>
      <c r="I828" s="4"/>
      <c r="J828" s="4"/>
    </row>
    <row r="829" spans="1:10">
      <c r="A829" s="1">
        <v>829</v>
      </c>
      <c r="B829" s="1" t="s">
        <v>705</v>
      </c>
      <c r="C829" s="9">
        <v>45386</v>
      </c>
      <c r="D829" s="1" t="s">
        <v>39</v>
      </c>
      <c r="E829" s="1">
        <v>91514</v>
      </c>
      <c r="F829" s="4">
        <v>31092.44</v>
      </c>
      <c r="G829" s="4">
        <f t="shared" si="9"/>
        <v>5907.5635999999995</v>
      </c>
      <c r="H829" s="4">
        <f t="shared" si="10"/>
        <v>37000.003599999996</v>
      </c>
      <c r="I829" s="4"/>
      <c r="J829" s="4"/>
    </row>
    <row r="830" spans="1:10">
      <c r="A830" s="1">
        <v>830</v>
      </c>
      <c r="B830" s="1" t="s">
        <v>1065</v>
      </c>
      <c r="C830" s="9">
        <v>45388</v>
      </c>
      <c r="D830" s="1" t="s">
        <v>39</v>
      </c>
      <c r="E830" s="1">
        <v>91515</v>
      </c>
      <c r="F830" s="4">
        <v>113445.38</v>
      </c>
      <c r="G830" s="4">
        <f t="shared" si="9"/>
        <v>21554.622200000002</v>
      </c>
      <c r="H830" s="4">
        <f t="shared" si="10"/>
        <v>135000.00220000002</v>
      </c>
      <c r="I830" s="4"/>
      <c r="J830" s="4"/>
    </row>
    <row r="831" spans="1:10">
      <c r="A831" s="1">
        <v>831</v>
      </c>
      <c r="B831" s="1" t="s">
        <v>1066</v>
      </c>
      <c r="C831" s="9">
        <v>45390</v>
      </c>
      <c r="D831" s="1" t="s">
        <v>39</v>
      </c>
      <c r="E831" s="1">
        <v>91516</v>
      </c>
      <c r="F831" s="4">
        <v>54621.85</v>
      </c>
      <c r="G831" s="4">
        <f t="shared" si="9"/>
        <v>10378.1515</v>
      </c>
      <c r="H831" s="4">
        <f t="shared" si="10"/>
        <v>65000.001499999998</v>
      </c>
      <c r="I831" s="4"/>
      <c r="J831" s="4"/>
    </row>
    <row r="832" spans="1:10">
      <c r="A832" s="1">
        <v>832</v>
      </c>
      <c r="B832" s="1" t="s">
        <v>1067</v>
      </c>
      <c r="C832" s="9">
        <v>45390</v>
      </c>
      <c r="D832" s="1" t="s">
        <v>39</v>
      </c>
      <c r="E832" s="1">
        <v>91517</v>
      </c>
      <c r="F832" s="4">
        <v>16806.72</v>
      </c>
      <c r="G832" s="4">
        <f t="shared" si="9"/>
        <v>3193.2768000000001</v>
      </c>
      <c r="H832" s="4">
        <f t="shared" si="10"/>
        <v>19999.996800000001</v>
      </c>
      <c r="I832" s="4"/>
      <c r="J832" s="4"/>
    </row>
    <row r="833" spans="1:10">
      <c r="A833" s="1">
        <v>833</v>
      </c>
      <c r="B833" s="1" t="s">
        <v>940</v>
      </c>
      <c r="C833" s="9">
        <v>45391</v>
      </c>
      <c r="D833" s="1" t="s">
        <v>39</v>
      </c>
      <c r="E833" s="1">
        <v>91518</v>
      </c>
      <c r="F833" s="4">
        <v>8403.36</v>
      </c>
      <c r="G833" s="4">
        <f t="shared" si="9"/>
        <v>1596.6384</v>
      </c>
      <c r="H833" s="4">
        <f t="shared" si="10"/>
        <v>9999.9984000000004</v>
      </c>
      <c r="I833" s="4"/>
      <c r="J833" s="4"/>
    </row>
    <row r="834" spans="1:10">
      <c r="A834" s="1">
        <v>834</v>
      </c>
      <c r="B834" s="1" t="s">
        <v>1068</v>
      </c>
      <c r="C834" s="9">
        <v>45391</v>
      </c>
      <c r="D834" s="1" t="s">
        <v>39</v>
      </c>
      <c r="E834" s="1">
        <v>91519</v>
      </c>
      <c r="F834" s="4">
        <v>42857.14</v>
      </c>
      <c r="G834" s="4">
        <f t="shared" si="9"/>
        <v>8142.8566000000001</v>
      </c>
      <c r="H834" s="4">
        <f t="shared" si="10"/>
        <v>50999.996599999999</v>
      </c>
      <c r="I834" s="4"/>
      <c r="J834" s="4"/>
    </row>
    <row r="835" spans="1:10">
      <c r="A835" s="1">
        <v>835</v>
      </c>
      <c r="B835" s="1" t="s">
        <v>1069</v>
      </c>
      <c r="C835" s="9">
        <v>45391</v>
      </c>
      <c r="D835" s="1" t="s">
        <v>39</v>
      </c>
      <c r="E835" s="1">
        <v>91520</v>
      </c>
      <c r="F835" s="4">
        <v>18487.39</v>
      </c>
      <c r="G835" s="4">
        <f t="shared" si="9"/>
        <v>3512.6041</v>
      </c>
      <c r="H835" s="4">
        <f t="shared" si="10"/>
        <v>21999.9941</v>
      </c>
      <c r="I835" s="4"/>
      <c r="J835" s="4"/>
    </row>
    <row r="836" spans="1:10">
      <c r="A836" s="1">
        <v>836</v>
      </c>
      <c r="B836" s="1" t="s">
        <v>1070</v>
      </c>
      <c r="C836" s="9">
        <v>45392</v>
      </c>
      <c r="D836" s="1" t="s">
        <v>39</v>
      </c>
      <c r="E836" s="1">
        <v>91521</v>
      </c>
      <c r="F836" s="4">
        <v>36974.79</v>
      </c>
      <c r="G836" s="4">
        <f t="shared" si="9"/>
        <v>7025.2101000000002</v>
      </c>
      <c r="H836" s="4">
        <f t="shared" si="10"/>
        <v>44000.000100000005</v>
      </c>
      <c r="I836" s="4"/>
      <c r="J836" s="4"/>
    </row>
    <row r="837" spans="1:10">
      <c r="A837" s="1">
        <v>837</v>
      </c>
      <c r="B837" s="1" t="s">
        <v>1071</v>
      </c>
      <c r="C837" s="9">
        <v>45392</v>
      </c>
      <c r="D837" s="1" t="s">
        <v>12</v>
      </c>
      <c r="E837" s="1">
        <v>17</v>
      </c>
      <c r="F837" s="4">
        <v>163866.38</v>
      </c>
      <c r="G837" s="4">
        <f t="shared" si="9"/>
        <v>31134.6122</v>
      </c>
      <c r="H837" s="4">
        <f t="shared" si="10"/>
        <v>195000.99220000001</v>
      </c>
      <c r="I837" s="4"/>
      <c r="J837" s="4"/>
    </row>
    <row r="838" spans="1:10">
      <c r="A838" s="1">
        <v>838</v>
      </c>
      <c r="B838" s="1" t="s">
        <v>1072</v>
      </c>
      <c r="C838" s="9">
        <v>45395</v>
      </c>
      <c r="D838" s="1" t="s">
        <v>39</v>
      </c>
      <c r="E838" s="1">
        <v>91522</v>
      </c>
      <c r="F838" s="4">
        <v>36134.449999999997</v>
      </c>
      <c r="G838" s="4">
        <f t="shared" si="9"/>
        <v>6865.5454999999993</v>
      </c>
      <c r="H838" s="4">
        <f t="shared" si="10"/>
        <v>42999.995499999997</v>
      </c>
      <c r="I838" s="4"/>
      <c r="J838" s="4"/>
    </row>
    <row r="839" spans="1:10">
      <c r="A839" s="1">
        <v>839</v>
      </c>
      <c r="B839" s="1" t="s">
        <v>1073</v>
      </c>
      <c r="C839" s="9">
        <v>45395</v>
      </c>
      <c r="D839" s="1" t="s">
        <v>39</v>
      </c>
      <c r="E839" s="1">
        <v>91523</v>
      </c>
      <c r="F839" s="4">
        <v>49579.83</v>
      </c>
      <c r="G839" s="4">
        <f t="shared" si="9"/>
        <v>9420.1677</v>
      </c>
      <c r="H839" s="4">
        <f t="shared" si="10"/>
        <v>58999.9977</v>
      </c>
      <c r="I839" s="4"/>
      <c r="J839" s="4"/>
    </row>
    <row r="840" spans="1:10">
      <c r="A840" s="1">
        <v>840</v>
      </c>
      <c r="B840" s="1" t="s">
        <v>1074</v>
      </c>
      <c r="C840" s="9">
        <v>45396</v>
      </c>
      <c r="D840" s="1" t="s">
        <v>39</v>
      </c>
      <c r="E840" s="1">
        <v>91524</v>
      </c>
      <c r="F840" s="4">
        <v>27731.09</v>
      </c>
      <c r="G840" s="4">
        <f t="shared" si="9"/>
        <v>5268.9071000000004</v>
      </c>
      <c r="H840" s="4">
        <f t="shared" si="10"/>
        <v>32999.997100000001</v>
      </c>
      <c r="I840" s="4"/>
      <c r="J840" s="4"/>
    </row>
    <row r="841" spans="1:10">
      <c r="A841" s="1">
        <v>841</v>
      </c>
      <c r="B841" s="1" t="s">
        <v>979</v>
      </c>
      <c r="C841" s="9">
        <v>45397</v>
      </c>
      <c r="D841" s="1" t="s">
        <v>39</v>
      </c>
      <c r="E841" s="1">
        <v>91525</v>
      </c>
      <c r="F841" s="4">
        <v>25210.080000000002</v>
      </c>
      <c r="G841" s="4">
        <f t="shared" si="9"/>
        <v>4789.9152000000004</v>
      </c>
      <c r="H841" s="4">
        <f t="shared" si="10"/>
        <v>29999.995200000001</v>
      </c>
      <c r="I841" s="4"/>
      <c r="J841" s="4"/>
    </row>
    <row r="842" spans="1:10">
      <c r="A842" s="1">
        <v>842</v>
      </c>
      <c r="B842" s="1" t="s">
        <v>1075</v>
      </c>
      <c r="C842" s="9">
        <v>45397</v>
      </c>
      <c r="D842" s="1" t="s">
        <v>39</v>
      </c>
      <c r="E842" s="1">
        <v>91526</v>
      </c>
      <c r="F842" s="4">
        <v>5042.0200000000004</v>
      </c>
      <c r="G842" s="4">
        <f t="shared" si="9"/>
        <v>957.98380000000009</v>
      </c>
      <c r="H842" s="4">
        <f t="shared" si="10"/>
        <v>6000.0038000000004</v>
      </c>
      <c r="I842" s="4"/>
      <c r="J842" s="4"/>
    </row>
    <row r="843" spans="1:10">
      <c r="A843" s="1">
        <v>843</v>
      </c>
      <c r="B843" s="1" t="s">
        <v>1037</v>
      </c>
      <c r="C843" s="9">
        <v>45397</v>
      </c>
      <c r="D843" s="1" t="s">
        <v>39</v>
      </c>
      <c r="E843" s="1">
        <v>91527</v>
      </c>
      <c r="F843" s="4">
        <v>14285.71</v>
      </c>
      <c r="G843" s="4">
        <f t="shared" si="9"/>
        <v>2714.2848999999997</v>
      </c>
      <c r="H843" s="4">
        <f t="shared" si="10"/>
        <v>16999.994899999998</v>
      </c>
      <c r="I843" s="4"/>
      <c r="J843" s="4"/>
    </row>
    <row r="844" spans="1:10">
      <c r="A844" s="1">
        <v>844</v>
      </c>
      <c r="B844" s="1" t="s">
        <v>1076</v>
      </c>
      <c r="C844" s="9">
        <v>45399</v>
      </c>
      <c r="D844" s="1" t="s">
        <v>39</v>
      </c>
      <c r="E844" s="1">
        <v>91528</v>
      </c>
      <c r="F844" s="4">
        <v>15126.05</v>
      </c>
      <c r="G844" s="4">
        <f t="shared" si="9"/>
        <v>2873.9494999999997</v>
      </c>
      <c r="H844" s="4">
        <f t="shared" si="10"/>
        <v>17999.999499999998</v>
      </c>
      <c r="I844" s="4"/>
      <c r="J844" s="4"/>
    </row>
    <row r="845" spans="1:10">
      <c r="A845" s="1">
        <v>845</v>
      </c>
      <c r="B845" s="1" t="s">
        <v>1077</v>
      </c>
      <c r="C845" s="9">
        <v>45400</v>
      </c>
      <c r="D845" s="1" t="s">
        <v>39</v>
      </c>
      <c r="E845" s="1">
        <v>91529</v>
      </c>
      <c r="F845" s="4">
        <v>34453.78</v>
      </c>
      <c r="G845" s="4">
        <f t="shared" si="9"/>
        <v>6546.2182000000003</v>
      </c>
      <c r="H845" s="4">
        <f t="shared" si="10"/>
        <v>40999.998200000002</v>
      </c>
      <c r="I845" s="4"/>
      <c r="J845" s="4"/>
    </row>
    <row r="846" spans="1:10">
      <c r="A846" s="1">
        <v>846</v>
      </c>
      <c r="B846" s="1" t="s">
        <v>886</v>
      </c>
      <c r="C846" s="9">
        <v>45401</v>
      </c>
      <c r="D846" s="1" t="s">
        <v>39</v>
      </c>
      <c r="E846" s="1">
        <v>91530</v>
      </c>
      <c r="F846" s="4">
        <v>112605.04</v>
      </c>
      <c r="G846" s="4">
        <f t="shared" si="9"/>
        <v>21394.957599999998</v>
      </c>
      <c r="H846" s="4">
        <f t="shared" si="10"/>
        <v>133999.9976</v>
      </c>
      <c r="I846" s="4"/>
      <c r="J846" s="4"/>
    </row>
    <row r="847" spans="1:10">
      <c r="A847" s="1">
        <v>847</v>
      </c>
      <c r="B847" s="1" t="s">
        <v>1078</v>
      </c>
      <c r="C847" s="9">
        <v>45403</v>
      </c>
      <c r="D847" s="1" t="s">
        <v>39</v>
      </c>
      <c r="E847" s="1">
        <v>91531</v>
      </c>
      <c r="F847" s="4">
        <v>28571.43</v>
      </c>
      <c r="G847" s="4">
        <f t="shared" si="9"/>
        <v>5428.5717000000004</v>
      </c>
      <c r="H847" s="4">
        <f t="shared" si="10"/>
        <v>34000.001700000001</v>
      </c>
      <c r="I847" s="4"/>
      <c r="J847" s="4"/>
    </row>
    <row r="848" spans="1:10">
      <c r="A848" s="1">
        <v>848</v>
      </c>
      <c r="B848" s="1" t="s">
        <v>1079</v>
      </c>
      <c r="C848" s="9">
        <v>45412</v>
      </c>
      <c r="D848" s="1" t="s">
        <v>39</v>
      </c>
      <c r="E848" s="1">
        <v>91532</v>
      </c>
      <c r="F848" s="4">
        <v>8403.36</v>
      </c>
      <c r="G848" s="4">
        <f t="shared" si="9"/>
        <v>1596.6384</v>
      </c>
      <c r="H848" s="4">
        <f t="shared" si="10"/>
        <v>9999.9984000000004</v>
      </c>
      <c r="I848" s="4"/>
      <c r="J848" s="4"/>
    </row>
    <row r="849" spans="1:10">
      <c r="A849" s="1">
        <v>849</v>
      </c>
      <c r="B849" s="1" t="s">
        <v>1080</v>
      </c>
      <c r="C849" s="9">
        <v>45412</v>
      </c>
      <c r="D849" s="1" t="s">
        <v>39</v>
      </c>
      <c r="E849" s="1">
        <v>91534</v>
      </c>
      <c r="F849" s="4">
        <v>25210.080000000002</v>
      </c>
      <c r="G849" s="4">
        <f t="shared" si="9"/>
        <v>4789.9152000000004</v>
      </c>
      <c r="H849" s="4">
        <f t="shared" si="10"/>
        <v>29999.995200000001</v>
      </c>
      <c r="I849" s="4"/>
      <c r="J849" s="4"/>
    </row>
    <row r="850" spans="1:10">
      <c r="A850" s="1">
        <v>850</v>
      </c>
      <c r="B850" s="1" t="s">
        <v>1081</v>
      </c>
      <c r="C850" s="9">
        <v>45412</v>
      </c>
      <c r="D850" s="1" t="s">
        <v>39</v>
      </c>
      <c r="E850" s="1">
        <v>91535</v>
      </c>
      <c r="F850" s="4">
        <v>168067.23</v>
      </c>
      <c r="G850" s="4">
        <f t="shared" si="9"/>
        <v>31932.773700000002</v>
      </c>
      <c r="H850" s="4">
        <f t="shared" si="10"/>
        <v>200000.0037</v>
      </c>
      <c r="I850" s="4"/>
      <c r="J850" s="4"/>
    </row>
    <row r="851" spans="1:10">
      <c r="A851" s="1">
        <v>851</v>
      </c>
      <c r="B851" s="1" t="s">
        <v>1082</v>
      </c>
      <c r="C851" s="9">
        <v>45412</v>
      </c>
      <c r="D851" s="1" t="s">
        <v>39</v>
      </c>
      <c r="E851" s="1">
        <v>91536</v>
      </c>
      <c r="F851" s="4">
        <v>81512.600000000006</v>
      </c>
      <c r="G851" s="4">
        <f t="shared" si="9"/>
        <v>15487.394000000002</v>
      </c>
      <c r="H851" s="4">
        <f t="shared" si="10"/>
        <v>96999.994000000006</v>
      </c>
      <c r="I851" s="4"/>
      <c r="J851" s="4"/>
    </row>
    <row r="852" spans="1:10">
      <c r="A852" s="1">
        <v>852</v>
      </c>
      <c r="B852" s="1" t="s">
        <v>1083</v>
      </c>
      <c r="C852" s="9">
        <v>45414</v>
      </c>
      <c r="D852" s="1" t="s">
        <v>39</v>
      </c>
      <c r="E852" s="1">
        <v>91537</v>
      </c>
      <c r="F852" s="4">
        <v>40336.129999999997</v>
      </c>
      <c r="G852" s="4">
        <f t="shared" si="9"/>
        <v>7663.8646999999992</v>
      </c>
      <c r="H852" s="4">
        <f t="shared" si="10"/>
        <v>47999.994699999996</v>
      </c>
      <c r="I852" s="4"/>
      <c r="J852" s="4"/>
    </row>
    <row r="853" spans="1:10">
      <c r="A853" s="1">
        <v>853</v>
      </c>
      <c r="B853" s="1" t="s">
        <v>1084</v>
      </c>
      <c r="C853" s="9">
        <v>45414</v>
      </c>
      <c r="D853" s="1" t="s">
        <v>39</v>
      </c>
      <c r="E853" s="1">
        <v>91538</v>
      </c>
      <c r="F853" s="4">
        <v>14705.88</v>
      </c>
      <c r="G853" s="4">
        <f t="shared" si="9"/>
        <v>2794.1171999999997</v>
      </c>
      <c r="H853" s="4">
        <f t="shared" si="10"/>
        <v>17499.997199999998</v>
      </c>
      <c r="I853" s="4"/>
      <c r="J853" s="4"/>
    </row>
    <row r="854" spans="1:10">
      <c r="A854" s="1">
        <v>854</v>
      </c>
      <c r="B854" s="1" t="s">
        <v>1085</v>
      </c>
      <c r="C854" s="9">
        <v>45420</v>
      </c>
      <c r="D854" s="1" t="s">
        <v>39</v>
      </c>
      <c r="E854" s="1">
        <v>91539</v>
      </c>
      <c r="F854" s="4">
        <v>21848.74</v>
      </c>
      <c r="G854" s="4">
        <f t="shared" si="9"/>
        <v>4151.2606000000005</v>
      </c>
      <c r="H854" s="4">
        <f t="shared" si="10"/>
        <v>26000.000600000003</v>
      </c>
      <c r="I854" s="4"/>
      <c r="J854" s="4"/>
    </row>
    <row r="855" spans="1:10">
      <c r="A855" s="1">
        <v>855</v>
      </c>
      <c r="B855" s="1" t="s">
        <v>1086</v>
      </c>
      <c r="C855" s="9">
        <v>45422</v>
      </c>
      <c r="D855" s="1" t="s">
        <v>39</v>
      </c>
      <c r="E855" s="1">
        <v>91540</v>
      </c>
      <c r="F855" s="4">
        <v>27731.09</v>
      </c>
      <c r="G855" s="4">
        <f t="shared" si="9"/>
        <v>5268.9071000000004</v>
      </c>
      <c r="H855" s="4">
        <f t="shared" si="10"/>
        <v>32999.997100000001</v>
      </c>
      <c r="I855" s="4"/>
      <c r="J855" s="4"/>
    </row>
    <row r="856" spans="1:10">
      <c r="A856" s="1">
        <v>856</v>
      </c>
      <c r="B856" s="1" t="s">
        <v>1087</v>
      </c>
      <c r="C856" s="9">
        <v>45423</v>
      </c>
      <c r="D856" s="1" t="s">
        <v>39</v>
      </c>
      <c r="E856" s="1">
        <v>91541</v>
      </c>
      <c r="F856" s="4">
        <v>42016.81</v>
      </c>
      <c r="G856" s="4">
        <f t="shared" si="9"/>
        <v>7983.1938999999993</v>
      </c>
      <c r="H856" s="4">
        <f t="shared" si="10"/>
        <v>50000.003899999996</v>
      </c>
      <c r="I856" s="4"/>
      <c r="J856" s="4"/>
    </row>
    <row r="857" spans="1:10">
      <c r="A857" s="1">
        <v>857</v>
      </c>
      <c r="B857" s="1" t="s">
        <v>1088</v>
      </c>
      <c r="C857" s="9">
        <v>45423</v>
      </c>
      <c r="D857" s="1" t="s">
        <v>759</v>
      </c>
      <c r="E857" s="1">
        <v>24</v>
      </c>
      <c r="F857" s="4">
        <v>4201.68</v>
      </c>
      <c r="G857" s="4">
        <f t="shared" si="9"/>
        <v>798.31920000000002</v>
      </c>
      <c r="H857" s="4">
        <f t="shared" si="10"/>
        <v>4999.9992000000002</v>
      </c>
      <c r="I857" s="4"/>
      <c r="J857" s="4"/>
    </row>
    <row r="858" spans="1:10">
      <c r="A858" s="1">
        <v>858</v>
      </c>
      <c r="B858" s="1" t="s">
        <v>1089</v>
      </c>
      <c r="C858" s="9">
        <v>45424</v>
      </c>
      <c r="D858" s="1" t="s">
        <v>39</v>
      </c>
      <c r="E858" s="1">
        <v>91542</v>
      </c>
      <c r="F858" s="4">
        <v>27731.09</v>
      </c>
      <c r="G858" s="4">
        <f t="shared" si="9"/>
        <v>5268.9071000000004</v>
      </c>
      <c r="H858" s="4">
        <f t="shared" si="10"/>
        <v>32999.997100000001</v>
      </c>
      <c r="I858" s="4"/>
      <c r="J858" s="4"/>
    </row>
    <row r="859" spans="1:10">
      <c r="A859" s="1">
        <v>859</v>
      </c>
      <c r="B859" s="1" t="s">
        <v>1090</v>
      </c>
      <c r="C859" s="9">
        <v>45426</v>
      </c>
      <c r="D859" s="1" t="s">
        <v>39</v>
      </c>
      <c r="E859" s="1">
        <v>91543</v>
      </c>
      <c r="F859" s="4">
        <v>35294.120000000003</v>
      </c>
      <c r="G859" s="4">
        <f t="shared" si="9"/>
        <v>6705.8828000000003</v>
      </c>
      <c r="H859" s="4">
        <f t="shared" si="10"/>
        <v>42000.002800000002</v>
      </c>
      <c r="I859" s="4"/>
      <c r="J859" s="4"/>
    </row>
    <row r="860" spans="1:10">
      <c r="A860" s="1">
        <v>860</v>
      </c>
      <c r="B860" s="1" t="s">
        <v>1091</v>
      </c>
      <c r="C860" s="9">
        <v>45426</v>
      </c>
      <c r="D860" s="1" t="s">
        <v>39</v>
      </c>
      <c r="E860" s="1">
        <v>91544</v>
      </c>
      <c r="F860" s="4">
        <v>8403.36</v>
      </c>
      <c r="G860" s="4">
        <f t="shared" si="9"/>
        <v>1596.6384</v>
      </c>
      <c r="H860" s="4">
        <f t="shared" si="10"/>
        <v>9999.9984000000004</v>
      </c>
      <c r="I860" s="4"/>
      <c r="J860" s="4"/>
    </row>
    <row r="861" spans="1:10">
      <c r="A861" s="1">
        <v>861</v>
      </c>
      <c r="B861" s="1" t="s">
        <v>1092</v>
      </c>
      <c r="C861" s="9">
        <v>45426</v>
      </c>
      <c r="D861" s="1" t="s">
        <v>39</v>
      </c>
      <c r="E861" s="1">
        <v>91545</v>
      </c>
      <c r="F861" s="4">
        <v>22689.08</v>
      </c>
      <c r="G861" s="4">
        <f t="shared" si="9"/>
        <v>4310.9252000000006</v>
      </c>
      <c r="H861" s="4">
        <f t="shared" si="10"/>
        <v>27000.005200000003</v>
      </c>
      <c r="I861" s="4"/>
      <c r="J861" s="4"/>
    </row>
    <row r="862" spans="1:10">
      <c r="A862" s="1">
        <v>862</v>
      </c>
      <c r="B862" s="1" t="s">
        <v>1093</v>
      </c>
      <c r="C862" s="9">
        <v>45429</v>
      </c>
      <c r="D862" s="1" t="s">
        <v>39</v>
      </c>
      <c r="E862" s="1">
        <v>91546</v>
      </c>
      <c r="F862" s="4">
        <v>39495.800000000003</v>
      </c>
      <c r="G862" s="4">
        <f t="shared" si="9"/>
        <v>7504.2020000000002</v>
      </c>
      <c r="H862" s="4">
        <f t="shared" si="10"/>
        <v>47000.002</v>
      </c>
      <c r="I862" s="4"/>
      <c r="J862" s="4"/>
    </row>
    <row r="863" spans="1:10">
      <c r="A863" s="1">
        <v>863</v>
      </c>
      <c r="B863" s="1" t="s">
        <v>1094</v>
      </c>
      <c r="C863" s="9">
        <v>45429</v>
      </c>
      <c r="D863" s="1" t="s">
        <v>39</v>
      </c>
      <c r="E863" s="1">
        <v>91547</v>
      </c>
      <c r="F863" s="4">
        <v>29411.759999999998</v>
      </c>
      <c r="G863" s="4">
        <f t="shared" si="9"/>
        <v>5588.2343999999994</v>
      </c>
      <c r="H863" s="4">
        <f t="shared" si="10"/>
        <v>34999.994399999996</v>
      </c>
      <c r="I863" s="4"/>
      <c r="J863" s="4"/>
    </row>
    <row r="864" spans="1:10">
      <c r="A864" s="1">
        <v>864</v>
      </c>
      <c r="B864" s="1" t="s">
        <v>1095</v>
      </c>
      <c r="C864" s="9">
        <v>45430</v>
      </c>
      <c r="D864" s="1" t="s">
        <v>39</v>
      </c>
      <c r="E864" s="1">
        <v>91548</v>
      </c>
      <c r="F864" s="4">
        <v>108823.53</v>
      </c>
      <c r="G864" s="4">
        <f t="shared" si="9"/>
        <v>20676.470700000002</v>
      </c>
      <c r="H864" s="4">
        <f t="shared" si="10"/>
        <v>129500.0007</v>
      </c>
      <c r="I864" s="4"/>
      <c r="J864" s="4"/>
    </row>
    <row r="865" spans="1:10">
      <c r="A865" s="1">
        <v>865</v>
      </c>
      <c r="B865" s="1" t="s">
        <v>1096</v>
      </c>
      <c r="C865" s="9">
        <v>45435</v>
      </c>
      <c r="D865" s="1" t="s">
        <v>39</v>
      </c>
      <c r="E865" s="1">
        <v>91549</v>
      </c>
      <c r="F865" s="4">
        <v>36806.720000000001</v>
      </c>
      <c r="G865" s="4">
        <f t="shared" si="9"/>
        <v>6993.2768000000005</v>
      </c>
      <c r="H865" s="4">
        <f t="shared" si="10"/>
        <v>43799.996800000001</v>
      </c>
      <c r="I865" s="4"/>
      <c r="J865" s="4"/>
    </row>
    <row r="866" spans="1:10">
      <c r="A866" s="1">
        <v>866</v>
      </c>
      <c r="B866" s="1" t="s">
        <v>1097</v>
      </c>
      <c r="C866" s="9">
        <v>45435</v>
      </c>
      <c r="D866" s="1" t="s">
        <v>39</v>
      </c>
      <c r="E866" s="1">
        <v>91550</v>
      </c>
      <c r="F866" s="4">
        <v>82184.87</v>
      </c>
      <c r="G866" s="4">
        <f t="shared" si="9"/>
        <v>15615.1253</v>
      </c>
      <c r="H866" s="4">
        <f t="shared" si="10"/>
        <v>97799.995299999995</v>
      </c>
      <c r="I866" s="4"/>
      <c r="J866" s="4"/>
    </row>
    <row r="867" spans="1:10">
      <c r="A867" s="1">
        <v>867</v>
      </c>
      <c r="B867" s="1" t="s">
        <v>1098</v>
      </c>
      <c r="C867" s="9">
        <v>45440</v>
      </c>
      <c r="D867" s="1" t="s">
        <v>39</v>
      </c>
      <c r="E867" s="1">
        <v>91551</v>
      </c>
      <c r="F867" s="4">
        <v>18487.39</v>
      </c>
      <c r="G867" s="4">
        <f t="shared" si="9"/>
        <v>3512.6041</v>
      </c>
      <c r="H867" s="4">
        <f t="shared" si="10"/>
        <v>21999.9941</v>
      </c>
      <c r="I867" s="4"/>
      <c r="J867" s="4"/>
    </row>
    <row r="868" spans="1:10">
      <c r="A868" s="1">
        <v>868</v>
      </c>
      <c r="B868" s="1" t="s">
        <v>1099</v>
      </c>
      <c r="C868" s="9">
        <v>45442</v>
      </c>
      <c r="D868" s="1" t="s">
        <v>39</v>
      </c>
      <c r="E868" s="1">
        <v>91552</v>
      </c>
      <c r="F868" s="4">
        <v>54621.85</v>
      </c>
      <c r="G868" s="4">
        <f t="shared" si="9"/>
        <v>10378.1515</v>
      </c>
      <c r="H868" s="4">
        <f t="shared" si="10"/>
        <v>65000.001499999998</v>
      </c>
      <c r="I868" s="4"/>
      <c r="J868" s="4"/>
    </row>
    <row r="869" spans="1:10">
      <c r="A869" s="1">
        <v>869</v>
      </c>
      <c r="B869" s="1" t="s">
        <v>1100</v>
      </c>
      <c r="C869" s="9">
        <v>45443</v>
      </c>
      <c r="D869" s="1" t="s">
        <v>39</v>
      </c>
      <c r="E869" s="1">
        <v>91553</v>
      </c>
      <c r="F869" s="4">
        <v>31092.45</v>
      </c>
      <c r="G869" s="4">
        <f t="shared" si="9"/>
        <v>5907.5655000000006</v>
      </c>
      <c r="H869" s="4">
        <f t="shared" si="10"/>
        <v>37000.015500000001</v>
      </c>
      <c r="I869" s="4"/>
      <c r="J869" s="4"/>
    </row>
    <row r="870" spans="1:10">
      <c r="A870" s="1">
        <v>870</v>
      </c>
      <c r="B870" s="1" t="s">
        <v>1101</v>
      </c>
      <c r="C870" s="9">
        <v>45444</v>
      </c>
      <c r="D870" s="1" t="s">
        <v>39</v>
      </c>
      <c r="E870" s="1">
        <v>91554</v>
      </c>
      <c r="F870" s="4">
        <v>49159.66</v>
      </c>
      <c r="G870" s="4">
        <f t="shared" si="9"/>
        <v>9340.3353999999999</v>
      </c>
      <c r="H870" s="4">
        <f t="shared" si="10"/>
        <v>58499.9954</v>
      </c>
      <c r="I870" s="4"/>
      <c r="J870" s="4"/>
    </row>
    <row r="871" spans="1:10">
      <c r="A871" s="1">
        <v>871</v>
      </c>
      <c r="B871" s="1" t="s">
        <v>1102</v>
      </c>
      <c r="C871" s="9">
        <v>45444</v>
      </c>
      <c r="D871" s="1" t="s">
        <v>39</v>
      </c>
      <c r="E871" s="1">
        <v>91555</v>
      </c>
      <c r="F871" s="4">
        <v>33613.449999999997</v>
      </c>
      <c r="G871" s="4">
        <f t="shared" si="9"/>
        <v>6386.5554999999995</v>
      </c>
      <c r="H871" s="4">
        <f t="shared" si="10"/>
        <v>40000.005499999999</v>
      </c>
      <c r="I871" s="4"/>
      <c r="J871" s="4"/>
    </row>
    <row r="872" spans="1:10">
      <c r="A872" s="1">
        <v>872</v>
      </c>
      <c r="B872" s="1" t="s">
        <v>1103</v>
      </c>
      <c r="C872" s="9">
        <v>45446</v>
      </c>
      <c r="D872" s="1" t="s">
        <v>39</v>
      </c>
      <c r="E872" s="1">
        <v>91556</v>
      </c>
      <c r="F872" s="4">
        <v>27731.09</v>
      </c>
      <c r="G872" s="4">
        <f t="shared" si="9"/>
        <v>5268.9071000000004</v>
      </c>
      <c r="H872" s="4">
        <f t="shared" si="10"/>
        <v>32999.997100000001</v>
      </c>
      <c r="I872" s="4"/>
      <c r="J872" s="4"/>
    </row>
    <row r="873" spans="1:10">
      <c r="A873" s="1">
        <v>873</v>
      </c>
      <c r="B873" s="1" t="s">
        <v>1104</v>
      </c>
      <c r="C873" s="9">
        <v>45446</v>
      </c>
      <c r="D873" s="1" t="s">
        <v>39</v>
      </c>
      <c r="E873" s="1">
        <v>91557</v>
      </c>
      <c r="F873" s="4">
        <v>97478.99</v>
      </c>
      <c r="G873" s="4">
        <f t="shared" si="9"/>
        <v>18521.008100000003</v>
      </c>
      <c r="H873" s="4">
        <f t="shared" si="10"/>
        <v>115999.99810000001</v>
      </c>
      <c r="I873" s="4"/>
      <c r="J873" s="4"/>
    </row>
    <row r="874" spans="1:10">
      <c r="A874" s="1">
        <v>874</v>
      </c>
      <c r="B874" s="1" t="s">
        <v>1105</v>
      </c>
      <c r="C874" s="9">
        <v>45450</v>
      </c>
      <c r="D874" s="1" t="s">
        <v>39</v>
      </c>
      <c r="E874" s="1">
        <v>91558</v>
      </c>
      <c r="F874" s="4">
        <v>11764.71</v>
      </c>
      <c r="G874" s="4">
        <f t="shared" si="9"/>
        <v>2235.2948999999999</v>
      </c>
      <c r="H874" s="4">
        <f t="shared" si="10"/>
        <v>14000.0049</v>
      </c>
      <c r="I874" s="4"/>
      <c r="J874" s="4"/>
    </row>
    <row r="875" spans="1:10">
      <c r="A875" s="1">
        <v>875</v>
      </c>
      <c r="B875" s="1" t="s">
        <v>1106</v>
      </c>
      <c r="C875" s="9">
        <v>45451</v>
      </c>
      <c r="D875" s="1" t="s">
        <v>39</v>
      </c>
      <c r="E875" s="1">
        <v>91559</v>
      </c>
      <c r="F875" s="4">
        <v>8403.36</v>
      </c>
      <c r="G875" s="4">
        <f t="shared" si="9"/>
        <v>1596.6384</v>
      </c>
      <c r="H875" s="4">
        <f t="shared" si="10"/>
        <v>9999.9984000000004</v>
      </c>
      <c r="I875" s="4"/>
      <c r="J875" s="4"/>
    </row>
    <row r="876" spans="1:10">
      <c r="A876" s="1">
        <v>876</v>
      </c>
      <c r="B876" s="1" t="s">
        <v>1107</v>
      </c>
      <c r="C876" s="9">
        <v>45451</v>
      </c>
      <c r="D876" s="1" t="s">
        <v>39</v>
      </c>
      <c r="E876" s="1">
        <v>91560</v>
      </c>
      <c r="F876" s="4">
        <v>54621.85</v>
      </c>
      <c r="G876" s="4">
        <f t="shared" si="9"/>
        <v>10378.1515</v>
      </c>
      <c r="H876" s="4">
        <f t="shared" si="10"/>
        <v>65000.001499999998</v>
      </c>
      <c r="I876" s="4"/>
      <c r="J876" s="4"/>
    </row>
    <row r="877" spans="1:10">
      <c r="A877" s="1">
        <v>877</v>
      </c>
      <c r="B877" s="1" t="s">
        <v>939</v>
      </c>
      <c r="C877" s="9">
        <v>45451</v>
      </c>
      <c r="D877" s="1" t="s">
        <v>39</v>
      </c>
      <c r="E877" s="1">
        <v>91561</v>
      </c>
      <c r="F877" s="4">
        <v>5042.0200000000004</v>
      </c>
      <c r="G877" s="4">
        <f t="shared" si="9"/>
        <v>957.98380000000009</v>
      </c>
      <c r="H877" s="4">
        <f t="shared" si="10"/>
        <v>6000.0038000000004</v>
      </c>
      <c r="I877" s="4"/>
      <c r="J877" s="4"/>
    </row>
    <row r="878" spans="1:10">
      <c r="A878" s="1">
        <v>878</v>
      </c>
      <c r="B878" s="1" t="s">
        <v>1108</v>
      </c>
      <c r="C878" s="9">
        <v>45452</v>
      </c>
      <c r="D878" s="1" t="s">
        <v>39</v>
      </c>
      <c r="E878" s="1">
        <v>91562</v>
      </c>
      <c r="F878" s="4">
        <v>27731.09</v>
      </c>
      <c r="G878" s="4">
        <f t="shared" si="9"/>
        <v>5268.9071000000004</v>
      </c>
      <c r="H878" s="4">
        <f t="shared" si="10"/>
        <v>32999.997100000001</v>
      </c>
      <c r="I878" s="4"/>
      <c r="J878" s="4"/>
    </row>
    <row r="879" spans="1:10">
      <c r="A879" s="1">
        <v>879</v>
      </c>
      <c r="B879" s="1" t="s">
        <v>1109</v>
      </c>
      <c r="C879" s="9">
        <v>45452</v>
      </c>
      <c r="D879" s="1" t="s">
        <v>39</v>
      </c>
      <c r="E879" s="1">
        <v>91563</v>
      </c>
      <c r="F879" s="4">
        <v>8403</v>
      </c>
      <c r="G879" s="4">
        <f t="shared" si="9"/>
        <v>1596.57</v>
      </c>
      <c r="H879" s="4">
        <f t="shared" si="10"/>
        <v>9999.57</v>
      </c>
      <c r="I879" s="4"/>
      <c r="J879" s="4"/>
    </row>
    <row r="880" spans="1:10">
      <c r="A880" s="1">
        <v>880</v>
      </c>
      <c r="B880" s="1" t="s">
        <v>1109</v>
      </c>
      <c r="C880" s="9">
        <v>45454</v>
      </c>
      <c r="D880" s="1" t="s">
        <v>39</v>
      </c>
      <c r="E880" s="1">
        <v>91564</v>
      </c>
      <c r="F880" s="4">
        <v>8403</v>
      </c>
      <c r="G880" s="4">
        <f t="shared" si="9"/>
        <v>1596.57</v>
      </c>
      <c r="H880" s="4">
        <f t="shared" si="10"/>
        <v>9999.57</v>
      </c>
      <c r="I880" s="4"/>
      <c r="J880" s="4"/>
    </row>
    <row r="881" spans="1:10">
      <c r="A881" s="1">
        <v>881</v>
      </c>
      <c r="B881" s="1" t="s">
        <v>1110</v>
      </c>
      <c r="C881" s="9">
        <v>45454</v>
      </c>
      <c r="D881" s="1" t="s">
        <v>39</v>
      </c>
      <c r="E881" s="1">
        <v>91565</v>
      </c>
      <c r="F881" s="4">
        <v>32773.11</v>
      </c>
      <c r="G881" s="4">
        <f t="shared" si="9"/>
        <v>6226.8909000000003</v>
      </c>
      <c r="H881" s="4">
        <f t="shared" si="10"/>
        <v>39000.000899999999</v>
      </c>
      <c r="I881" s="4"/>
      <c r="J881" s="4"/>
    </row>
    <row r="882" spans="1:10">
      <c r="A882" s="1">
        <v>882</v>
      </c>
      <c r="B882" s="1" t="s">
        <v>1111</v>
      </c>
      <c r="C882" s="9">
        <v>45454</v>
      </c>
      <c r="D882" s="1" t="s">
        <v>39</v>
      </c>
      <c r="E882" s="1">
        <v>91566</v>
      </c>
      <c r="F882" s="4">
        <v>30252.1</v>
      </c>
      <c r="G882" s="4">
        <f t="shared" si="9"/>
        <v>5747.8989999999994</v>
      </c>
      <c r="H882" s="4">
        <f t="shared" si="10"/>
        <v>35999.998999999996</v>
      </c>
      <c r="I882" s="4"/>
      <c r="J882" s="4"/>
    </row>
    <row r="883" spans="1:10">
      <c r="A883" s="1">
        <v>883</v>
      </c>
      <c r="B883" s="1" t="s">
        <v>1109</v>
      </c>
      <c r="C883" s="9">
        <v>45454</v>
      </c>
      <c r="D883" s="1" t="s">
        <v>39</v>
      </c>
      <c r="E883" s="1">
        <v>91567</v>
      </c>
      <c r="F883" s="4">
        <v>8403</v>
      </c>
      <c r="G883" s="4">
        <f t="shared" si="9"/>
        <v>1596.57</v>
      </c>
      <c r="H883" s="4">
        <f t="shared" si="10"/>
        <v>9999.57</v>
      </c>
      <c r="I883" s="4"/>
      <c r="J883" s="4"/>
    </row>
    <row r="884" spans="1:10">
      <c r="A884" s="1">
        <v>884</v>
      </c>
      <c r="B884" s="1" t="s">
        <v>1112</v>
      </c>
      <c r="C884" s="9">
        <v>45456</v>
      </c>
      <c r="D884" s="1" t="s">
        <v>39</v>
      </c>
      <c r="E884" s="1">
        <v>91568</v>
      </c>
      <c r="F884" s="4">
        <v>46218.49</v>
      </c>
      <c r="G884" s="4">
        <f t="shared" si="9"/>
        <v>8781.5131000000001</v>
      </c>
      <c r="H884" s="4">
        <f t="shared" si="10"/>
        <v>55000.003100000002</v>
      </c>
      <c r="I884" s="4"/>
      <c r="J884" s="4"/>
    </row>
    <row r="885" spans="1:10">
      <c r="A885" s="1">
        <v>885</v>
      </c>
      <c r="B885" s="1" t="s">
        <v>1113</v>
      </c>
      <c r="C885" s="9">
        <v>45460</v>
      </c>
      <c r="D885" s="1" t="s">
        <v>39</v>
      </c>
      <c r="E885" s="1">
        <v>91569</v>
      </c>
      <c r="F885" s="4">
        <v>32773.11</v>
      </c>
      <c r="G885" s="4">
        <f t="shared" si="9"/>
        <v>6226.8909000000003</v>
      </c>
      <c r="H885" s="4">
        <f t="shared" si="10"/>
        <v>39000.000899999999</v>
      </c>
      <c r="I885" s="4"/>
      <c r="J885" s="4"/>
    </row>
    <row r="886" spans="1:10">
      <c r="A886" s="1">
        <v>886</v>
      </c>
      <c r="B886" s="1" t="s">
        <v>1114</v>
      </c>
      <c r="C886" s="9">
        <v>45464</v>
      </c>
      <c r="D886" s="1" t="s">
        <v>12</v>
      </c>
      <c r="E886" s="1">
        <v>18</v>
      </c>
      <c r="F886" s="4">
        <v>33613.449999999997</v>
      </c>
      <c r="G886" s="4">
        <f t="shared" si="9"/>
        <v>6386.5554999999995</v>
      </c>
      <c r="H886" s="4">
        <f t="shared" si="10"/>
        <v>40000.005499999999</v>
      </c>
      <c r="I886" s="4"/>
      <c r="J886" s="4"/>
    </row>
    <row r="887" spans="1:10">
      <c r="A887" s="1">
        <v>887</v>
      </c>
      <c r="B887" s="1" t="s">
        <v>1115</v>
      </c>
      <c r="C887" s="9">
        <v>45468</v>
      </c>
      <c r="D887" s="1" t="s">
        <v>39</v>
      </c>
      <c r="E887" s="1">
        <v>91570</v>
      </c>
      <c r="F887" s="4">
        <v>69159.66</v>
      </c>
      <c r="G887" s="4">
        <f t="shared" si="9"/>
        <v>13140.3354</v>
      </c>
      <c r="H887" s="4">
        <f t="shared" si="10"/>
        <v>82299.9954</v>
      </c>
      <c r="I887" s="4"/>
      <c r="J887" s="4"/>
    </row>
    <row r="888" spans="1:10">
      <c r="A888" s="1">
        <v>888</v>
      </c>
      <c r="B888" s="1" t="s">
        <v>955</v>
      </c>
      <c r="C888" s="9">
        <v>45459</v>
      </c>
      <c r="D888" s="1" t="s">
        <v>39</v>
      </c>
      <c r="E888" s="1">
        <v>91571</v>
      </c>
      <c r="F888" s="4">
        <v>31932.77</v>
      </c>
      <c r="G888" s="4">
        <f t="shared" si="9"/>
        <v>6067.2263000000003</v>
      </c>
      <c r="H888" s="4">
        <f t="shared" si="10"/>
        <v>37999.996299999999</v>
      </c>
      <c r="I888" s="4"/>
      <c r="J888" s="4"/>
    </row>
    <row r="889" spans="1:10">
      <c r="A889" s="1">
        <v>889</v>
      </c>
      <c r="B889" s="1" t="s">
        <v>1116</v>
      </c>
      <c r="C889" s="9">
        <v>45476</v>
      </c>
      <c r="D889" s="1" t="s">
        <v>39</v>
      </c>
      <c r="E889" s="1">
        <v>91572</v>
      </c>
      <c r="F889" s="4">
        <v>54621.85</v>
      </c>
      <c r="G889" s="4">
        <f t="shared" si="9"/>
        <v>10378.1515</v>
      </c>
      <c r="H889" s="4">
        <f t="shared" si="10"/>
        <v>65000.001499999998</v>
      </c>
      <c r="I889" s="4"/>
      <c r="J889" s="4"/>
    </row>
    <row r="890" spans="1:10">
      <c r="A890" s="1">
        <v>890</v>
      </c>
      <c r="B890" s="1" t="s">
        <v>1117</v>
      </c>
      <c r="C890" s="9">
        <v>45478</v>
      </c>
      <c r="D890" s="1" t="s">
        <v>39</v>
      </c>
      <c r="E890" s="1">
        <v>91573</v>
      </c>
      <c r="F890" s="4">
        <v>21008.400000000001</v>
      </c>
      <c r="G890" s="4">
        <f t="shared" si="9"/>
        <v>3991.5960000000005</v>
      </c>
      <c r="H890" s="4">
        <f t="shared" si="10"/>
        <v>24999.996000000003</v>
      </c>
      <c r="I890" s="4"/>
      <c r="J890" s="4"/>
    </row>
    <row r="891" spans="1:10">
      <c r="A891" s="1">
        <v>891</v>
      </c>
      <c r="B891" s="1" t="s">
        <v>1118</v>
      </c>
      <c r="C891" s="9">
        <v>45478</v>
      </c>
      <c r="D891" s="1" t="s">
        <v>39</v>
      </c>
      <c r="E891" s="1">
        <v>91574</v>
      </c>
      <c r="F891" s="4">
        <v>43697.48</v>
      </c>
      <c r="G891" s="4">
        <f t="shared" si="9"/>
        <v>8302.521200000001</v>
      </c>
      <c r="H891" s="4">
        <f t="shared" si="10"/>
        <v>52000.001200000006</v>
      </c>
      <c r="I891" s="4"/>
      <c r="J891" s="4"/>
    </row>
    <row r="892" spans="1:10">
      <c r="A892" s="1">
        <v>892</v>
      </c>
      <c r="B892" s="1" t="s">
        <v>1119</v>
      </c>
      <c r="C892" s="9">
        <v>45480</v>
      </c>
      <c r="D892" s="1" t="s">
        <v>39</v>
      </c>
      <c r="E892" s="1">
        <v>91575</v>
      </c>
      <c r="F892" s="4">
        <v>39495.800000000003</v>
      </c>
      <c r="G892" s="4">
        <f t="shared" si="9"/>
        <v>7504.2020000000002</v>
      </c>
      <c r="H892" s="4">
        <f t="shared" si="10"/>
        <v>47000.002</v>
      </c>
      <c r="I892" s="4"/>
      <c r="J892" s="4"/>
    </row>
    <row r="893" spans="1:10">
      <c r="A893" s="1">
        <v>893</v>
      </c>
      <c r="B893" s="1" t="s">
        <v>1120</v>
      </c>
      <c r="C893" s="9">
        <v>45481</v>
      </c>
      <c r="D893" s="1" t="s">
        <v>39</v>
      </c>
      <c r="E893" s="1">
        <v>91576</v>
      </c>
      <c r="F893" s="4">
        <v>39495.800000000003</v>
      </c>
      <c r="G893" s="4">
        <f t="shared" si="9"/>
        <v>7504.2020000000002</v>
      </c>
      <c r="H893" s="4">
        <f t="shared" si="10"/>
        <v>47000.002</v>
      </c>
      <c r="I893" s="4"/>
      <c r="J893" s="4"/>
    </row>
    <row r="894" spans="1:10">
      <c r="A894" s="1">
        <v>894</v>
      </c>
      <c r="B894" s="1" t="s">
        <v>1121</v>
      </c>
      <c r="C894" s="9">
        <v>45483</v>
      </c>
      <c r="D894" s="1" t="s">
        <v>39</v>
      </c>
      <c r="E894" s="1">
        <v>91577</v>
      </c>
      <c r="F894" s="4">
        <v>75462.179999999993</v>
      </c>
      <c r="G894" s="4">
        <f t="shared" si="9"/>
        <v>14337.814199999999</v>
      </c>
      <c r="H894" s="4">
        <f t="shared" si="10"/>
        <v>89799.994199999986</v>
      </c>
      <c r="I894" s="4"/>
      <c r="J894" s="4"/>
    </row>
    <row r="895" spans="1:10">
      <c r="A895" s="1">
        <v>895</v>
      </c>
      <c r="B895" s="1" t="s">
        <v>1112</v>
      </c>
      <c r="C895" s="9">
        <v>45483</v>
      </c>
      <c r="D895" s="1" t="s">
        <v>39</v>
      </c>
      <c r="E895" s="1">
        <v>91578</v>
      </c>
      <c r="F895" s="4">
        <v>56302.52</v>
      </c>
      <c r="G895" s="4">
        <f t="shared" si="9"/>
        <v>10697.478799999999</v>
      </c>
      <c r="H895" s="4">
        <f t="shared" si="10"/>
        <v>66999.998800000001</v>
      </c>
      <c r="I895" s="4"/>
      <c r="J895" s="4"/>
    </row>
    <row r="896" spans="1:10">
      <c r="A896" s="1">
        <v>896</v>
      </c>
      <c r="B896" s="1" t="s">
        <v>1122</v>
      </c>
      <c r="C896" s="9">
        <v>45483</v>
      </c>
      <c r="D896" s="1" t="s">
        <v>39</v>
      </c>
      <c r="E896" s="1">
        <v>91579</v>
      </c>
      <c r="F896" s="4">
        <v>33613.449999999997</v>
      </c>
      <c r="G896" s="4">
        <f t="shared" si="9"/>
        <v>6386.5554999999995</v>
      </c>
      <c r="H896" s="4">
        <f t="shared" si="10"/>
        <v>40000.005499999999</v>
      </c>
      <c r="I896" s="4"/>
      <c r="J896" s="4"/>
    </row>
    <row r="897" spans="1:10">
      <c r="A897" s="1">
        <v>897</v>
      </c>
      <c r="B897" s="1" t="s">
        <v>1123</v>
      </c>
      <c r="C897" s="7">
        <v>45486</v>
      </c>
      <c r="D897" s="1" t="s">
        <v>39</v>
      </c>
      <c r="E897" s="1">
        <v>91580</v>
      </c>
      <c r="F897" s="4">
        <v>41176.47</v>
      </c>
      <c r="G897" s="4">
        <f t="shared" si="9"/>
        <v>7823.5293000000001</v>
      </c>
      <c r="H897" s="4">
        <f t="shared" si="10"/>
        <v>48999.999300000003</v>
      </c>
      <c r="I897" s="4"/>
      <c r="J897" s="4"/>
    </row>
    <row r="898" spans="1:10">
      <c r="A898" s="1">
        <v>898</v>
      </c>
      <c r="B898" s="1" t="s">
        <v>1124</v>
      </c>
      <c r="C898" s="9">
        <v>45486</v>
      </c>
      <c r="D898" s="1" t="s">
        <v>39</v>
      </c>
      <c r="E898" s="1">
        <v>91581</v>
      </c>
      <c r="F898" s="4">
        <v>21008.400000000001</v>
      </c>
      <c r="G898" s="4">
        <f t="shared" si="9"/>
        <v>3991.5960000000005</v>
      </c>
      <c r="H898" s="4">
        <f t="shared" si="10"/>
        <v>24999.996000000003</v>
      </c>
      <c r="I898" s="4"/>
      <c r="J898" s="4"/>
    </row>
    <row r="899" spans="1:10">
      <c r="A899" s="1">
        <v>899</v>
      </c>
      <c r="B899" s="1" t="s">
        <v>705</v>
      </c>
      <c r="C899" s="9">
        <v>45492</v>
      </c>
      <c r="D899" s="1" t="s">
        <v>39</v>
      </c>
      <c r="E899" s="1">
        <v>91582</v>
      </c>
      <c r="F899" s="4">
        <v>31092.44</v>
      </c>
      <c r="G899" s="4">
        <f t="shared" si="9"/>
        <v>5907.5635999999995</v>
      </c>
      <c r="H899" s="4">
        <f t="shared" si="10"/>
        <v>37000.003599999996</v>
      </c>
      <c r="I899" s="4"/>
      <c r="J899" s="4"/>
    </row>
    <row r="900" spans="1:10">
      <c r="A900" s="1">
        <v>900</v>
      </c>
      <c r="B900" s="1" t="s">
        <v>1125</v>
      </c>
      <c r="C900" s="9">
        <v>45492</v>
      </c>
      <c r="D900" s="1" t="s">
        <v>39</v>
      </c>
      <c r="E900" s="1">
        <v>91583</v>
      </c>
      <c r="F900" s="4">
        <v>63865.55</v>
      </c>
      <c r="G900" s="4">
        <f t="shared" si="9"/>
        <v>12134.4545</v>
      </c>
      <c r="H900" s="4">
        <f t="shared" si="10"/>
        <v>76000.00450000001</v>
      </c>
      <c r="I900" s="4"/>
      <c r="J900" s="4"/>
    </row>
    <row r="901" spans="1:10">
      <c r="A901" s="1">
        <v>901</v>
      </c>
      <c r="B901" s="1" t="s">
        <v>1126</v>
      </c>
      <c r="C901" s="9">
        <v>45493</v>
      </c>
      <c r="D901" s="1" t="s">
        <v>39</v>
      </c>
      <c r="E901" s="1">
        <v>91584</v>
      </c>
      <c r="F901" s="4">
        <v>28571.43</v>
      </c>
      <c r="G901" s="4">
        <f t="shared" si="9"/>
        <v>5428.5717000000004</v>
      </c>
      <c r="H901" s="4">
        <f t="shared" si="10"/>
        <v>34000.001700000001</v>
      </c>
      <c r="I901" s="4"/>
      <c r="J901" s="4"/>
    </row>
    <row r="902" spans="1:10">
      <c r="A902" s="1">
        <v>902</v>
      </c>
      <c r="B902" s="1" t="s">
        <v>1127</v>
      </c>
      <c r="C902" s="9">
        <v>45494</v>
      </c>
      <c r="D902" s="1" t="s">
        <v>39</v>
      </c>
      <c r="E902" s="1">
        <v>91585</v>
      </c>
      <c r="F902" s="16">
        <v>28571.43</v>
      </c>
      <c r="G902" s="4">
        <f t="shared" si="9"/>
        <v>5428.5717000000004</v>
      </c>
      <c r="H902" s="4">
        <f t="shared" si="10"/>
        <v>34000.001700000001</v>
      </c>
      <c r="I902" s="4"/>
      <c r="J902" s="4"/>
    </row>
    <row r="903" spans="1:10">
      <c r="A903" s="1">
        <v>903</v>
      </c>
      <c r="B903" s="1" t="s">
        <v>1128</v>
      </c>
      <c r="C903" s="9">
        <v>45496</v>
      </c>
      <c r="D903" s="1" t="s">
        <v>39</v>
      </c>
      <c r="E903" s="1">
        <v>91586</v>
      </c>
      <c r="F903" s="4">
        <v>46806.720000000001</v>
      </c>
      <c r="G903" s="4">
        <f t="shared" si="9"/>
        <v>8893.2767999999996</v>
      </c>
      <c r="H903" s="4">
        <f t="shared" si="10"/>
        <v>55699.996800000001</v>
      </c>
      <c r="I903" s="4"/>
      <c r="J903" s="4"/>
    </row>
    <row r="904" spans="1:10">
      <c r="A904" s="1">
        <v>904</v>
      </c>
      <c r="B904" s="1" t="s">
        <v>1129</v>
      </c>
      <c r="C904" s="9">
        <v>45496</v>
      </c>
      <c r="D904" s="1" t="s">
        <v>39</v>
      </c>
      <c r="E904" s="1">
        <v>91587</v>
      </c>
      <c r="F904" s="4">
        <v>154369.75</v>
      </c>
      <c r="G904" s="4">
        <f t="shared" si="9"/>
        <v>29330.252499999999</v>
      </c>
      <c r="H904" s="4">
        <f t="shared" si="10"/>
        <v>183700.0025</v>
      </c>
      <c r="I904" s="4"/>
      <c r="J904" s="4"/>
    </row>
    <row r="905" spans="1:10">
      <c r="A905" s="1">
        <v>905</v>
      </c>
      <c r="B905" s="1" t="s">
        <v>981</v>
      </c>
      <c r="C905" s="9">
        <v>45496</v>
      </c>
      <c r="D905" s="1" t="s">
        <v>39</v>
      </c>
      <c r="E905" s="1">
        <v>91588</v>
      </c>
      <c r="F905" s="4">
        <v>27731.09</v>
      </c>
      <c r="G905" s="4">
        <f t="shared" si="9"/>
        <v>5268.9071000000004</v>
      </c>
      <c r="H905" s="4">
        <f t="shared" si="10"/>
        <v>32999.997100000001</v>
      </c>
      <c r="I905" s="4"/>
      <c r="J905" s="4"/>
    </row>
    <row r="906" spans="1:10">
      <c r="A906" s="1">
        <v>906</v>
      </c>
      <c r="B906" s="1" t="s">
        <v>705</v>
      </c>
      <c r="C906" s="9">
        <v>45499</v>
      </c>
      <c r="D906" s="1" t="s">
        <v>39</v>
      </c>
      <c r="E906" s="1">
        <v>91589</v>
      </c>
      <c r="F906" s="4">
        <v>31092.44</v>
      </c>
      <c r="G906" s="4">
        <f t="shared" si="9"/>
        <v>5907.5635999999995</v>
      </c>
      <c r="H906" s="4">
        <f t="shared" si="10"/>
        <v>37000.003599999996</v>
      </c>
      <c r="I906" s="4"/>
      <c r="J906" s="4"/>
    </row>
    <row r="907" spans="1:10">
      <c r="A907" s="1">
        <v>907</v>
      </c>
      <c r="B907" s="1" t="s">
        <v>1108</v>
      </c>
      <c r="C907" s="9">
        <v>45501</v>
      </c>
      <c r="D907" s="1" t="s">
        <v>39</v>
      </c>
      <c r="E907" s="1">
        <v>91590</v>
      </c>
      <c r="F907" s="4">
        <v>28571.43</v>
      </c>
      <c r="G907" s="4">
        <f t="shared" si="9"/>
        <v>5428.5717000000004</v>
      </c>
      <c r="H907" s="4">
        <f t="shared" si="10"/>
        <v>34000.001700000001</v>
      </c>
      <c r="I907" s="4"/>
      <c r="J907" s="4"/>
    </row>
    <row r="908" spans="1:10">
      <c r="A908" s="1">
        <v>908</v>
      </c>
      <c r="B908" s="1" t="s">
        <v>1130</v>
      </c>
      <c r="C908" s="9">
        <v>45501</v>
      </c>
      <c r="D908" s="1" t="s">
        <v>39</v>
      </c>
      <c r="E908" s="1">
        <v>91591</v>
      </c>
      <c r="F908" s="4">
        <v>8403.36</v>
      </c>
      <c r="G908" s="4">
        <f t="shared" si="9"/>
        <v>1596.6384</v>
      </c>
      <c r="H908" s="4">
        <f t="shared" si="10"/>
        <v>9999.9984000000004</v>
      </c>
      <c r="I908" s="4"/>
      <c r="J908" s="4"/>
    </row>
    <row r="909" spans="1:10">
      <c r="A909" s="1">
        <v>909</v>
      </c>
      <c r="B909" s="1" t="s">
        <v>1131</v>
      </c>
      <c r="C909" s="9">
        <v>45502</v>
      </c>
      <c r="D909" s="1" t="s">
        <v>12</v>
      </c>
      <c r="E909" s="1">
        <v>19</v>
      </c>
      <c r="F909" s="4">
        <v>46638.66</v>
      </c>
      <c r="G909" s="4">
        <f t="shared" si="9"/>
        <v>8861.3454000000002</v>
      </c>
      <c r="H909" s="4">
        <f t="shared" si="10"/>
        <v>55500.005400000002</v>
      </c>
      <c r="I909" s="4"/>
      <c r="J909" s="4"/>
    </row>
    <row r="910" spans="1:10">
      <c r="A910" s="1">
        <v>910</v>
      </c>
      <c r="B910" s="1" t="s">
        <v>1132</v>
      </c>
      <c r="C910" s="9">
        <v>45506</v>
      </c>
      <c r="D910" s="1" t="s">
        <v>39</v>
      </c>
      <c r="E910" s="1">
        <v>91593</v>
      </c>
      <c r="F910" s="4">
        <v>47647.06</v>
      </c>
      <c r="G910" s="4">
        <f t="shared" si="9"/>
        <v>9052.9413999999997</v>
      </c>
      <c r="H910" s="4">
        <f t="shared" si="10"/>
        <v>56700.001399999994</v>
      </c>
      <c r="I910" s="4"/>
      <c r="J910" s="4"/>
    </row>
    <row r="911" spans="1:10">
      <c r="A911" s="1">
        <v>911</v>
      </c>
      <c r="B911" s="1" t="s">
        <v>1133</v>
      </c>
      <c r="C911" s="9">
        <v>45506</v>
      </c>
      <c r="D911" s="1" t="s">
        <v>39</v>
      </c>
      <c r="E911" s="1">
        <v>91592</v>
      </c>
      <c r="F911" s="4">
        <v>40336.129999999997</v>
      </c>
      <c r="G911" s="4">
        <f t="shared" si="9"/>
        <v>7663.8646999999992</v>
      </c>
      <c r="H911" s="4">
        <f t="shared" si="10"/>
        <v>47999.994699999996</v>
      </c>
      <c r="I911" s="4"/>
      <c r="J911" s="4"/>
    </row>
    <row r="912" spans="1:10">
      <c r="A912" s="1">
        <v>912</v>
      </c>
      <c r="B912" s="1" t="s">
        <v>1134</v>
      </c>
      <c r="C912" s="9">
        <v>45508</v>
      </c>
      <c r="D912" s="1" t="s">
        <v>39</v>
      </c>
      <c r="E912" s="1">
        <v>91594</v>
      </c>
      <c r="F912" s="4">
        <v>16806.72</v>
      </c>
      <c r="G912" s="4">
        <f t="shared" si="9"/>
        <v>3193.2768000000001</v>
      </c>
      <c r="H912" s="4">
        <f t="shared" si="10"/>
        <v>19999.996800000001</v>
      </c>
      <c r="I912" s="4"/>
      <c r="J912" s="4"/>
    </row>
    <row r="913" spans="1:10">
      <c r="A913" s="1">
        <v>913</v>
      </c>
      <c r="B913" s="1" t="s">
        <v>1135</v>
      </c>
      <c r="C913" s="9">
        <v>45508</v>
      </c>
      <c r="D913" s="1" t="s">
        <v>759</v>
      </c>
      <c r="E913" s="1">
        <v>26</v>
      </c>
      <c r="F913" s="4">
        <v>4201.68</v>
      </c>
      <c r="G913" s="4">
        <f t="shared" si="9"/>
        <v>798.31920000000002</v>
      </c>
      <c r="H913" s="4">
        <f t="shared" si="10"/>
        <v>4999.9992000000002</v>
      </c>
      <c r="I913" s="4"/>
      <c r="J913" s="4"/>
    </row>
    <row r="914" spans="1:10">
      <c r="A914" s="1">
        <v>914</v>
      </c>
      <c r="B914" s="1" t="s">
        <v>1136</v>
      </c>
      <c r="C914" s="9">
        <v>45508</v>
      </c>
      <c r="D914" s="1" t="s">
        <v>39</v>
      </c>
      <c r="E914" s="1">
        <v>91595</v>
      </c>
      <c r="F914" s="4">
        <v>38655.46</v>
      </c>
      <c r="G914" s="4">
        <f t="shared" si="9"/>
        <v>7344.5374000000002</v>
      </c>
      <c r="H914" s="4">
        <f t="shared" si="10"/>
        <v>45999.9974</v>
      </c>
      <c r="I914" s="4"/>
      <c r="J914" s="4"/>
    </row>
    <row r="915" spans="1:10">
      <c r="A915" s="1">
        <v>915</v>
      </c>
      <c r="B915" s="1" t="s">
        <v>1137</v>
      </c>
      <c r="C915" s="9">
        <v>45510</v>
      </c>
      <c r="D915" s="1" t="s">
        <v>39</v>
      </c>
      <c r="E915" s="1">
        <v>91596</v>
      </c>
      <c r="F915" s="4">
        <v>79831.929999999993</v>
      </c>
      <c r="G915" s="4">
        <f t="shared" si="9"/>
        <v>15168.066699999999</v>
      </c>
      <c r="H915" s="4">
        <f t="shared" si="10"/>
        <v>94999.996699999989</v>
      </c>
      <c r="I915" s="4"/>
      <c r="J915" s="4"/>
    </row>
    <row r="916" spans="1:10">
      <c r="A916" s="1">
        <v>916</v>
      </c>
      <c r="B916" s="1" t="s">
        <v>1138</v>
      </c>
      <c r="C916" s="9">
        <v>45511</v>
      </c>
      <c r="D916" s="1" t="s">
        <v>39</v>
      </c>
      <c r="E916" s="1">
        <v>91597</v>
      </c>
      <c r="F916" s="4">
        <v>26050.42</v>
      </c>
      <c r="G916" s="4">
        <f t="shared" si="9"/>
        <v>4949.5797999999995</v>
      </c>
      <c r="H916" s="4">
        <f t="shared" si="10"/>
        <v>30999.999799999998</v>
      </c>
      <c r="I916" s="4"/>
      <c r="J916" s="4"/>
    </row>
    <row r="917" spans="1:10">
      <c r="A917" s="1">
        <v>917</v>
      </c>
      <c r="B917" s="1" t="s">
        <v>1139</v>
      </c>
      <c r="C917" s="9">
        <v>45511</v>
      </c>
      <c r="D917" s="1" t="s">
        <v>39</v>
      </c>
      <c r="E917" s="1">
        <v>91598</v>
      </c>
      <c r="F917" s="4">
        <v>28571.43</v>
      </c>
      <c r="G917" s="4">
        <f t="shared" si="9"/>
        <v>5428.5717000000004</v>
      </c>
      <c r="H917" s="4">
        <f t="shared" si="10"/>
        <v>34000.001700000001</v>
      </c>
      <c r="I917" s="4"/>
      <c r="J917" s="4"/>
    </row>
    <row r="918" spans="1:10">
      <c r="A918" s="1">
        <v>918</v>
      </c>
      <c r="B918" s="1" t="s">
        <v>1140</v>
      </c>
      <c r="C918" s="9">
        <v>45511</v>
      </c>
      <c r="D918" s="1" t="s">
        <v>39</v>
      </c>
      <c r="E918" s="1">
        <v>91599</v>
      </c>
      <c r="F918" s="4">
        <v>42605.04</v>
      </c>
      <c r="G918" s="4">
        <f t="shared" si="9"/>
        <v>8094.9576000000006</v>
      </c>
      <c r="H918" s="4">
        <f t="shared" si="10"/>
        <v>50699.997600000002</v>
      </c>
      <c r="I918" s="4"/>
      <c r="J918" s="4"/>
    </row>
    <row r="919" spans="1:10">
      <c r="A919" s="1">
        <v>919</v>
      </c>
      <c r="B919" s="1" t="s">
        <v>1141</v>
      </c>
      <c r="C919" s="9">
        <v>45515</v>
      </c>
      <c r="D919" s="1" t="s">
        <v>39</v>
      </c>
      <c r="E919" s="1">
        <v>91600</v>
      </c>
      <c r="F919" s="4">
        <v>16806.72</v>
      </c>
      <c r="G919" s="4">
        <f t="shared" si="9"/>
        <v>3193.2768000000001</v>
      </c>
      <c r="H919" s="4">
        <f t="shared" si="10"/>
        <v>19999.996800000001</v>
      </c>
      <c r="I919" s="4"/>
      <c r="J919" s="4"/>
    </row>
    <row r="920" spans="1:10">
      <c r="A920" s="1">
        <v>920</v>
      </c>
      <c r="B920" s="1" t="s">
        <v>1142</v>
      </c>
      <c r="C920" s="9">
        <v>45515</v>
      </c>
      <c r="D920" s="1" t="s">
        <v>39</v>
      </c>
      <c r="E920" s="1">
        <v>91601</v>
      </c>
      <c r="F920" s="4">
        <v>16806.72</v>
      </c>
      <c r="G920" s="4">
        <f t="shared" si="9"/>
        <v>3193.2768000000001</v>
      </c>
      <c r="H920" s="4">
        <f t="shared" si="10"/>
        <v>19999.996800000001</v>
      </c>
      <c r="I920" s="4"/>
      <c r="J920" s="4"/>
    </row>
    <row r="921" spans="1:10">
      <c r="A921" s="1">
        <v>921</v>
      </c>
      <c r="B921" s="1" t="s">
        <v>1143</v>
      </c>
      <c r="C921" s="9">
        <v>45515</v>
      </c>
      <c r="D921" s="1" t="s">
        <v>39</v>
      </c>
      <c r="E921" s="1">
        <v>91602</v>
      </c>
      <c r="F921" s="4">
        <v>82352.94</v>
      </c>
      <c r="G921" s="4">
        <f t="shared" si="9"/>
        <v>15647.0586</v>
      </c>
      <c r="H921" s="4">
        <f t="shared" si="10"/>
        <v>97999.998600000006</v>
      </c>
      <c r="I921" s="4"/>
      <c r="J921" s="4"/>
    </row>
    <row r="922" spans="1:10">
      <c r="A922" s="1">
        <v>922</v>
      </c>
      <c r="B922" s="1" t="s">
        <v>1144</v>
      </c>
      <c r="C922" s="9">
        <v>45518</v>
      </c>
      <c r="D922" s="1"/>
      <c r="F922" s="4">
        <v>8403.36</v>
      </c>
      <c r="G922" s="4">
        <f t="shared" si="9"/>
        <v>1596.6384</v>
      </c>
      <c r="H922" s="4">
        <f t="shared" si="10"/>
        <v>9999.9984000000004</v>
      </c>
      <c r="I922" s="4"/>
      <c r="J922" s="4"/>
    </row>
    <row r="923" spans="1:10">
      <c r="A923" s="1">
        <v>923</v>
      </c>
      <c r="B923" s="1" t="s">
        <v>1145</v>
      </c>
      <c r="C923" s="9">
        <v>45519</v>
      </c>
      <c r="D923" s="1" t="s">
        <v>12</v>
      </c>
      <c r="E923" s="1">
        <v>20</v>
      </c>
      <c r="F923" s="4">
        <v>79831.929999999993</v>
      </c>
      <c r="G923" s="4">
        <f t="shared" si="9"/>
        <v>15168.066699999999</v>
      </c>
      <c r="H923" s="4">
        <f t="shared" si="10"/>
        <v>94999.996699999989</v>
      </c>
      <c r="I923" s="4"/>
      <c r="J923" s="4"/>
    </row>
    <row r="924" spans="1:10">
      <c r="A924" s="1">
        <v>924</v>
      </c>
      <c r="B924" s="1" t="s">
        <v>1146</v>
      </c>
      <c r="C924" s="9">
        <v>45519</v>
      </c>
      <c r="D924" s="1" t="s">
        <v>39</v>
      </c>
      <c r="E924" s="1">
        <v>91603</v>
      </c>
      <c r="F924" s="4">
        <v>60504.2</v>
      </c>
      <c r="G924" s="4">
        <f t="shared" si="9"/>
        <v>11495.797999999999</v>
      </c>
      <c r="H924" s="4">
        <f t="shared" si="10"/>
        <v>71999.997999999992</v>
      </c>
      <c r="I924" s="4"/>
      <c r="J924" s="4"/>
    </row>
    <row r="925" spans="1:10">
      <c r="A925" s="1">
        <v>925</v>
      </c>
      <c r="B925" s="1" t="s">
        <v>1147</v>
      </c>
      <c r="C925" s="9">
        <v>45525</v>
      </c>
      <c r="D925" s="1" t="s">
        <v>39</v>
      </c>
      <c r="E925" s="1">
        <v>91604</v>
      </c>
      <c r="F925" s="4">
        <v>35294.120000000003</v>
      </c>
      <c r="G925" s="4">
        <f t="shared" si="9"/>
        <v>6705.8828000000003</v>
      </c>
      <c r="H925" s="4">
        <f t="shared" si="10"/>
        <v>42000.002800000002</v>
      </c>
      <c r="I925" s="4"/>
      <c r="J925" s="4"/>
    </row>
    <row r="926" spans="1:10">
      <c r="A926" s="1">
        <v>926</v>
      </c>
      <c r="B926" s="1" t="s">
        <v>1148</v>
      </c>
      <c r="C926" s="9">
        <v>45530</v>
      </c>
      <c r="D926" s="1" t="s">
        <v>39</v>
      </c>
      <c r="E926" s="1">
        <v>91605</v>
      </c>
      <c r="F926" s="4">
        <v>36974.79</v>
      </c>
      <c r="G926" s="4">
        <f t="shared" si="9"/>
        <v>7025.2101000000002</v>
      </c>
      <c r="H926" s="4">
        <f t="shared" si="10"/>
        <v>44000.000100000005</v>
      </c>
      <c r="I926" s="4"/>
      <c r="J926" s="4"/>
    </row>
    <row r="927" spans="1:10">
      <c r="A927" s="1">
        <v>927</v>
      </c>
      <c r="B927" s="1" t="s">
        <v>1149</v>
      </c>
      <c r="C927" s="9">
        <v>45530</v>
      </c>
      <c r="D927" s="1" t="s">
        <v>39</v>
      </c>
      <c r="E927" s="1">
        <v>91606</v>
      </c>
      <c r="F927" s="4">
        <v>21008.400000000001</v>
      </c>
      <c r="G927" s="4">
        <f t="shared" si="9"/>
        <v>3991.5960000000005</v>
      </c>
      <c r="H927" s="4">
        <f t="shared" si="10"/>
        <v>24999.996000000003</v>
      </c>
      <c r="I927" s="4"/>
      <c r="J927" s="4"/>
    </row>
    <row r="928" spans="1:10">
      <c r="A928" s="1">
        <v>928</v>
      </c>
      <c r="B928" s="1" t="s">
        <v>1150</v>
      </c>
      <c r="C928" s="9">
        <v>45530</v>
      </c>
      <c r="D928" s="1" t="s">
        <v>39</v>
      </c>
      <c r="E928" s="1">
        <v>91607</v>
      </c>
      <c r="F928" s="4">
        <v>21008.400000000001</v>
      </c>
      <c r="G928" s="4">
        <f t="shared" si="9"/>
        <v>3991.5960000000005</v>
      </c>
      <c r="H928" s="4">
        <f t="shared" si="10"/>
        <v>24999.996000000003</v>
      </c>
      <c r="I928" s="4"/>
      <c r="J928" s="4"/>
    </row>
    <row r="929" spans="1:10">
      <c r="A929" s="1">
        <v>929</v>
      </c>
      <c r="B929" s="1" t="s">
        <v>1149</v>
      </c>
      <c r="C929" s="9">
        <v>45530</v>
      </c>
      <c r="D929" s="1" t="s">
        <v>39</v>
      </c>
      <c r="E929" s="1">
        <v>91608</v>
      </c>
      <c r="F929" s="4">
        <v>21008.400000000001</v>
      </c>
      <c r="G929" s="4">
        <f t="shared" si="9"/>
        <v>3991.5960000000005</v>
      </c>
      <c r="H929" s="4">
        <f t="shared" si="10"/>
        <v>24999.996000000003</v>
      </c>
      <c r="I929" s="4"/>
      <c r="J929" s="4"/>
    </row>
    <row r="930" spans="1:10">
      <c r="A930" s="1">
        <v>930</v>
      </c>
      <c r="B930" s="1" t="s">
        <v>1151</v>
      </c>
      <c r="C930" s="9">
        <v>45532</v>
      </c>
      <c r="D930" s="1" t="s">
        <v>39</v>
      </c>
      <c r="E930" s="1">
        <v>91609</v>
      </c>
      <c r="F930" s="4">
        <v>32773.11</v>
      </c>
      <c r="G930" s="4">
        <f t="shared" si="9"/>
        <v>6226.8909000000003</v>
      </c>
      <c r="H930" s="4">
        <f t="shared" si="10"/>
        <v>39000.000899999999</v>
      </c>
      <c r="I930" s="4"/>
      <c r="J930" s="4"/>
    </row>
    <row r="931" spans="1:10">
      <c r="A931" s="1">
        <v>931</v>
      </c>
      <c r="B931" s="1" t="s">
        <v>1152</v>
      </c>
      <c r="C931" s="9">
        <v>45532</v>
      </c>
      <c r="D931" s="1" t="s">
        <v>12</v>
      </c>
      <c r="E931" s="1">
        <v>21</v>
      </c>
      <c r="F931" s="4">
        <v>70588.240000000005</v>
      </c>
      <c r="G931" s="4">
        <f t="shared" si="9"/>
        <v>13411.765600000001</v>
      </c>
      <c r="H931" s="4">
        <f t="shared" si="10"/>
        <v>84000.005600000004</v>
      </c>
      <c r="I931" s="4"/>
      <c r="J931" s="4"/>
    </row>
    <row r="932" spans="1:10">
      <c r="A932" s="1">
        <v>932</v>
      </c>
      <c r="B932" s="1" t="s">
        <v>1153</v>
      </c>
      <c r="C932" s="9">
        <v>45534</v>
      </c>
      <c r="D932" s="1" t="s">
        <v>39</v>
      </c>
      <c r="E932" s="1">
        <v>91610</v>
      </c>
      <c r="F932" s="4">
        <v>39495.800000000003</v>
      </c>
      <c r="G932" s="4">
        <f t="shared" si="9"/>
        <v>7504.2020000000002</v>
      </c>
      <c r="H932" s="4">
        <f t="shared" si="10"/>
        <v>47000.002</v>
      </c>
      <c r="I932" s="4"/>
      <c r="J932" s="4"/>
    </row>
    <row r="933" spans="1:10">
      <c r="A933" s="1">
        <v>933</v>
      </c>
      <c r="B933" s="1" t="s">
        <v>1154</v>
      </c>
      <c r="C933" s="9">
        <v>45535</v>
      </c>
      <c r="D933" s="1" t="s">
        <v>39</v>
      </c>
      <c r="E933" s="1">
        <v>91611</v>
      </c>
      <c r="F933" s="4">
        <v>28991.599999999999</v>
      </c>
      <c r="G933" s="4">
        <f t="shared" si="9"/>
        <v>5508.4039999999995</v>
      </c>
      <c r="H933" s="4">
        <f t="shared" si="10"/>
        <v>34500.004000000001</v>
      </c>
      <c r="I933" s="4"/>
      <c r="J933" s="4"/>
    </row>
    <row r="934" spans="1:10">
      <c r="A934" s="1">
        <v>934</v>
      </c>
      <c r="B934" s="1" t="s">
        <v>1155</v>
      </c>
      <c r="C934" s="9">
        <v>45535</v>
      </c>
      <c r="D934" s="1" t="s">
        <v>39</v>
      </c>
      <c r="E934" s="1">
        <v>91612</v>
      </c>
      <c r="F934" s="4">
        <v>9663.8700000000008</v>
      </c>
      <c r="G934" s="4">
        <f t="shared" si="9"/>
        <v>1836.1353000000001</v>
      </c>
      <c r="H934" s="4">
        <f t="shared" si="10"/>
        <v>11500.005300000001</v>
      </c>
      <c r="I934" s="4"/>
      <c r="J934" s="4"/>
    </row>
    <row r="935" spans="1:10">
      <c r="A935" s="1">
        <v>935</v>
      </c>
      <c r="B935" s="1" t="s">
        <v>1156</v>
      </c>
      <c r="C935" s="9">
        <v>45536</v>
      </c>
      <c r="D935" s="1" t="s">
        <v>39</v>
      </c>
      <c r="E935" s="1">
        <v>91613</v>
      </c>
      <c r="F935" s="4">
        <v>21008.400000000001</v>
      </c>
      <c r="G935" s="4">
        <f t="shared" si="9"/>
        <v>3991.5960000000005</v>
      </c>
      <c r="H935" s="4">
        <f t="shared" si="10"/>
        <v>24999.996000000003</v>
      </c>
      <c r="I935" s="4"/>
      <c r="J935" s="4"/>
    </row>
    <row r="936" spans="1:10">
      <c r="A936" s="1">
        <v>936</v>
      </c>
      <c r="B936" s="1" t="s">
        <v>1157</v>
      </c>
      <c r="C936" s="9">
        <v>45536</v>
      </c>
      <c r="D936" s="1" t="s">
        <v>39</v>
      </c>
      <c r="E936" s="1">
        <v>91614</v>
      </c>
      <c r="F936" s="4">
        <v>27731.09</v>
      </c>
      <c r="G936" s="4">
        <f t="shared" si="9"/>
        <v>5268.9071000000004</v>
      </c>
      <c r="H936" s="4">
        <f t="shared" si="10"/>
        <v>32999.997100000001</v>
      </c>
      <c r="I936" s="4"/>
      <c r="J936" s="4"/>
    </row>
    <row r="937" spans="1:10">
      <c r="A937" s="1">
        <v>937</v>
      </c>
      <c r="B937" s="1" t="s">
        <v>1158</v>
      </c>
      <c r="C937" s="9">
        <v>45539</v>
      </c>
      <c r="D937" s="1" t="s">
        <v>39</v>
      </c>
      <c r="E937" s="1">
        <v>91615</v>
      </c>
      <c r="F937" s="4">
        <v>4201.68</v>
      </c>
      <c r="G937" s="4">
        <f t="shared" si="9"/>
        <v>798.31920000000002</v>
      </c>
      <c r="H937" s="4">
        <f t="shared" si="10"/>
        <v>4999.9992000000002</v>
      </c>
      <c r="I937" s="4"/>
      <c r="J937" s="4"/>
    </row>
    <row r="938" spans="1:10">
      <c r="A938" s="1">
        <v>938</v>
      </c>
      <c r="B938" s="1" t="s">
        <v>1159</v>
      </c>
      <c r="C938" s="9">
        <v>45539</v>
      </c>
      <c r="D938" s="1" t="s">
        <v>39</v>
      </c>
      <c r="E938" s="1">
        <v>91616</v>
      </c>
      <c r="F938" s="4">
        <v>37815.129999999997</v>
      </c>
      <c r="G938" s="4">
        <f t="shared" si="9"/>
        <v>7184.8746999999994</v>
      </c>
      <c r="H938" s="4">
        <f t="shared" si="10"/>
        <v>45000.004699999998</v>
      </c>
      <c r="I938" s="4"/>
      <c r="J938" s="4"/>
    </row>
    <row r="939" spans="1:10">
      <c r="A939" s="1">
        <v>939</v>
      </c>
      <c r="B939" s="1" t="s">
        <v>1160</v>
      </c>
      <c r="C939" s="9">
        <v>45539</v>
      </c>
      <c r="D939" s="1" t="s">
        <v>39</v>
      </c>
      <c r="E939" s="1">
        <v>91617</v>
      </c>
      <c r="F939" s="4">
        <v>16806.72</v>
      </c>
      <c r="G939" s="4">
        <f t="shared" si="9"/>
        <v>3193.2768000000001</v>
      </c>
      <c r="H939" s="4">
        <f t="shared" si="10"/>
        <v>19999.996800000001</v>
      </c>
      <c r="I939" s="4"/>
      <c r="J939" s="4"/>
    </row>
    <row r="940" spans="1:10">
      <c r="A940" s="1">
        <v>940</v>
      </c>
      <c r="B940" s="1" t="s">
        <v>928</v>
      </c>
      <c r="C940" s="9">
        <v>45543</v>
      </c>
      <c r="D940" s="1" t="s">
        <v>39</v>
      </c>
      <c r="E940" s="1">
        <v>91618</v>
      </c>
      <c r="F940" s="4">
        <v>23529.411</v>
      </c>
      <c r="G940" s="4">
        <f t="shared" si="9"/>
        <v>4470.5880900000002</v>
      </c>
      <c r="H940" s="4">
        <f t="shared" si="10"/>
        <v>27999.999090000001</v>
      </c>
      <c r="I940" s="4"/>
      <c r="J940" s="4"/>
    </row>
    <row r="941" spans="1:10">
      <c r="A941" s="1">
        <v>941</v>
      </c>
      <c r="B941" s="1" t="s">
        <v>1161</v>
      </c>
      <c r="C941" s="9">
        <v>45547</v>
      </c>
      <c r="D941" s="1" t="s">
        <v>39</v>
      </c>
      <c r="E941" s="1">
        <v>91619</v>
      </c>
      <c r="F941" s="4">
        <v>22268.9</v>
      </c>
      <c r="G941" s="4">
        <f t="shared" ref="G941:G1195" si="11">F941*0.19</f>
        <v>4231.0910000000003</v>
      </c>
      <c r="H941" s="4">
        <f t="shared" ref="H941:H1195" si="12">F941+G941</f>
        <v>26499.991000000002</v>
      </c>
      <c r="I941" s="4"/>
      <c r="J941" s="4"/>
    </row>
    <row r="942" spans="1:10">
      <c r="A942" s="1">
        <v>942</v>
      </c>
      <c r="B942" s="1" t="s">
        <v>1162</v>
      </c>
      <c r="C942" s="9">
        <v>45547</v>
      </c>
      <c r="D942" s="1" t="s">
        <v>12</v>
      </c>
      <c r="E942" s="1">
        <v>22</v>
      </c>
      <c r="F942" s="4">
        <v>31092.44</v>
      </c>
      <c r="G942" s="4">
        <f t="shared" si="11"/>
        <v>5907.5635999999995</v>
      </c>
      <c r="H942" s="4">
        <f t="shared" si="12"/>
        <v>37000.003599999996</v>
      </c>
      <c r="I942" s="4"/>
      <c r="J942" s="4"/>
    </row>
    <row r="943" spans="1:10">
      <c r="A943" s="1">
        <v>943</v>
      </c>
      <c r="B943" s="1" t="s">
        <v>1163</v>
      </c>
      <c r="C943" s="9">
        <v>45548</v>
      </c>
      <c r="D943" s="1" t="s">
        <v>39</v>
      </c>
      <c r="E943" s="1">
        <v>91620</v>
      </c>
      <c r="F943" s="4">
        <v>30252.1</v>
      </c>
      <c r="G943" s="4">
        <f t="shared" si="11"/>
        <v>5747.8989999999994</v>
      </c>
      <c r="H943" s="4">
        <f t="shared" si="12"/>
        <v>35999.998999999996</v>
      </c>
      <c r="I943" s="4"/>
      <c r="J943" s="4"/>
    </row>
    <row r="944" spans="1:10">
      <c r="A944" s="1">
        <v>944</v>
      </c>
      <c r="B944" s="1" t="s">
        <v>1164</v>
      </c>
      <c r="C944" s="9">
        <v>45549</v>
      </c>
      <c r="D944" s="1" t="s">
        <v>39</v>
      </c>
      <c r="E944" s="1">
        <v>91621</v>
      </c>
      <c r="F944" s="4">
        <v>53697.47</v>
      </c>
      <c r="G944" s="4">
        <f t="shared" si="11"/>
        <v>10202.5193</v>
      </c>
      <c r="H944" s="4">
        <f t="shared" si="12"/>
        <v>63899.989300000001</v>
      </c>
      <c r="I944" s="4"/>
      <c r="J944" s="4"/>
    </row>
    <row r="945" spans="1:10">
      <c r="A945" s="1">
        <v>945</v>
      </c>
      <c r="B945" s="1" t="s">
        <v>1165</v>
      </c>
      <c r="C945" s="9">
        <v>45549</v>
      </c>
      <c r="D945" s="1" t="s">
        <v>39</v>
      </c>
      <c r="E945" s="1">
        <v>91622</v>
      </c>
      <c r="F945" s="4">
        <v>74369.75</v>
      </c>
      <c r="G945" s="4">
        <f t="shared" si="11"/>
        <v>14130.252500000001</v>
      </c>
      <c r="H945" s="4">
        <f t="shared" si="12"/>
        <v>88500.002500000002</v>
      </c>
      <c r="I945" s="4"/>
      <c r="J945" s="4"/>
    </row>
    <row r="946" spans="1:10">
      <c r="A946" s="1">
        <v>946</v>
      </c>
      <c r="B946" s="1" t="s">
        <v>1166</v>
      </c>
      <c r="C946" s="9">
        <v>45551</v>
      </c>
      <c r="D946" s="1" t="s">
        <v>39</v>
      </c>
      <c r="E946" s="1">
        <v>91624</v>
      </c>
      <c r="F946" s="4">
        <v>12605.04</v>
      </c>
      <c r="G946" s="4">
        <f t="shared" si="11"/>
        <v>2394.9576000000002</v>
      </c>
      <c r="H946" s="4">
        <f t="shared" si="12"/>
        <v>14999.997600000001</v>
      </c>
      <c r="I946" s="4"/>
      <c r="J946" s="4"/>
    </row>
    <row r="947" spans="1:10">
      <c r="A947" s="1">
        <v>947</v>
      </c>
      <c r="B947" s="1" t="s">
        <v>1167</v>
      </c>
      <c r="C947" s="9">
        <v>45551</v>
      </c>
      <c r="D947" s="1" t="s">
        <v>39</v>
      </c>
      <c r="E947" s="1">
        <v>91623</v>
      </c>
      <c r="F947" s="4">
        <v>23529.41</v>
      </c>
      <c r="G947" s="4">
        <f t="shared" si="11"/>
        <v>4470.5879000000004</v>
      </c>
      <c r="H947" s="4">
        <f t="shared" si="12"/>
        <v>27999.997900000002</v>
      </c>
      <c r="I947" s="4"/>
      <c r="J947" s="4"/>
    </row>
    <row r="948" spans="1:10">
      <c r="A948" s="1">
        <v>948</v>
      </c>
      <c r="B948" s="1" t="s">
        <v>1168</v>
      </c>
      <c r="C948" s="9">
        <v>45551</v>
      </c>
      <c r="D948" s="1" t="s">
        <v>12</v>
      </c>
      <c r="E948" s="1">
        <v>23</v>
      </c>
      <c r="F948" s="4">
        <v>25210.080000000002</v>
      </c>
      <c r="G948" s="4">
        <f t="shared" si="11"/>
        <v>4789.9152000000004</v>
      </c>
      <c r="H948" s="4">
        <f t="shared" si="12"/>
        <v>29999.995200000001</v>
      </c>
      <c r="I948" s="4"/>
      <c r="J948" s="4"/>
    </row>
    <row r="949" spans="1:10">
      <c r="A949" s="1">
        <v>949</v>
      </c>
      <c r="B949" s="1" t="s">
        <v>1169</v>
      </c>
      <c r="C949" s="9">
        <v>45551</v>
      </c>
      <c r="D949" s="1" t="s">
        <v>39</v>
      </c>
      <c r="E949" s="1">
        <v>91625</v>
      </c>
      <c r="F949" s="4">
        <v>16806.72</v>
      </c>
      <c r="G949" s="4">
        <f t="shared" si="11"/>
        <v>3193.2768000000001</v>
      </c>
      <c r="H949" s="4">
        <f t="shared" si="12"/>
        <v>19999.996800000001</v>
      </c>
      <c r="I949" s="4"/>
      <c r="J949" s="4"/>
    </row>
    <row r="950" spans="1:10">
      <c r="A950" s="1">
        <v>950</v>
      </c>
      <c r="B950" s="1" t="s">
        <v>1170</v>
      </c>
      <c r="C950" s="9">
        <v>45558</v>
      </c>
      <c r="D950" s="1" t="s">
        <v>39</v>
      </c>
      <c r="E950" s="1">
        <v>91626</v>
      </c>
      <c r="F950" s="4">
        <v>33613.449999999997</v>
      </c>
      <c r="G950" s="4">
        <f t="shared" si="11"/>
        <v>6386.5554999999995</v>
      </c>
      <c r="H950" s="4">
        <f t="shared" si="12"/>
        <v>40000.005499999999</v>
      </c>
      <c r="I950" s="4"/>
      <c r="J950" s="4"/>
    </row>
    <row r="951" spans="1:10">
      <c r="A951" s="1">
        <v>951</v>
      </c>
      <c r="B951" s="1" t="s">
        <v>1171</v>
      </c>
      <c r="C951" s="9">
        <v>45564</v>
      </c>
      <c r="D951" s="1" t="s">
        <v>39</v>
      </c>
      <c r="E951" s="1">
        <v>91627</v>
      </c>
      <c r="F951" s="4">
        <v>18487.39</v>
      </c>
      <c r="G951" s="4">
        <f t="shared" si="11"/>
        <v>3512.6041</v>
      </c>
      <c r="H951" s="4">
        <f t="shared" si="12"/>
        <v>21999.9941</v>
      </c>
      <c r="I951" s="4"/>
      <c r="J951" s="4"/>
    </row>
    <row r="952" spans="1:10">
      <c r="A952" s="1">
        <v>952</v>
      </c>
      <c r="B952" s="1" t="s">
        <v>1172</v>
      </c>
      <c r="C952" s="9">
        <v>45567</v>
      </c>
      <c r="D952" s="1" t="s">
        <v>39</v>
      </c>
      <c r="E952" s="1">
        <v>91628</v>
      </c>
      <c r="F952" s="4">
        <v>53781.51</v>
      </c>
      <c r="G952" s="4">
        <f t="shared" si="11"/>
        <v>10218.4869</v>
      </c>
      <c r="H952" s="4">
        <f t="shared" si="12"/>
        <v>63999.996899999998</v>
      </c>
      <c r="I952" s="4"/>
      <c r="J952" s="4"/>
    </row>
    <row r="953" spans="1:10">
      <c r="A953" s="1">
        <v>953</v>
      </c>
      <c r="B953" s="1" t="s">
        <v>1173</v>
      </c>
      <c r="C953" s="9">
        <v>45570</v>
      </c>
      <c r="D953" s="1" t="s">
        <v>39</v>
      </c>
      <c r="E953" s="1">
        <v>91629</v>
      </c>
      <c r="F953" s="4">
        <v>29411.759999999998</v>
      </c>
      <c r="G953" s="4">
        <f t="shared" si="11"/>
        <v>5588.2343999999994</v>
      </c>
      <c r="H953" s="4">
        <f t="shared" si="12"/>
        <v>34999.994399999996</v>
      </c>
      <c r="I953" s="4"/>
      <c r="J953" s="4"/>
    </row>
    <row r="954" spans="1:10">
      <c r="A954" s="1">
        <v>954</v>
      </c>
      <c r="B954" s="1" t="s">
        <v>1174</v>
      </c>
      <c r="C954" s="9">
        <v>45570</v>
      </c>
      <c r="D954" s="1" t="s">
        <v>39</v>
      </c>
      <c r="E954" s="1">
        <v>91630</v>
      </c>
      <c r="F954" s="4">
        <v>28571.43</v>
      </c>
      <c r="G954" s="4">
        <f t="shared" si="11"/>
        <v>5428.5717000000004</v>
      </c>
      <c r="H954" s="4">
        <f t="shared" si="12"/>
        <v>34000.001700000001</v>
      </c>
      <c r="I954" s="4"/>
      <c r="J954" s="4"/>
    </row>
    <row r="955" spans="1:10">
      <c r="A955" s="1">
        <v>955</v>
      </c>
      <c r="B955" s="1" t="s">
        <v>1175</v>
      </c>
      <c r="C955" s="9">
        <v>45570</v>
      </c>
      <c r="D955" s="1" t="s">
        <v>39</v>
      </c>
      <c r="E955" s="1">
        <v>91631</v>
      </c>
      <c r="F955" s="4">
        <v>21008.400000000001</v>
      </c>
      <c r="G955" s="4">
        <f t="shared" si="11"/>
        <v>3991.5960000000005</v>
      </c>
      <c r="H955" s="4">
        <f t="shared" si="12"/>
        <v>24999.996000000003</v>
      </c>
      <c r="I955" s="4"/>
      <c r="J955" s="4"/>
    </row>
    <row r="956" spans="1:10">
      <c r="A956" s="1">
        <v>956</v>
      </c>
      <c r="B956" s="1" t="s">
        <v>1176</v>
      </c>
      <c r="C956" s="9">
        <v>45571</v>
      </c>
      <c r="D956" s="1" t="s">
        <v>39</v>
      </c>
      <c r="E956" s="1">
        <v>91632</v>
      </c>
      <c r="F956" s="4">
        <v>28571.43</v>
      </c>
      <c r="G956" s="4">
        <f t="shared" si="11"/>
        <v>5428.5717000000004</v>
      </c>
      <c r="H956" s="4">
        <f t="shared" si="12"/>
        <v>34000.001700000001</v>
      </c>
      <c r="I956" s="4"/>
      <c r="J956" s="4"/>
    </row>
    <row r="957" spans="1:10">
      <c r="A957" s="1">
        <v>957</v>
      </c>
      <c r="B957" s="1" t="s">
        <v>1177</v>
      </c>
      <c r="C957" s="9">
        <v>45571</v>
      </c>
      <c r="D957" s="1" t="s">
        <v>39</v>
      </c>
      <c r="E957" s="1">
        <v>91633</v>
      </c>
      <c r="F957" s="4">
        <v>31092.44</v>
      </c>
      <c r="G957" s="4">
        <f t="shared" si="11"/>
        <v>5907.5635999999995</v>
      </c>
      <c r="H957" s="4">
        <f t="shared" si="12"/>
        <v>37000.003599999996</v>
      </c>
      <c r="I957" s="4"/>
      <c r="J957" s="4"/>
    </row>
    <row r="958" spans="1:10">
      <c r="A958" s="1">
        <v>958</v>
      </c>
      <c r="B958" s="1" t="s">
        <v>1178</v>
      </c>
      <c r="C958" s="9">
        <v>45577</v>
      </c>
      <c r="D958" s="1" t="s">
        <v>39</v>
      </c>
      <c r="E958" s="1">
        <v>91634</v>
      </c>
      <c r="F958" s="4">
        <v>25210.080000000002</v>
      </c>
      <c r="G958" s="4">
        <f t="shared" si="11"/>
        <v>4789.9152000000004</v>
      </c>
      <c r="H958" s="4">
        <f t="shared" si="12"/>
        <v>29999.995200000001</v>
      </c>
      <c r="I958" s="4"/>
      <c r="J958" s="4"/>
    </row>
    <row r="959" spans="1:10">
      <c r="A959" s="1">
        <v>959</v>
      </c>
      <c r="B959" s="1" t="s">
        <v>1179</v>
      </c>
      <c r="C959" s="9">
        <v>45577</v>
      </c>
      <c r="D959" s="1" t="s">
        <v>39</v>
      </c>
      <c r="E959" s="1">
        <v>91635</v>
      </c>
      <c r="F959" s="4">
        <v>26050.42</v>
      </c>
      <c r="G959" s="4">
        <f t="shared" si="11"/>
        <v>4949.5797999999995</v>
      </c>
      <c r="H959" s="4">
        <f t="shared" si="12"/>
        <v>30999.999799999998</v>
      </c>
      <c r="I959" s="4"/>
      <c r="J959" s="4"/>
    </row>
    <row r="960" spans="1:10">
      <c r="A960" s="1">
        <v>960</v>
      </c>
      <c r="B960" s="1" t="s">
        <v>1180</v>
      </c>
      <c r="C960" s="9">
        <v>45579</v>
      </c>
      <c r="D960" s="1" t="s">
        <v>39</v>
      </c>
      <c r="E960" s="1">
        <v>91636</v>
      </c>
      <c r="F960" s="4">
        <v>103781.51</v>
      </c>
      <c r="G960" s="4">
        <f t="shared" si="11"/>
        <v>19718.4869</v>
      </c>
      <c r="H960" s="4">
        <f t="shared" si="12"/>
        <v>123499.9969</v>
      </c>
      <c r="I960" s="4"/>
      <c r="J960" s="4"/>
    </row>
    <row r="961" spans="1:10">
      <c r="A961" s="1">
        <v>961</v>
      </c>
      <c r="B961" s="1" t="s">
        <v>1111</v>
      </c>
      <c r="C961" s="9">
        <v>45579</v>
      </c>
      <c r="D961" s="1" t="s">
        <v>39</v>
      </c>
      <c r="E961" s="1">
        <v>91637</v>
      </c>
      <c r="F961" s="4">
        <v>33613.449999999997</v>
      </c>
      <c r="G961" s="4">
        <f t="shared" si="11"/>
        <v>6386.5554999999995</v>
      </c>
      <c r="H961" s="4">
        <f t="shared" si="12"/>
        <v>40000.005499999999</v>
      </c>
      <c r="I961" s="4"/>
      <c r="J961" s="4"/>
    </row>
    <row r="962" spans="1:10">
      <c r="A962" s="1">
        <v>962</v>
      </c>
      <c r="B962" s="1" t="s">
        <v>1181</v>
      </c>
      <c r="C962" s="9">
        <v>45581</v>
      </c>
      <c r="D962" s="1" t="s">
        <v>39</v>
      </c>
      <c r="E962" s="1">
        <v>91638</v>
      </c>
      <c r="F962" s="4">
        <v>4201.68</v>
      </c>
      <c r="G962" s="4">
        <f t="shared" si="11"/>
        <v>798.31920000000002</v>
      </c>
      <c r="H962" s="4">
        <f t="shared" si="12"/>
        <v>4999.9992000000002</v>
      </c>
      <c r="I962" s="4"/>
      <c r="J962" s="4"/>
    </row>
    <row r="963" spans="1:10">
      <c r="A963" s="1">
        <v>963</v>
      </c>
      <c r="B963" s="1" t="s">
        <v>1182</v>
      </c>
      <c r="C963" s="9">
        <v>45587</v>
      </c>
      <c r="D963" s="1" t="s">
        <v>39</v>
      </c>
      <c r="E963" s="1">
        <v>91639</v>
      </c>
      <c r="F963" s="4">
        <v>36134.449999999997</v>
      </c>
      <c r="G963" s="4">
        <f t="shared" si="11"/>
        <v>6865.5454999999993</v>
      </c>
      <c r="H963" s="4">
        <f t="shared" si="12"/>
        <v>42999.995499999997</v>
      </c>
      <c r="I963" s="4"/>
      <c r="J963" s="4"/>
    </row>
    <row r="964" spans="1:10">
      <c r="A964" s="1">
        <v>964</v>
      </c>
      <c r="B964" s="1" t="s">
        <v>1183</v>
      </c>
      <c r="C964" s="9">
        <v>45591</v>
      </c>
      <c r="D964" s="1" t="s">
        <v>39</v>
      </c>
      <c r="E964" s="1">
        <v>91640</v>
      </c>
      <c r="F964" s="4">
        <v>6722.69</v>
      </c>
      <c r="G964" s="4">
        <f t="shared" si="11"/>
        <v>1277.3110999999999</v>
      </c>
      <c r="H964" s="4">
        <f t="shared" si="12"/>
        <v>8000.0010999999995</v>
      </c>
      <c r="I964" s="4"/>
      <c r="J964" s="4"/>
    </row>
    <row r="965" spans="1:10">
      <c r="A965" s="1">
        <v>965</v>
      </c>
      <c r="B965" s="1" t="s">
        <v>1184</v>
      </c>
      <c r="C965" s="9">
        <v>45593</v>
      </c>
      <c r="D965" s="1" t="s">
        <v>39</v>
      </c>
      <c r="E965" s="1">
        <v>91641</v>
      </c>
      <c r="F965" s="4">
        <v>70588.240000000005</v>
      </c>
      <c r="G965" s="4">
        <f t="shared" si="11"/>
        <v>13411.765600000001</v>
      </c>
      <c r="H965" s="4">
        <f t="shared" si="12"/>
        <v>84000.005600000004</v>
      </c>
      <c r="I965" s="4"/>
      <c r="J965" s="4"/>
    </row>
    <row r="966" spans="1:10">
      <c r="A966" s="1">
        <v>966</v>
      </c>
      <c r="B966" s="1" t="s">
        <v>1185</v>
      </c>
      <c r="C966" s="9">
        <v>45594</v>
      </c>
      <c r="D966" s="1" t="s">
        <v>39</v>
      </c>
      <c r="E966" s="1">
        <v>91642</v>
      </c>
      <c r="F966" s="4">
        <v>11764.71</v>
      </c>
      <c r="G966" s="4">
        <f t="shared" si="11"/>
        <v>2235.2948999999999</v>
      </c>
      <c r="H966" s="4">
        <f t="shared" si="12"/>
        <v>14000.0049</v>
      </c>
      <c r="I966" s="4"/>
      <c r="J966" s="4"/>
    </row>
    <row r="967" spans="1:10">
      <c r="A967" s="1">
        <v>967</v>
      </c>
      <c r="B967" s="1" t="s">
        <v>1186</v>
      </c>
      <c r="C967" s="9">
        <v>45600</v>
      </c>
      <c r="D967" s="1" t="s">
        <v>39</v>
      </c>
      <c r="E967" s="1">
        <v>91643</v>
      </c>
      <c r="F967" s="4">
        <v>12857.14</v>
      </c>
      <c r="G967" s="4">
        <f t="shared" si="11"/>
        <v>2442.8566000000001</v>
      </c>
      <c r="H967" s="4">
        <f t="shared" si="12"/>
        <v>15299.996599999999</v>
      </c>
      <c r="I967" s="4"/>
      <c r="J967" s="4"/>
    </row>
    <row r="968" spans="1:10">
      <c r="A968" s="1">
        <v>968</v>
      </c>
      <c r="B968" s="1" t="s">
        <v>1187</v>
      </c>
      <c r="C968" s="9">
        <v>45600</v>
      </c>
      <c r="D968" s="1" t="s">
        <v>39</v>
      </c>
      <c r="E968" s="1">
        <v>91644</v>
      </c>
      <c r="F968" s="4">
        <v>36974.788999999997</v>
      </c>
      <c r="G968" s="4">
        <f t="shared" si="11"/>
        <v>7025.2099099999996</v>
      </c>
      <c r="H968" s="4">
        <f t="shared" si="12"/>
        <v>43999.998909999995</v>
      </c>
      <c r="I968" s="4"/>
      <c r="J968" s="4"/>
    </row>
    <row r="969" spans="1:10">
      <c r="A969" s="1">
        <v>969</v>
      </c>
      <c r="B969" s="1" t="s">
        <v>939</v>
      </c>
      <c r="C969" s="9">
        <v>45600</v>
      </c>
      <c r="D969" s="1" t="s">
        <v>39</v>
      </c>
      <c r="E969" s="1">
        <v>91645</v>
      </c>
      <c r="F969" s="4">
        <v>4201.68</v>
      </c>
      <c r="G969" s="4">
        <f t="shared" si="11"/>
        <v>798.31920000000002</v>
      </c>
      <c r="H969" s="4">
        <f t="shared" si="12"/>
        <v>4999.9992000000002</v>
      </c>
      <c r="I969" s="4"/>
      <c r="J969" s="4"/>
    </row>
    <row r="970" spans="1:10">
      <c r="A970" s="1">
        <v>970</v>
      </c>
      <c r="B970" s="1" t="s">
        <v>1188</v>
      </c>
      <c r="C970" s="9">
        <v>45600</v>
      </c>
      <c r="D970" s="1" t="s">
        <v>39</v>
      </c>
      <c r="E970" s="1">
        <v>91646</v>
      </c>
      <c r="F970" s="4">
        <v>28571.43</v>
      </c>
      <c r="G970" s="4">
        <f t="shared" si="11"/>
        <v>5428.5717000000004</v>
      </c>
      <c r="H970" s="4">
        <f t="shared" si="12"/>
        <v>34000.001700000001</v>
      </c>
      <c r="I970" s="4"/>
      <c r="J970" s="4"/>
    </row>
    <row r="971" spans="1:10">
      <c r="A971" s="1">
        <v>971</v>
      </c>
      <c r="B971" s="1" t="s">
        <v>1189</v>
      </c>
      <c r="C971" s="9">
        <v>45600</v>
      </c>
      <c r="D971" s="1" t="s">
        <v>39</v>
      </c>
      <c r="E971" s="1">
        <v>91647</v>
      </c>
      <c r="F971" s="4">
        <v>36554.620000000003</v>
      </c>
      <c r="G971" s="4">
        <f t="shared" si="11"/>
        <v>6945.3778000000002</v>
      </c>
      <c r="H971" s="4">
        <f t="shared" si="12"/>
        <v>43499.997800000005</v>
      </c>
      <c r="I971" s="4"/>
      <c r="J971" s="4"/>
    </row>
    <row r="972" spans="1:10">
      <c r="A972" s="1">
        <v>972</v>
      </c>
      <c r="B972" s="1" t="s">
        <v>1190</v>
      </c>
      <c r="C972" s="9">
        <v>45602</v>
      </c>
      <c r="D972" s="1" t="s">
        <v>39</v>
      </c>
      <c r="E972" s="1">
        <v>91648</v>
      </c>
      <c r="F972" s="4">
        <v>33613.449999999997</v>
      </c>
      <c r="G972" s="4">
        <f t="shared" si="11"/>
        <v>6386.5554999999995</v>
      </c>
      <c r="H972" s="4">
        <f t="shared" si="12"/>
        <v>40000.005499999999</v>
      </c>
      <c r="I972" s="4"/>
      <c r="J972" s="4"/>
    </row>
    <row r="973" spans="1:10">
      <c r="A973" s="1">
        <v>973</v>
      </c>
      <c r="B973" s="1" t="s">
        <v>1191</v>
      </c>
      <c r="C973" s="9">
        <v>45602</v>
      </c>
      <c r="D973" s="1" t="s">
        <v>39</v>
      </c>
      <c r="E973" s="1">
        <v>91649</v>
      </c>
      <c r="F973" s="4">
        <v>35882.35</v>
      </c>
      <c r="G973" s="4">
        <f t="shared" si="11"/>
        <v>6817.6464999999998</v>
      </c>
      <c r="H973" s="4">
        <f t="shared" si="12"/>
        <v>42699.996500000001</v>
      </c>
      <c r="I973" s="4"/>
      <c r="J973" s="4"/>
    </row>
    <row r="974" spans="1:10">
      <c r="A974" s="1">
        <v>974</v>
      </c>
      <c r="B974" s="1" t="s">
        <v>1192</v>
      </c>
      <c r="C974" s="9">
        <v>45602</v>
      </c>
      <c r="D974" s="1" t="s">
        <v>39</v>
      </c>
      <c r="E974" s="1">
        <v>91650</v>
      </c>
      <c r="F974" s="4">
        <v>7563.03</v>
      </c>
      <c r="G974" s="4">
        <f t="shared" si="11"/>
        <v>1436.9757</v>
      </c>
      <c r="H974" s="4">
        <f t="shared" si="12"/>
        <v>9000.0056999999997</v>
      </c>
      <c r="I974" s="4"/>
      <c r="J974" s="4"/>
    </row>
    <row r="975" spans="1:10">
      <c r="A975" s="1">
        <v>975</v>
      </c>
      <c r="B975" s="1" t="s">
        <v>1193</v>
      </c>
      <c r="C975" s="9">
        <v>45603</v>
      </c>
      <c r="D975" s="1" t="s">
        <v>39</v>
      </c>
      <c r="E975" s="1">
        <v>91651</v>
      </c>
      <c r="F975" s="4">
        <v>21008.400000000001</v>
      </c>
      <c r="G975" s="4">
        <f t="shared" si="11"/>
        <v>3991.5960000000005</v>
      </c>
      <c r="H975" s="4">
        <f t="shared" si="12"/>
        <v>24999.996000000003</v>
      </c>
      <c r="I975" s="4"/>
      <c r="J975" s="4"/>
    </row>
    <row r="976" spans="1:10">
      <c r="A976" s="1">
        <v>976</v>
      </c>
      <c r="B976" s="1" t="s">
        <v>1194</v>
      </c>
      <c r="C976" s="9">
        <v>45603</v>
      </c>
      <c r="D976" s="1" t="s">
        <v>39</v>
      </c>
      <c r="E976" s="1">
        <v>91652</v>
      </c>
      <c r="F976" s="4">
        <v>21008.400000000001</v>
      </c>
      <c r="G976" s="4">
        <f t="shared" si="11"/>
        <v>3991.5960000000005</v>
      </c>
      <c r="H976" s="4">
        <f t="shared" si="12"/>
        <v>24999.996000000003</v>
      </c>
      <c r="I976" s="4"/>
      <c r="J976" s="4"/>
    </row>
    <row r="977" spans="1:10">
      <c r="A977" s="1">
        <v>977</v>
      </c>
      <c r="B977" s="1" t="s">
        <v>1195</v>
      </c>
      <c r="C977" s="9">
        <v>45603</v>
      </c>
      <c r="D977" s="1" t="s">
        <v>39</v>
      </c>
      <c r="E977" s="1">
        <v>91653</v>
      </c>
      <c r="F977" s="4">
        <v>6722.69</v>
      </c>
      <c r="G977" s="4">
        <f t="shared" si="11"/>
        <v>1277.3110999999999</v>
      </c>
      <c r="H977" s="4">
        <f t="shared" si="12"/>
        <v>8000.0010999999995</v>
      </c>
      <c r="I977" s="4"/>
      <c r="J977" s="4"/>
    </row>
    <row r="978" spans="1:10">
      <c r="A978" s="1">
        <v>978</v>
      </c>
      <c r="B978" s="1" t="s">
        <v>1196</v>
      </c>
      <c r="C978" s="9">
        <v>45603</v>
      </c>
      <c r="D978" s="1" t="s">
        <v>39</v>
      </c>
      <c r="E978" s="1">
        <v>91654</v>
      </c>
      <c r="F978" s="4">
        <v>135294.12</v>
      </c>
      <c r="G978" s="4">
        <f t="shared" si="11"/>
        <v>25705.882799999999</v>
      </c>
      <c r="H978" s="4">
        <f t="shared" si="12"/>
        <v>161000.00279999999</v>
      </c>
      <c r="I978" s="4"/>
      <c r="J978" s="4"/>
    </row>
    <row r="979" spans="1:10">
      <c r="A979" s="1">
        <v>979</v>
      </c>
      <c r="B979" s="1" t="s">
        <v>1197</v>
      </c>
      <c r="C979" s="9">
        <v>45603</v>
      </c>
      <c r="D979" s="1" t="s">
        <v>39</v>
      </c>
      <c r="E979" s="1">
        <v>91655</v>
      </c>
      <c r="F979" s="4">
        <v>36974.79</v>
      </c>
      <c r="G979" s="4">
        <f t="shared" si="11"/>
        <v>7025.2101000000002</v>
      </c>
      <c r="H979" s="4">
        <f t="shared" si="12"/>
        <v>44000.000100000005</v>
      </c>
      <c r="I979" s="4"/>
      <c r="J979" s="4"/>
    </row>
    <row r="980" spans="1:10">
      <c r="A980" s="1">
        <v>980</v>
      </c>
      <c r="B980" s="1" t="s">
        <v>56</v>
      </c>
      <c r="C980" s="9">
        <v>45603</v>
      </c>
      <c r="D980" s="1" t="s">
        <v>39</v>
      </c>
      <c r="E980" s="1">
        <v>91656</v>
      </c>
      <c r="F980" s="4">
        <v>12605.04</v>
      </c>
      <c r="G980" s="4">
        <f t="shared" si="11"/>
        <v>2394.9576000000002</v>
      </c>
      <c r="H980" s="4">
        <f t="shared" si="12"/>
        <v>14999.997600000001</v>
      </c>
      <c r="I980" s="4"/>
      <c r="J980" s="4"/>
    </row>
    <row r="981" spans="1:10">
      <c r="A981" s="1">
        <v>981</v>
      </c>
      <c r="B981" s="1" t="s">
        <v>1198</v>
      </c>
      <c r="C981" s="9">
        <v>45605</v>
      </c>
      <c r="D981" s="1" t="s">
        <v>39</v>
      </c>
      <c r="E981" s="1">
        <v>91657</v>
      </c>
      <c r="F981" s="4">
        <v>84033.61</v>
      </c>
      <c r="G981" s="4">
        <f t="shared" si="11"/>
        <v>15966.385900000001</v>
      </c>
      <c r="H981" s="4">
        <f t="shared" si="12"/>
        <v>99999.995900000009</v>
      </c>
      <c r="I981" s="4"/>
      <c r="J981" s="4"/>
    </row>
    <row r="982" spans="1:10">
      <c r="A982" s="1">
        <v>982</v>
      </c>
      <c r="B982" s="1" t="s">
        <v>1199</v>
      </c>
      <c r="C982" s="9">
        <v>45606</v>
      </c>
      <c r="D982" s="1" t="s">
        <v>39</v>
      </c>
      <c r="E982" s="1">
        <v>91658</v>
      </c>
      <c r="F982" s="4">
        <v>61344.54</v>
      </c>
      <c r="G982" s="4">
        <f t="shared" si="11"/>
        <v>11655.462600000001</v>
      </c>
      <c r="H982" s="4">
        <f t="shared" si="12"/>
        <v>73000.002600000007</v>
      </c>
      <c r="I982" s="4"/>
      <c r="J982" s="4"/>
    </row>
    <row r="983" spans="1:10">
      <c r="A983" s="1">
        <v>983</v>
      </c>
      <c r="B983" s="1" t="s">
        <v>1200</v>
      </c>
      <c r="C983" s="9">
        <v>45607</v>
      </c>
      <c r="D983" s="1" t="s">
        <v>39</v>
      </c>
      <c r="E983" s="1">
        <v>91659</v>
      </c>
      <c r="F983" s="4">
        <v>8403.36</v>
      </c>
      <c r="G983" s="4">
        <f t="shared" si="11"/>
        <v>1596.6384</v>
      </c>
      <c r="H983" s="4">
        <f t="shared" si="12"/>
        <v>9999.9984000000004</v>
      </c>
      <c r="I983" s="4"/>
      <c r="J983" s="4"/>
    </row>
    <row r="984" spans="1:10">
      <c r="A984" s="1">
        <v>984</v>
      </c>
      <c r="B984" s="1" t="s">
        <v>1201</v>
      </c>
      <c r="C984" s="9">
        <v>45608</v>
      </c>
      <c r="D984" s="1" t="s">
        <v>39</v>
      </c>
      <c r="E984" s="1">
        <v>91660</v>
      </c>
      <c r="F984" s="4">
        <v>8403.36</v>
      </c>
      <c r="G984" s="4">
        <f t="shared" si="11"/>
        <v>1596.6384</v>
      </c>
      <c r="H984" s="4">
        <f t="shared" si="12"/>
        <v>9999.9984000000004</v>
      </c>
      <c r="I984" s="4"/>
      <c r="J984" s="4"/>
    </row>
    <row r="985" spans="1:10">
      <c r="A985" s="1">
        <v>985</v>
      </c>
      <c r="B985" s="1" t="s">
        <v>1202</v>
      </c>
      <c r="C985" s="9">
        <v>45609</v>
      </c>
      <c r="D985" s="1" t="s">
        <v>39</v>
      </c>
      <c r="E985" s="1">
        <v>91661</v>
      </c>
      <c r="F985" s="4">
        <v>50420.17</v>
      </c>
      <c r="G985" s="4">
        <f t="shared" si="11"/>
        <v>9579.8323</v>
      </c>
      <c r="H985" s="4">
        <f t="shared" si="12"/>
        <v>60000.0023</v>
      </c>
      <c r="I985" s="4"/>
      <c r="J985" s="4"/>
    </row>
    <row r="986" spans="1:10">
      <c r="A986" s="1">
        <v>986</v>
      </c>
      <c r="B986" s="1" t="s">
        <v>1203</v>
      </c>
      <c r="C986" s="9">
        <v>45614</v>
      </c>
      <c r="D986" s="1" t="s">
        <v>39</v>
      </c>
      <c r="E986" s="1">
        <v>91662</v>
      </c>
      <c r="F986" s="4">
        <v>16806.7</v>
      </c>
      <c r="G986" s="4">
        <f t="shared" si="11"/>
        <v>3193.2730000000001</v>
      </c>
      <c r="H986" s="4">
        <f t="shared" si="12"/>
        <v>19999.973000000002</v>
      </c>
      <c r="I986" s="4"/>
      <c r="J986" s="4"/>
    </row>
    <row r="987" spans="1:10">
      <c r="A987" s="1">
        <v>987</v>
      </c>
      <c r="B987" s="1" t="s">
        <v>1204</v>
      </c>
      <c r="C987" s="9">
        <v>45614</v>
      </c>
      <c r="D987" s="1" t="s">
        <v>39</v>
      </c>
      <c r="E987" s="1">
        <v>91663</v>
      </c>
      <c r="F987" s="4">
        <v>49579.83</v>
      </c>
      <c r="G987" s="4">
        <f t="shared" si="11"/>
        <v>9420.1677</v>
      </c>
      <c r="H987" s="4">
        <f t="shared" si="12"/>
        <v>58999.9977</v>
      </c>
      <c r="I987" s="4"/>
      <c r="J987" s="4"/>
    </row>
    <row r="988" spans="1:10">
      <c r="A988" s="1">
        <v>988</v>
      </c>
      <c r="B988" s="1" t="s">
        <v>1205</v>
      </c>
      <c r="C988" s="9">
        <v>45615</v>
      </c>
      <c r="D988" s="1" t="s">
        <v>39</v>
      </c>
      <c r="E988" s="1">
        <v>91664</v>
      </c>
      <c r="F988" s="4">
        <v>36134.449999999997</v>
      </c>
      <c r="G988" s="4">
        <f t="shared" si="11"/>
        <v>6865.5454999999993</v>
      </c>
      <c r="H988" s="4">
        <f t="shared" si="12"/>
        <v>42999.995499999997</v>
      </c>
      <c r="I988" s="4"/>
      <c r="J988" s="4"/>
    </row>
    <row r="989" spans="1:10">
      <c r="A989" s="1">
        <v>989</v>
      </c>
      <c r="B989" s="1" t="s">
        <v>1206</v>
      </c>
      <c r="C989" s="9">
        <v>45616</v>
      </c>
      <c r="D989" s="1" t="s">
        <v>39</v>
      </c>
      <c r="E989" s="1">
        <v>91665</v>
      </c>
      <c r="F989" s="4">
        <v>61344.54</v>
      </c>
      <c r="G989" s="4">
        <f t="shared" si="11"/>
        <v>11655.462600000001</v>
      </c>
      <c r="H989" s="4">
        <f t="shared" si="12"/>
        <v>73000.002600000007</v>
      </c>
      <c r="I989" s="4"/>
      <c r="J989" s="4"/>
    </row>
    <row r="990" spans="1:10">
      <c r="A990" s="1">
        <v>990</v>
      </c>
      <c r="B990" s="1" t="s">
        <v>1207</v>
      </c>
      <c r="C990" s="9">
        <v>45623</v>
      </c>
      <c r="D990" s="1" t="s">
        <v>12</v>
      </c>
      <c r="E990" s="1">
        <v>24</v>
      </c>
      <c r="F990" s="4">
        <v>37815.129999999997</v>
      </c>
      <c r="G990" s="4">
        <f t="shared" si="11"/>
        <v>7184.8746999999994</v>
      </c>
      <c r="H990" s="4">
        <f t="shared" si="12"/>
        <v>45000.004699999998</v>
      </c>
      <c r="I990" s="4"/>
      <c r="J990" s="4"/>
    </row>
    <row r="991" spans="1:10">
      <c r="A991" s="1">
        <v>991</v>
      </c>
      <c r="B991" s="1" t="s">
        <v>1208</v>
      </c>
      <c r="C991" s="9">
        <v>45623</v>
      </c>
      <c r="D991" s="1" t="s">
        <v>39</v>
      </c>
      <c r="E991" s="1">
        <v>91666</v>
      </c>
      <c r="F991" s="4">
        <v>92436.97</v>
      </c>
      <c r="G991" s="4">
        <f t="shared" si="11"/>
        <v>17563.024300000001</v>
      </c>
      <c r="H991" s="4">
        <f t="shared" si="12"/>
        <v>109999.99430000001</v>
      </c>
      <c r="I991" s="4"/>
      <c r="J991" s="4"/>
    </row>
    <row r="992" spans="1:10">
      <c r="A992" s="1">
        <v>992</v>
      </c>
      <c r="B992" s="1" t="s">
        <v>1209</v>
      </c>
      <c r="C992" s="9">
        <v>45623</v>
      </c>
      <c r="D992" s="1" t="s">
        <v>39</v>
      </c>
      <c r="E992" s="1">
        <v>91667</v>
      </c>
      <c r="F992" s="4">
        <v>12605.04</v>
      </c>
      <c r="G992" s="4">
        <f t="shared" si="11"/>
        <v>2394.9576000000002</v>
      </c>
      <c r="H992" s="4">
        <f t="shared" si="12"/>
        <v>14999.997600000001</v>
      </c>
      <c r="I992" s="4"/>
      <c r="J992" s="4"/>
    </row>
    <row r="993" spans="1:10">
      <c r="A993" s="1">
        <v>993</v>
      </c>
      <c r="B993" s="1" t="s">
        <v>1210</v>
      </c>
      <c r="C993" s="9">
        <v>45624</v>
      </c>
      <c r="D993" s="1" t="s">
        <v>39</v>
      </c>
      <c r="E993" s="1">
        <v>91668</v>
      </c>
      <c r="F993" s="4">
        <v>23529.41</v>
      </c>
      <c r="G993" s="4">
        <f t="shared" si="11"/>
        <v>4470.5879000000004</v>
      </c>
      <c r="H993" s="4">
        <f t="shared" si="12"/>
        <v>27999.997900000002</v>
      </c>
      <c r="I993" s="4"/>
      <c r="J993" s="4"/>
    </row>
    <row r="994" spans="1:10">
      <c r="A994" s="1">
        <v>994</v>
      </c>
      <c r="B994" s="1" t="s">
        <v>1211</v>
      </c>
      <c r="C994" s="9">
        <v>45626</v>
      </c>
      <c r="D994" s="1" t="s">
        <v>39</v>
      </c>
      <c r="E994" s="1">
        <v>91669</v>
      </c>
      <c r="F994" s="4">
        <v>100840.34</v>
      </c>
      <c r="G994" s="4">
        <f t="shared" si="11"/>
        <v>19159.6646</v>
      </c>
      <c r="H994" s="4">
        <f t="shared" si="12"/>
        <v>120000.0046</v>
      </c>
      <c r="I994" s="4"/>
      <c r="J994" s="4"/>
    </row>
    <row r="995" spans="1:10">
      <c r="A995" s="1">
        <v>995</v>
      </c>
      <c r="B995" s="1" t="s">
        <v>937</v>
      </c>
      <c r="C995" s="9">
        <v>45628</v>
      </c>
      <c r="D995" s="1" t="s">
        <v>39</v>
      </c>
      <c r="E995" s="1">
        <v>91670</v>
      </c>
      <c r="F995" s="4">
        <v>28571.43</v>
      </c>
      <c r="G995" s="4">
        <f t="shared" si="11"/>
        <v>5428.5717000000004</v>
      </c>
      <c r="H995" s="4">
        <f t="shared" si="12"/>
        <v>34000.001700000001</v>
      </c>
      <c r="I995" s="4"/>
      <c r="J995" s="4"/>
    </row>
    <row r="996" spans="1:10">
      <c r="A996" s="1">
        <v>996</v>
      </c>
      <c r="B996" s="1" t="s">
        <v>1212</v>
      </c>
      <c r="C996" s="9">
        <v>45631</v>
      </c>
      <c r="D996" s="1" t="s">
        <v>39</v>
      </c>
      <c r="E996" s="1">
        <v>91671</v>
      </c>
      <c r="F996" s="4">
        <v>26890.76</v>
      </c>
      <c r="G996" s="4">
        <f t="shared" si="11"/>
        <v>5109.2443999999996</v>
      </c>
      <c r="H996" s="4">
        <f t="shared" si="12"/>
        <v>32000.004399999998</v>
      </c>
      <c r="I996" s="4"/>
      <c r="J996" s="4"/>
    </row>
    <row r="997" spans="1:10">
      <c r="A997" s="1">
        <v>997</v>
      </c>
      <c r="B997" s="1" t="s">
        <v>1213</v>
      </c>
      <c r="C997" s="9">
        <v>45631</v>
      </c>
      <c r="D997" s="1" t="s">
        <v>39</v>
      </c>
      <c r="E997" s="1">
        <v>91672</v>
      </c>
      <c r="F997" s="4">
        <v>16806.72</v>
      </c>
      <c r="G997" s="4">
        <f t="shared" si="11"/>
        <v>3193.2768000000001</v>
      </c>
      <c r="H997" s="4">
        <f t="shared" si="12"/>
        <v>19999.996800000001</v>
      </c>
      <c r="I997" s="4"/>
      <c r="J997" s="4"/>
    </row>
    <row r="998" spans="1:10">
      <c r="A998" s="1">
        <v>998</v>
      </c>
      <c r="B998" s="1" t="s">
        <v>1214</v>
      </c>
      <c r="C998" s="9">
        <v>45636</v>
      </c>
      <c r="D998" s="1" t="s">
        <v>39</v>
      </c>
      <c r="E998" s="1">
        <v>91673</v>
      </c>
      <c r="F998" s="4">
        <v>35378.15</v>
      </c>
      <c r="G998" s="4">
        <f t="shared" si="11"/>
        <v>6721.8485000000001</v>
      </c>
      <c r="H998" s="4">
        <f t="shared" si="12"/>
        <v>42099.998500000002</v>
      </c>
      <c r="I998" s="4"/>
      <c r="J998" s="4"/>
    </row>
    <row r="999" spans="1:10">
      <c r="A999" s="1">
        <v>999</v>
      </c>
      <c r="B999" s="1" t="s">
        <v>1215</v>
      </c>
      <c r="C999" s="9">
        <v>45638</v>
      </c>
      <c r="D999" s="1" t="s">
        <v>39</v>
      </c>
      <c r="E999" s="1">
        <v>91674</v>
      </c>
      <c r="F999" s="4">
        <v>56302.52</v>
      </c>
      <c r="G999" s="4">
        <f t="shared" si="11"/>
        <v>10697.478799999999</v>
      </c>
      <c r="H999" s="4">
        <f t="shared" si="12"/>
        <v>66999.998800000001</v>
      </c>
      <c r="I999" s="4"/>
      <c r="J999" s="4"/>
    </row>
    <row r="1000" spans="1:10">
      <c r="A1000" s="1">
        <v>1000</v>
      </c>
      <c r="B1000" s="1" t="s">
        <v>1216</v>
      </c>
      <c r="C1000" s="9">
        <v>45638</v>
      </c>
      <c r="D1000" s="1" t="s">
        <v>39</v>
      </c>
      <c r="E1000" s="1">
        <v>91675</v>
      </c>
      <c r="F1000" s="4">
        <v>33865.550000000003</v>
      </c>
      <c r="G1000" s="4">
        <f t="shared" si="11"/>
        <v>6434.4545000000007</v>
      </c>
      <c r="H1000" s="4">
        <f t="shared" si="12"/>
        <v>40300.004500000003</v>
      </c>
      <c r="I1000" s="4"/>
      <c r="J1000" s="4"/>
    </row>
    <row r="1001" spans="1:10">
      <c r="A1001" s="1">
        <v>1001</v>
      </c>
      <c r="B1001" s="1" t="s">
        <v>1217</v>
      </c>
      <c r="C1001" s="9">
        <v>45639</v>
      </c>
      <c r="D1001" s="1" t="s">
        <v>12</v>
      </c>
      <c r="E1001" s="1">
        <v>25</v>
      </c>
      <c r="F1001" s="4">
        <v>16807</v>
      </c>
      <c r="G1001" s="4">
        <f t="shared" si="11"/>
        <v>3193.33</v>
      </c>
      <c r="H1001" s="4">
        <f t="shared" si="12"/>
        <v>20000.330000000002</v>
      </c>
      <c r="I1001" s="4"/>
      <c r="J1001" s="4"/>
    </row>
    <row r="1002" spans="1:10">
      <c r="A1002" s="1">
        <v>1002</v>
      </c>
      <c r="B1002" s="1" t="s">
        <v>1218</v>
      </c>
      <c r="C1002" s="9">
        <v>45642</v>
      </c>
      <c r="D1002" s="1" t="s">
        <v>39</v>
      </c>
      <c r="E1002" s="1">
        <v>91676</v>
      </c>
      <c r="F1002" s="4">
        <v>38655.46</v>
      </c>
      <c r="G1002" s="4">
        <f t="shared" si="11"/>
        <v>7344.5374000000002</v>
      </c>
      <c r="H1002" s="4">
        <f t="shared" si="12"/>
        <v>45999.9974</v>
      </c>
      <c r="I1002" s="4"/>
      <c r="J1002" s="4"/>
    </row>
    <row r="1003" spans="1:10">
      <c r="A1003" s="1">
        <v>1003</v>
      </c>
      <c r="B1003" s="1" t="s">
        <v>1219</v>
      </c>
      <c r="C1003" s="9">
        <v>45642</v>
      </c>
      <c r="D1003" s="1" t="s">
        <v>12</v>
      </c>
      <c r="E1003" s="1">
        <v>26</v>
      </c>
      <c r="F1003" s="4">
        <v>162185</v>
      </c>
      <c r="G1003" s="4">
        <f t="shared" si="11"/>
        <v>30815.15</v>
      </c>
      <c r="H1003" s="4">
        <f t="shared" si="12"/>
        <v>193000.15</v>
      </c>
      <c r="I1003" s="4"/>
      <c r="J1003" s="4"/>
    </row>
    <row r="1004" spans="1:10">
      <c r="A1004" s="1">
        <v>1004</v>
      </c>
      <c r="B1004" s="1" t="s">
        <v>1220</v>
      </c>
      <c r="C1004" s="9">
        <v>45643</v>
      </c>
      <c r="D1004" s="1" t="s">
        <v>39</v>
      </c>
      <c r="E1004" s="1">
        <v>91677</v>
      </c>
      <c r="F1004" s="4">
        <v>33613.449999999997</v>
      </c>
      <c r="G1004" s="4">
        <f t="shared" si="11"/>
        <v>6386.5554999999995</v>
      </c>
      <c r="H1004" s="4">
        <f t="shared" si="12"/>
        <v>40000.005499999999</v>
      </c>
      <c r="I1004" s="4"/>
      <c r="J1004" s="4"/>
    </row>
    <row r="1005" spans="1:10">
      <c r="A1005" s="1">
        <v>1005</v>
      </c>
      <c r="B1005" s="1" t="s">
        <v>1221</v>
      </c>
      <c r="C1005" s="9">
        <v>45643</v>
      </c>
      <c r="D1005" s="1" t="s">
        <v>39</v>
      </c>
      <c r="E1005" s="1">
        <v>91678</v>
      </c>
      <c r="F1005" s="4">
        <v>71428.570000000007</v>
      </c>
      <c r="G1005" s="4">
        <f t="shared" si="11"/>
        <v>13571.428300000001</v>
      </c>
      <c r="H1005" s="4">
        <f t="shared" si="12"/>
        <v>84999.998300000007</v>
      </c>
      <c r="I1005" s="4"/>
      <c r="J1005" s="4"/>
    </row>
    <row r="1006" spans="1:10">
      <c r="A1006" s="1">
        <v>1006</v>
      </c>
      <c r="B1006" s="1" t="s">
        <v>1222</v>
      </c>
      <c r="C1006" s="9">
        <v>45643</v>
      </c>
      <c r="D1006" s="1" t="s">
        <v>39</v>
      </c>
      <c r="E1006" s="1">
        <v>91679</v>
      </c>
      <c r="F1006" s="4">
        <v>102521</v>
      </c>
      <c r="G1006" s="4">
        <f t="shared" si="11"/>
        <v>19478.990000000002</v>
      </c>
      <c r="H1006" s="4">
        <f t="shared" si="12"/>
        <v>121999.99</v>
      </c>
      <c r="I1006" s="4"/>
      <c r="J1006" s="4"/>
    </row>
    <row r="1007" spans="1:10">
      <c r="A1007" s="1">
        <v>1007</v>
      </c>
      <c r="B1007" s="1" t="s">
        <v>1223</v>
      </c>
      <c r="C1007" s="9">
        <v>45646</v>
      </c>
      <c r="D1007" s="1" t="s">
        <v>39</v>
      </c>
      <c r="E1007" s="1">
        <v>91680</v>
      </c>
      <c r="F1007" s="4">
        <v>57983.19</v>
      </c>
      <c r="G1007" s="4">
        <f t="shared" si="11"/>
        <v>11016.8061</v>
      </c>
      <c r="H1007" s="4">
        <f t="shared" si="12"/>
        <v>68999.996100000004</v>
      </c>
      <c r="I1007" s="4"/>
      <c r="J1007" s="4"/>
    </row>
    <row r="1008" spans="1:10">
      <c r="A1008" s="1">
        <v>1008</v>
      </c>
      <c r="B1008" s="1" t="s">
        <v>1224</v>
      </c>
      <c r="C1008" s="9">
        <v>45646</v>
      </c>
      <c r="D1008" s="1" t="s">
        <v>39</v>
      </c>
      <c r="E1008" s="1">
        <v>91681</v>
      </c>
      <c r="F1008" s="4">
        <v>27731.09</v>
      </c>
      <c r="G1008" s="4">
        <f t="shared" si="11"/>
        <v>5268.9071000000004</v>
      </c>
      <c r="H1008" s="4">
        <f t="shared" si="12"/>
        <v>32999.997100000001</v>
      </c>
      <c r="I1008" s="4"/>
      <c r="J1008" s="4"/>
    </row>
    <row r="1009" spans="1:10">
      <c r="A1009" s="1">
        <v>1009</v>
      </c>
      <c r="B1009" s="1" t="s">
        <v>1225</v>
      </c>
      <c r="C1009" s="9">
        <v>45650</v>
      </c>
      <c r="D1009" s="1" t="s">
        <v>39</v>
      </c>
      <c r="E1009" s="1">
        <v>91682</v>
      </c>
      <c r="F1009" s="4">
        <v>27731.09</v>
      </c>
      <c r="G1009" s="4">
        <f t="shared" si="11"/>
        <v>5268.9071000000004</v>
      </c>
      <c r="H1009" s="4">
        <f t="shared" si="12"/>
        <v>32999.997100000001</v>
      </c>
      <c r="I1009" s="4"/>
      <c r="J1009" s="4"/>
    </row>
    <row r="1010" spans="1:10">
      <c r="A1010" s="1">
        <v>1010</v>
      </c>
      <c r="B1010" s="1" t="s">
        <v>1226</v>
      </c>
      <c r="C1010" s="9">
        <v>45651</v>
      </c>
      <c r="D1010" s="1" t="s">
        <v>39</v>
      </c>
      <c r="E1010" s="1">
        <v>91683</v>
      </c>
      <c r="F1010" s="4">
        <v>44537.82</v>
      </c>
      <c r="G1010" s="4">
        <f t="shared" si="11"/>
        <v>8462.1857999999993</v>
      </c>
      <c r="H1010" s="4">
        <f t="shared" si="12"/>
        <v>53000.005799999999</v>
      </c>
      <c r="I1010" s="4"/>
      <c r="J1010" s="4"/>
    </row>
    <row r="1011" spans="1:10">
      <c r="A1011" s="1">
        <v>1011</v>
      </c>
      <c r="B1011" s="1" t="s">
        <v>1227</v>
      </c>
      <c r="C1011" s="9">
        <v>45652</v>
      </c>
      <c r="D1011" s="1" t="s">
        <v>39</v>
      </c>
      <c r="E1011" s="1">
        <v>91684</v>
      </c>
      <c r="F1011" s="4">
        <v>42016.800000000003</v>
      </c>
      <c r="G1011" s="4">
        <f t="shared" si="11"/>
        <v>7983.1920000000009</v>
      </c>
      <c r="H1011" s="4">
        <f t="shared" si="12"/>
        <v>49999.992000000006</v>
      </c>
      <c r="I1011" s="4"/>
      <c r="J1011" s="4"/>
    </row>
    <row r="1012" spans="1:10">
      <c r="A1012" s="1">
        <v>1012</v>
      </c>
      <c r="B1012" s="1" t="s">
        <v>1228</v>
      </c>
      <c r="C1012" s="9">
        <v>45652</v>
      </c>
      <c r="D1012" s="1" t="s">
        <v>12</v>
      </c>
      <c r="E1012" s="1">
        <v>27</v>
      </c>
      <c r="F1012" s="4">
        <v>65378.15</v>
      </c>
      <c r="G1012" s="4">
        <f t="shared" si="11"/>
        <v>12421.8485</v>
      </c>
      <c r="H1012" s="4">
        <f t="shared" si="12"/>
        <v>77799.998500000002</v>
      </c>
      <c r="I1012" s="4"/>
      <c r="J1012" s="4"/>
    </row>
    <row r="1013" spans="1:10">
      <c r="A1013" s="1">
        <v>1013</v>
      </c>
      <c r="B1013" s="1" t="s">
        <v>1229</v>
      </c>
      <c r="C1013" s="9">
        <v>45652</v>
      </c>
      <c r="D1013" s="1" t="s">
        <v>39</v>
      </c>
      <c r="E1013" s="1">
        <v>91685</v>
      </c>
      <c r="F1013" s="4">
        <v>75630.25</v>
      </c>
      <c r="G1013" s="4">
        <f t="shared" si="11"/>
        <v>14369.747499999999</v>
      </c>
      <c r="H1013" s="4">
        <f t="shared" si="12"/>
        <v>89999.997499999998</v>
      </c>
      <c r="I1013" s="4"/>
      <c r="J1013" s="4"/>
    </row>
    <row r="1014" spans="1:10">
      <c r="A1014" s="1">
        <v>1014</v>
      </c>
      <c r="B1014" s="1" t="s">
        <v>1230</v>
      </c>
      <c r="C1014" s="9">
        <v>45653</v>
      </c>
      <c r="D1014" s="1" t="s">
        <v>39</v>
      </c>
      <c r="E1014" s="1">
        <v>91686</v>
      </c>
      <c r="F1014" s="4">
        <v>24285.71</v>
      </c>
      <c r="G1014" s="4">
        <f t="shared" si="11"/>
        <v>4614.2848999999997</v>
      </c>
      <c r="H1014" s="4">
        <f t="shared" si="12"/>
        <v>28899.994899999998</v>
      </c>
      <c r="I1014" s="4"/>
      <c r="J1014" s="4"/>
    </row>
    <row r="1015" spans="1:10">
      <c r="A1015" s="1">
        <v>1015</v>
      </c>
      <c r="B1015" s="1" t="s">
        <v>1231</v>
      </c>
      <c r="C1015" s="9">
        <v>45654</v>
      </c>
      <c r="D1015" s="1" t="s">
        <v>12</v>
      </c>
      <c r="E1015" s="1">
        <v>29</v>
      </c>
      <c r="F1015" s="4">
        <v>100840.34</v>
      </c>
      <c r="G1015" s="4">
        <f t="shared" si="11"/>
        <v>19159.6646</v>
      </c>
      <c r="H1015" s="4">
        <f t="shared" si="12"/>
        <v>120000.0046</v>
      </c>
      <c r="I1015" s="4"/>
      <c r="J1015" s="4"/>
    </row>
    <row r="1016" spans="1:10">
      <c r="A1016" s="1">
        <v>1016</v>
      </c>
      <c r="B1016" s="1" t="s">
        <v>1232</v>
      </c>
      <c r="C1016" s="9">
        <v>45656</v>
      </c>
      <c r="D1016" s="1" t="s">
        <v>39</v>
      </c>
      <c r="E1016" s="1">
        <v>91687</v>
      </c>
      <c r="F1016" s="4">
        <v>64285.71</v>
      </c>
      <c r="G1016" s="4">
        <f t="shared" si="11"/>
        <v>12214.284900000001</v>
      </c>
      <c r="H1016" s="4">
        <f t="shared" si="12"/>
        <v>76499.994900000005</v>
      </c>
      <c r="I1016" s="4"/>
      <c r="J1016" s="4"/>
    </row>
    <row r="1017" spans="1:10">
      <c r="A1017" s="1">
        <v>1017</v>
      </c>
      <c r="B1017" s="1" t="s">
        <v>1233</v>
      </c>
      <c r="C1017" s="9">
        <v>45659</v>
      </c>
      <c r="D1017" s="1" t="s">
        <v>39</v>
      </c>
      <c r="E1017" s="1">
        <v>91688</v>
      </c>
      <c r="F1017" s="4">
        <v>63025.21</v>
      </c>
      <c r="G1017" s="4">
        <f t="shared" si="11"/>
        <v>11974.7899</v>
      </c>
      <c r="H1017" s="4">
        <f t="shared" si="12"/>
        <v>74999.999899999995</v>
      </c>
      <c r="I1017" s="4"/>
      <c r="J1017" s="4"/>
    </row>
    <row r="1018" spans="1:10">
      <c r="A1018" s="1">
        <v>1018</v>
      </c>
      <c r="B1018" s="1" t="s">
        <v>1234</v>
      </c>
      <c r="C1018" s="9">
        <v>45659</v>
      </c>
      <c r="D1018" s="1" t="s">
        <v>39</v>
      </c>
      <c r="E1018" s="1">
        <v>91689</v>
      </c>
      <c r="F1018" s="4">
        <v>52100.84</v>
      </c>
      <c r="G1018" s="4">
        <f t="shared" si="11"/>
        <v>9899.159599999999</v>
      </c>
      <c r="H1018" s="4">
        <f t="shared" si="12"/>
        <v>61999.999599999996</v>
      </c>
      <c r="I1018" s="4" t="s">
        <v>1235</v>
      </c>
      <c r="J1018" s="4"/>
    </row>
    <row r="1019" spans="1:10">
      <c r="A1019" s="1">
        <v>1019</v>
      </c>
      <c r="B1019" s="1" t="s">
        <v>1236</v>
      </c>
      <c r="C1019" s="9">
        <v>45660</v>
      </c>
      <c r="D1019" s="1" t="s">
        <v>39</v>
      </c>
      <c r="E1019" s="1">
        <v>91690</v>
      </c>
      <c r="F1019" s="4">
        <v>16807</v>
      </c>
      <c r="G1019" s="4">
        <f t="shared" si="11"/>
        <v>3193.33</v>
      </c>
      <c r="H1019" s="4">
        <f t="shared" si="12"/>
        <v>20000.330000000002</v>
      </c>
      <c r="I1019" s="4"/>
      <c r="J1019" s="4"/>
    </row>
    <row r="1020" spans="1:10">
      <c r="A1020" s="1">
        <v>1020</v>
      </c>
      <c r="B1020" s="1" t="s">
        <v>1237</v>
      </c>
      <c r="C1020" s="9">
        <v>45661</v>
      </c>
      <c r="D1020" s="1" t="s">
        <v>39</v>
      </c>
      <c r="E1020" s="1">
        <v>91691</v>
      </c>
      <c r="F1020" s="4">
        <v>34453.78</v>
      </c>
      <c r="G1020" s="4">
        <f t="shared" si="11"/>
        <v>6546.2182000000003</v>
      </c>
      <c r="H1020" s="4">
        <f t="shared" si="12"/>
        <v>40999.998200000002</v>
      </c>
      <c r="I1020" s="4"/>
      <c r="J1020" s="4"/>
    </row>
    <row r="1021" spans="1:10">
      <c r="A1021" s="1">
        <v>1021</v>
      </c>
      <c r="B1021" s="1" t="s">
        <v>1238</v>
      </c>
      <c r="C1021" s="9">
        <v>45661</v>
      </c>
      <c r="D1021" s="1" t="s">
        <v>39</v>
      </c>
      <c r="E1021" s="1">
        <v>91692</v>
      </c>
      <c r="F1021" s="4">
        <v>5882.35</v>
      </c>
      <c r="G1021" s="4">
        <f t="shared" si="11"/>
        <v>1117.6465000000001</v>
      </c>
      <c r="H1021" s="4">
        <f t="shared" si="12"/>
        <v>6999.9965000000002</v>
      </c>
      <c r="I1021" s="4"/>
      <c r="J1021" s="4"/>
    </row>
    <row r="1022" spans="1:10">
      <c r="A1022" s="1">
        <v>1022</v>
      </c>
      <c r="B1022" s="1" t="s">
        <v>1239</v>
      </c>
      <c r="C1022" s="9">
        <v>45661</v>
      </c>
      <c r="D1022" s="1" t="s">
        <v>39</v>
      </c>
      <c r="E1022" s="1">
        <v>91693</v>
      </c>
      <c r="F1022" s="4">
        <v>16807</v>
      </c>
      <c r="G1022" s="4">
        <f t="shared" si="11"/>
        <v>3193.33</v>
      </c>
      <c r="H1022" s="4">
        <f t="shared" si="12"/>
        <v>20000.330000000002</v>
      </c>
      <c r="I1022" s="4"/>
      <c r="J1022" s="4"/>
    </row>
    <row r="1023" spans="1:10">
      <c r="A1023" s="1">
        <v>1023</v>
      </c>
      <c r="B1023" s="1" t="s">
        <v>1240</v>
      </c>
      <c r="C1023" s="9">
        <v>45661</v>
      </c>
      <c r="D1023" s="1" t="s">
        <v>39</v>
      </c>
      <c r="E1023" s="1">
        <v>91694</v>
      </c>
      <c r="F1023" s="4">
        <v>17647.060000000001</v>
      </c>
      <c r="G1023" s="4">
        <f t="shared" si="11"/>
        <v>3352.9414000000002</v>
      </c>
      <c r="H1023" s="4">
        <f t="shared" si="12"/>
        <v>21000.001400000001</v>
      </c>
      <c r="I1023" s="4"/>
      <c r="J1023" s="4"/>
    </row>
    <row r="1024" spans="1:10">
      <c r="A1024" s="1">
        <v>1024</v>
      </c>
      <c r="B1024" s="1" t="s">
        <v>1241</v>
      </c>
      <c r="C1024" s="9">
        <v>45662</v>
      </c>
      <c r="D1024" s="1" t="s">
        <v>39</v>
      </c>
      <c r="E1024" s="1">
        <v>91695</v>
      </c>
      <c r="F1024" s="4">
        <v>20168.07</v>
      </c>
      <c r="G1024" s="4">
        <f t="shared" si="11"/>
        <v>3831.9333000000001</v>
      </c>
      <c r="H1024" s="4">
        <f t="shared" si="12"/>
        <v>24000.0033</v>
      </c>
      <c r="I1024" s="4"/>
      <c r="J1024" s="4"/>
    </row>
    <row r="1025" spans="1:10">
      <c r="A1025" s="1">
        <v>1025</v>
      </c>
      <c r="B1025" s="1" t="s">
        <v>1242</v>
      </c>
      <c r="C1025" s="9">
        <v>45664</v>
      </c>
      <c r="D1025" s="1" t="s">
        <v>39</v>
      </c>
      <c r="E1025" s="1">
        <v>91696</v>
      </c>
      <c r="F1025" s="4">
        <v>33613.449999999997</v>
      </c>
      <c r="G1025" s="4">
        <f t="shared" si="11"/>
        <v>6386.5554999999995</v>
      </c>
      <c r="H1025" s="4">
        <f t="shared" si="12"/>
        <v>40000.005499999999</v>
      </c>
      <c r="I1025" s="4"/>
      <c r="J1025" s="4"/>
    </row>
    <row r="1026" spans="1:10">
      <c r="A1026" s="1">
        <v>1026</v>
      </c>
      <c r="B1026" s="1" t="s">
        <v>1243</v>
      </c>
      <c r="C1026" s="9">
        <v>45664</v>
      </c>
      <c r="D1026" s="1" t="s">
        <v>39</v>
      </c>
      <c r="E1026" s="1">
        <v>91697</v>
      </c>
      <c r="F1026" s="4">
        <v>8403.36</v>
      </c>
      <c r="G1026" s="4">
        <f t="shared" si="11"/>
        <v>1596.6384</v>
      </c>
      <c r="H1026" s="4">
        <f t="shared" si="12"/>
        <v>9999.9984000000004</v>
      </c>
      <c r="I1026" s="4"/>
      <c r="J1026" s="4"/>
    </row>
    <row r="1027" spans="1:10">
      <c r="A1027" s="1">
        <v>1027</v>
      </c>
      <c r="B1027" s="1" t="s">
        <v>1244</v>
      </c>
      <c r="C1027" s="9">
        <v>45664</v>
      </c>
      <c r="D1027" s="1" t="s">
        <v>39</v>
      </c>
      <c r="E1027" s="1">
        <v>91698</v>
      </c>
      <c r="F1027" s="4">
        <v>16807</v>
      </c>
      <c r="G1027" s="4">
        <f t="shared" si="11"/>
        <v>3193.33</v>
      </c>
      <c r="H1027" s="4">
        <f t="shared" si="12"/>
        <v>20000.330000000002</v>
      </c>
      <c r="I1027" s="4"/>
      <c r="J1027" s="4"/>
    </row>
    <row r="1028" spans="1:10">
      <c r="A1028" s="1">
        <v>1028</v>
      </c>
      <c r="B1028" s="1" t="s">
        <v>1245</v>
      </c>
      <c r="C1028" s="9">
        <v>45668</v>
      </c>
      <c r="D1028" s="1" t="s">
        <v>39</v>
      </c>
      <c r="E1028" s="1">
        <v>91699</v>
      </c>
      <c r="F1028" s="4">
        <v>71008.399999999994</v>
      </c>
      <c r="G1028" s="4">
        <f t="shared" si="11"/>
        <v>13491.596</v>
      </c>
      <c r="H1028" s="4">
        <f t="shared" si="12"/>
        <v>84499.995999999999</v>
      </c>
      <c r="I1028" s="4"/>
      <c r="J1028" s="4"/>
    </row>
    <row r="1029" spans="1:10">
      <c r="A1029" s="1">
        <v>1029</v>
      </c>
      <c r="B1029" s="1" t="s">
        <v>1246</v>
      </c>
      <c r="C1029" s="9">
        <v>45668</v>
      </c>
      <c r="D1029" s="1" t="s">
        <v>39</v>
      </c>
      <c r="E1029" s="1">
        <v>91700</v>
      </c>
      <c r="F1029" s="4">
        <v>36554.620000000003</v>
      </c>
      <c r="G1029" s="4">
        <f t="shared" si="11"/>
        <v>6945.3778000000002</v>
      </c>
      <c r="H1029" s="4">
        <f t="shared" si="12"/>
        <v>43499.997800000005</v>
      </c>
      <c r="I1029" s="4"/>
      <c r="J1029" s="4"/>
    </row>
    <row r="1030" spans="1:10">
      <c r="A1030" s="1">
        <v>1030</v>
      </c>
      <c r="B1030" s="1" t="s">
        <v>1247</v>
      </c>
      <c r="C1030" s="9">
        <v>45668</v>
      </c>
      <c r="D1030" s="1" t="s">
        <v>39</v>
      </c>
      <c r="E1030" s="1">
        <v>91701</v>
      </c>
      <c r="F1030" s="4">
        <v>33613.449999999997</v>
      </c>
      <c r="G1030" s="4">
        <f t="shared" si="11"/>
        <v>6386.5554999999995</v>
      </c>
      <c r="H1030" s="4">
        <f t="shared" si="12"/>
        <v>40000.005499999999</v>
      </c>
      <c r="I1030" s="4"/>
      <c r="J1030" s="4"/>
    </row>
    <row r="1031" spans="1:10">
      <c r="A1031" s="1">
        <v>1031</v>
      </c>
      <c r="B1031" s="1" t="s">
        <v>1248</v>
      </c>
      <c r="C1031" s="7">
        <v>45668</v>
      </c>
      <c r="D1031" s="1" t="s">
        <v>39</v>
      </c>
      <c r="E1031" s="1">
        <v>91702</v>
      </c>
      <c r="F1031" s="4">
        <v>2521</v>
      </c>
      <c r="G1031" s="4">
        <f t="shared" si="11"/>
        <v>478.99</v>
      </c>
      <c r="H1031" s="4">
        <f t="shared" si="12"/>
        <v>2999.99</v>
      </c>
      <c r="I1031" s="4"/>
      <c r="J1031" s="4"/>
    </row>
    <row r="1032" spans="1:10">
      <c r="A1032" s="1">
        <v>1032</v>
      </c>
      <c r="B1032" s="1" t="s">
        <v>1249</v>
      </c>
      <c r="C1032" s="9">
        <v>45668</v>
      </c>
      <c r="D1032" s="1" t="s">
        <v>12</v>
      </c>
      <c r="E1032" s="1">
        <v>30</v>
      </c>
      <c r="F1032" s="4">
        <v>100840.33</v>
      </c>
      <c r="G1032" s="4">
        <f t="shared" si="11"/>
        <v>19159.662700000001</v>
      </c>
      <c r="H1032" s="4">
        <f t="shared" si="12"/>
        <v>119999.9927</v>
      </c>
      <c r="I1032" s="4"/>
      <c r="J1032" s="4"/>
    </row>
    <row r="1033" spans="1:10">
      <c r="A1033" s="1">
        <v>1033</v>
      </c>
      <c r="B1033" s="1" t="s">
        <v>1250</v>
      </c>
      <c r="C1033" s="9">
        <v>45672</v>
      </c>
      <c r="D1033" s="1" t="s">
        <v>39</v>
      </c>
      <c r="E1033" s="1">
        <v>91703</v>
      </c>
      <c r="F1033" s="4">
        <v>44033.61</v>
      </c>
      <c r="G1033" s="4">
        <f t="shared" si="11"/>
        <v>8366.3858999999993</v>
      </c>
      <c r="H1033" s="4">
        <f t="shared" si="12"/>
        <v>52399.995900000002</v>
      </c>
      <c r="I1033" s="4"/>
      <c r="J1033" s="4"/>
    </row>
    <row r="1034" spans="1:10">
      <c r="A1034" s="1">
        <v>1034</v>
      </c>
      <c r="B1034" s="1" t="s">
        <v>1251</v>
      </c>
      <c r="C1034" s="9">
        <v>45673</v>
      </c>
      <c r="D1034" s="1" t="s">
        <v>39</v>
      </c>
      <c r="E1034" s="1">
        <v>91704</v>
      </c>
      <c r="F1034" s="4">
        <v>10084.030000000001</v>
      </c>
      <c r="G1034" s="4">
        <f t="shared" si="11"/>
        <v>1915.9657000000002</v>
      </c>
      <c r="H1034" s="4">
        <f t="shared" si="12"/>
        <v>11999.995700000001</v>
      </c>
      <c r="I1034" s="4"/>
      <c r="J1034" s="4"/>
    </row>
    <row r="1035" spans="1:10">
      <c r="A1035" s="1">
        <v>1035</v>
      </c>
      <c r="B1035" s="1" t="s">
        <v>1252</v>
      </c>
      <c r="C1035" s="9">
        <v>45673</v>
      </c>
      <c r="D1035" s="1" t="s">
        <v>39</v>
      </c>
      <c r="E1035" s="1">
        <v>91706</v>
      </c>
      <c r="F1035" s="4">
        <v>8823.5300000000007</v>
      </c>
      <c r="G1035" s="4">
        <f t="shared" si="11"/>
        <v>1676.4707000000001</v>
      </c>
      <c r="H1035" s="4">
        <f t="shared" si="12"/>
        <v>10500.000700000001</v>
      </c>
      <c r="I1035" s="4"/>
      <c r="J1035" s="4"/>
    </row>
    <row r="1036" spans="1:10">
      <c r="A1036" s="1">
        <v>1036</v>
      </c>
      <c r="B1036" s="1" t="s">
        <v>1253</v>
      </c>
      <c r="C1036" s="9">
        <v>45673</v>
      </c>
      <c r="D1036" s="1" t="s">
        <v>39</v>
      </c>
      <c r="E1036" s="1">
        <v>91705</v>
      </c>
      <c r="F1036" s="4">
        <v>40336.129999999997</v>
      </c>
      <c r="G1036" s="4">
        <f t="shared" si="11"/>
        <v>7663.8646999999992</v>
      </c>
      <c r="H1036" s="4">
        <f t="shared" si="12"/>
        <v>47999.994699999996</v>
      </c>
      <c r="I1036" s="4"/>
      <c r="J1036" s="4"/>
    </row>
    <row r="1037" spans="1:10">
      <c r="A1037" s="1">
        <v>1037</v>
      </c>
      <c r="B1037" s="1" t="s">
        <v>1248</v>
      </c>
      <c r="C1037" s="9">
        <v>45676</v>
      </c>
      <c r="D1037" s="1" t="s">
        <v>39</v>
      </c>
      <c r="E1037" s="1">
        <v>91707</v>
      </c>
      <c r="F1037" s="4">
        <v>7563</v>
      </c>
      <c r="G1037" s="4">
        <f t="shared" si="11"/>
        <v>1436.97</v>
      </c>
      <c r="H1037" s="4">
        <f t="shared" si="12"/>
        <v>8999.9699999999993</v>
      </c>
      <c r="I1037" s="4"/>
      <c r="J1037" s="4"/>
    </row>
    <row r="1038" spans="1:10">
      <c r="A1038" s="1">
        <v>1038</v>
      </c>
      <c r="B1038" s="1" t="s">
        <v>1254</v>
      </c>
      <c r="C1038" s="9">
        <v>45678</v>
      </c>
      <c r="D1038" s="1" t="s">
        <v>39</v>
      </c>
      <c r="E1038" s="1">
        <v>91708</v>
      </c>
      <c r="F1038" s="4">
        <v>37815</v>
      </c>
      <c r="G1038" s="4">
        <f t="shared" si="11"/>
        <v>7184.85</v>
      </c>
      <c r="H1038" s="4">
        <f t="shared" si="12"/>
        <v>44999.85</v>
      </c>
      <c r="I1038" s="4"/>
      <c r="J1038" s="4"/>
    </row>
    <row r="1039" spans="1:10">
      <c r="A1039" s="1">
        <v>1039</v>
      </c>
      <c r="B1039" s="1" t="s">
        <v>1255</v>
      </c>
      <c r="C1039" s="9">
        <v>45678</v>
      </c>
      <c r="D1039" s="1" t="s">
        <v>12</v>
      </c>
      <c r="F1039" s="4">
        <v>25210</v>
      </c>
      <c r="G1039" s="4">
        <f t="shared" si="11"/>
        <v>4789.8999999999996</v>
      </c>
      <c r="H1039" s="4">
        <f t="shared" si="12"/>
        <v>29999.9</v>
      </c>
      <c r="I1039" s="4"/>
      <c r="J1039" s="4"/>
    </row>
    <row r="1040" spans="1:10">
      <c r="A1040" s="1">
        <v>1040</v>
      </c>
      <c r="B1040" s="1" t="s">
        <v>1256</v>
      </c>
      <c r="C1040" s="9">
        <v>45678</v>
      </c>
      <c r="D1040" s="1" t="s">
        <v>39</v>
      </c>
      <c r="E1040" s="1">
        <v>91709</v>
      </c>
      <c r="F1040" s="4">
        <v>81512.600000000006</v>
      </c>
      <c r="G1040" s="4">
        <f t="shared" si="11"/>
        <v>15487.394000000002</v>
      </c>
      <c r="H1040" s="4">
        <f t="shared" si="12"/>
        <v>96999.994000000006</v>
      </c>
      <c r="I1040" s="4"/>
      <c r="J1040" s="4"/>
    </row>
    <row r="1041" spans="1:10">
      <c r="A1041" s="1">
        <v>1041</v>
      </c>
      <c r="B1041" s="1" t="s">
        <v>1257</v>
      </c>
      <c r="C1041" s="9">
        <v>45680</v>
      </c>
      <c r="D1041" s="1" t="s">
        <v>12</v>
      </c>
      <c r="F1041" s="4">
        <v>21008.400000000001</v>
      </c>
      <c r="G1041" s="4">
        <f t="shared" si="11"/>
        <v>3991.5960000000005</v>
      </c>
      <c r="H1041" s="4">
        <f t="shared" si="12"/>
        <v>24999.996000000003</v>
      </c>
      <c r="I1041" s="4" t="s">
        <v>1258</v>
      </c>
      <c r="J1041" s="4"/>
    </row>
    <row r="1042" spans="1:10">
      <c r="A1042" s="1">
        <v>1042</v>
      </c>
      <c r="B1042" s="1" t="s">
        <v>1259</v>
      </c>
      <c r="C1042" s="9">
        <v>45681</v>
      </c>
      <c r="D1042" s="1" t="s">
        <v>39</v>
      </c>
      <c r="E1042" s="1">
        <v>91710</v>
      </c>
      <c r="F1042" s="4">
        <v>36974.79</v>
      </c>
      <c r="G1042" s="4">
        <f t="shared" si="11"/>
        <v>7025.2101000000002</v>
      </c>
      <c r="H1042" s="4">
        <f t="shared" si="12"/>
        <v>44000.000100000005</v>
      </c>
      <c r="I1042" s="4"/>
      <c r="J1042" s="4"/>
    </row>
    <row r="1043" spans="1:10">
      <c r="A1043" s="1">
        <v>1043</v>
      </c>
      <c r="B1043" s="1" t="s">
        <v>1260</v>
      </c>
      <c r="C1043" s="9">
        <v>45681</v>
      </c>
      <c r="D1043" s="1" t="s">
        <v>39</v>
      </c>
      <c r="E1043" s="1">
        <v>91711</v>
      </c>
      <c r="F1043" s="4">
        <v>19327.73</v>
      </c>
      <c r="G1043" s="4">
        <f t="shared" si="11"/>
        <v>3672.2687000000001</v>
      </c>
      <c r="H1043" s="4">
        <f t="shared" si="12"/>
        <v>22999.9987</v>
      </c>
      <c r="I1043" s="4"/>
      <c r="J1043" s="4"/>
    </row>
    <row r="1044" spans="1:10">
      <c r="A1044" s="1">
        <v>1044</v>
      </c>
      <c r="B1044" s="1" t="s">
        <v>1261</v>
      </c>
      <c r="C1044" s="9">
        <v>45681</v>
      </c>
      <c r="D1044" s="1" t="s">
        <v>39</v>
      </c>
      <c r="E1044" s="1">
        <v>91712</v>
      </c>
      <c r="F1044" s="4">
        <v>5882.35</v>
      </c>
      <c r="G1044" s="4">
        <f t="shared" si="11"/>
        <v>1117.6465000000001</v>
      </c>
      <c r="H1044" s="4">
        <f t="shared" si="12"/>
        <v>6999.9965000000002</v>
      </c>
      <c r="I1044" s="4"/>
      <c r="J1044" s="4"/>
    </row>
    <row r="1045" spans="1:10">
      <c r="A1045" s="1">
        <v>1045</v>
      </c>
      <c r="B1045" s="1" t="s">
        <v>1262</v>
      </c>
      <c r="C1045" s="9">
        <v>45682</v>
      </c>
      <c r="D1045" s="1" t="s">
        <v>39</v>
      </c>
      <c r="E1045" s="1">
        <v>91713</v>
      </c>
      <c r="F1045" s="4">
        <v>47058.82</v>
      </c>
      <c r="G1045" s="4">
        <f t="shared" si="11"/>
        <v>8941.1758000000009</v>
      </c>
      <c r="H1045" s="4">
        <f t="shared" si="12"/>
        <v>55999.995800000004</v>
      </c>
      <c r="I1045" s="4"/>
      <c r="J1045" s="4"/>
    </row>
    <row r="1046" spans="1:10">
      <c r="A1046" s="1">
        <v>1046</v>
      </c>
      <c r="B1046" s="1" t="s">
        <v>1263</v>
      </c>
      <c r="C1046" s="9">
        <v>45682</v>
      </c>
      <c r="D1046" s="1" t="s">
        <v>39</v>
      </c>
      <c r="E1046" s="1">
        <v>91714</v>
      </c>
      <c r="F1046" s="4">
        <v>16807</v>
      </c>
      <c r="G1046" s="4">
        <f t="shared" si="11"/>
        <v>3193.33</v>
      </c>
      <c r="H1046" s="4">
        <f t="shared" si="12"/>
        <v>20000.330000000002</v>
      </c>
      <c r="I1046" s="4"/>
      <c r="J1046" s="4"/>
    </row>
    <row r="1047" spans="1:10">
      <c r="A1047" s="1">
        <v>1047</v>
      </c>
      <c r="B1047" s="1" t="s">
        <v>1264</v>
      </c>
      <c r="C1047" s="9">
        <v>45683</v>
      </c>
      <c r="D1047" s="1" t="s">
        <v>39</v>
      </c>
      <c r="E1047" s="1">
        <v>91715</v>
      </c>
      <c r="F1047" s="4">
        <v>5882.35</v>
      </c>
      <c r="G1047" s="4">
        <f t="shared" si="11"/>
        <v>1117.6465000000001</v>
      </c>
      <c r="H1047" s="4">
        <f t="shared" si="12"/>
        <v>6999.9965000000002</v>
      </c>
      <c r="I1047" s="4"/>
      <c r="J1047" s="4"/>
    </row>
    <row r="1048" spans="1:10">
      <c r="A1048" s="1">
        <v>1048</v>
      </c>
      <c r="B1048" s="1" t="s">
        <v>1265</v>
      </c>
      <c r="C1048" s="9">
        <v>45684</v>
      </c>
      <c r="D1048" s="1" t="s">
        <v>39</v>
      </c>
      <c r="E1048" s="1">
        <v>91716</v>
      </c>
      <c r="F1048" s="4">
        <v>26890.76</v>
      </c>
      <c r="G1048" s="4">
        <f t="shared" si="11"/>
        <v>5109.2443999999996</v>
      </c>
      <c r="H1048" s="4">
        <f t="shared" si="12"/>
        <v>32000.004399999998</v>
      </c>
      <c r="I1048" s="4"/>
      <c r="J1048" s="4"/>
    </row>
    <row r="1049" spans="1:10">
      <c r="A1049" s="1">
        <v>1049</v>
      </c>
      <c r="B1049" s="1" t="s">
        <v>1266</v>
      </c>
      <c r="C1049" s="9">
        <v>45684</v>
      </c>
      <c r="D1049" s="1" t="s">
        <v>39</v>
      </c>
      <c r="E1049" s="1">
        <v>91717</v>
      </c>
      <c r="F1049" s="4">
        <v>33613.449999999997</v>
      </c>
      <c r="G1049" s="4">
        <f t="shared" si="11"/>
        <v>6386.5554999999995</v>
      </c>
      <c r="H1049" s="4">
        <f t="shared" si="12"/>
        <v>40000.005499999999</v>
      </c>
      <c r="I1049" s="4"/>
      <c r="J1049" s="4"/>
    </row>
    <row r="1050" spans="1:10">
      <c r="A1050" s="1">
        <v>1050</v>
      </c>
      <c r="B1050" s="1" t="s">
        <v>1267</v>
      </c>
      <c r="C1050" s="9">
        <v>45684</v>
      </c>
      <c r="D1050" s="1" t="s">
        <v>12</v>
      </c>
      <c r="E1050" s="1">
        <v>31</v>
      </c>
      <c r="F1050" s="4">
        <v>100840.34</v>
      </c>
      <c r="G1050" s="4">
        <f t="shared" si="11"/>
        <v>19159.6646</v>
      </c>
      <c r="H1050" s="4">
        <f t="shared" si="12"/>
        <v>120000.0046</v>
      </c>
      <c r="I1050" s="4"/>
      <c r="J1050" s="4"/>
    </row>
    <row r="1051" spans="1:10">
      <c r="A1051" s="1">
        <v>1051</v>
      </c>
      <c r="B1051" s="1" t="s">
        <v>1268</v>
      </c>
      <c r="C1051" s="9">
        <v>45687</v>
      </c>
      <c r="D1051" s="1" t="s">
        <v>12</v>
      </c>
      <c r="E1051" s="1">
        <v>32</v>
      </c>
      <c r="F1051" s="4">
        <v>42016.81</v>
      </c>
      <c r="G1051" s="4">
        <f t="shared" si="11"/>
        <v>7983.1938999999993</v>
      </c>
      <c r="H1051" s="4">
        <f t="shared" si="12"/>
        <v>50000.003899999996</v>
      </c>
      <c r="I1051" s="4"/>
      <c r="J1051" s="4"/>
    </row>
    <row r="1052" spans="1:10">
      <c r="A1052" s="1">
        <v>1052</v>
      </c>
      <c r="B1052" s="1" t="s">
        <v>1269</v>
      </c>
      <c r="C1052" s="9">
        <v>45687</v>
      </c>
      <c r="D1052" s="1" t="s">
        <v>39</v>
      </c>
      <c r="E1052" s="1">
        <v>91718</v>
      </c>
      <c r="F1052" s="4">
        <v>47058.82</v>
      </c>
      <c r="G1052" s="4">
        <f t="shared" si="11"/>
        <v>8941.1758000000009</v>
      </c>
      <c r="H1052" s="4">
        <f t="shared" si="12"/>
        <v>55999.995800000004</v>
      </c>
      <c r="I1052" s="4"/>
      <c r="J1052" s="4"/>
    </row>
    <row r="1053" spans="1:10">
      <c r="A1053" s="1">
        <v>1053</v>
      </c>
      <c r="B1053" s="1" t="s">
        <v>1270</v>
      </c>
      <c r="C1053" s="9">
        <v>45688</v>
      </c>
      <c r="D1053" s="1" t="s">
        <v>39</v>
      </c>
      <c r="E1053" s="1">
        <v>91719</v>
      </c>
      <c r="F1053" s="4">
        <v>40756.300000000003</v>
      </c>
      <c r="G1053" s="4">
        <f t="shared" si="11"/>
        <v>7743.697000000001</v>
      </c>
      <c r="H1053" s="4">
        <f t="shared" si="12"/>
        <v>48499.997000000003</v>
      </c>
      <c r="I1053" s="4"/>
      <c r="J1053" s="4"/>
    </row>
    <row r="1054" spans="1:10">
      <c r="A1054" s="1">
        <v>1054</v>
      </c>
      <c r="B1054" s="1" t="s">
        <v>1271</v>
      </c>
      <c r="C1054" s="9">
        <v>45688</v>
      </c>
      <c r="D1054" s="1" t="s">
        <v>39</v>
      </c>
      <c r="E1054" s="1">
        <v>91720</v>
      </c>
      <c r="F1054" s="4">
        <v>20084.03</v>
      </c>
      <c r="G1054" s="4">
        <f t="shared" si="11"/>
        <v>3815.9656999999997</v>
      </c>
      <c r="H1054" s="4">
        <f t="shared" si="12"/>
        <v>23899.995699999999</v>
      </c>
      <c r="I1054" s="4"/>
      <c r="J1054" s="4"/>
    </row>
    <row r="1055" spans="1:10">
      <c r="A1055" s="1">
        <v>1055</v>
      </c>
      <c r="B1055" s="1" t="s">
        <v>1272</v>
      </c>
      <c r="C1055" s="9">
        <v>45689</v>
      </c>
      <c r="D1055" s="1" t="s">
        <v>39</v>
      </c>
      <c r="E1055" s="1">
        <v>91721</v>
      </c>
      <c r="F1055" s="4">
        <v>126050.42</v>
      </c>
      <c r="G1055" s="4">
        <f t="shared" si="11"/>
        <v>23949.5798</v>
      </c>
      <c r="H1055" s="4">
        <f t="shared" si="12"/>
        <v>149999.99979999999</v>
      </c>
      <c r="I1055" s="4"/>
      <c r="J1055" s="4"/>
    </row>
    <row r="1056" spans="1:10">
      <c r="A1056" s="1">
        <v>1056</v>
      </c>
      <c r="B1056" s="1" t="s">
        <v>1273</v>
      </c>
      <c r="C1056" s="9">
        <v>45689</v>
      </c>
      <c r="D1056" s="1" t="s">
        <v>39</v>
      </c>
      <c r="E1056" s="1">
        <v>91722</v>
      </c>
      <c r="F1056" s="4">
        <v>37815.129999999997</v>
      </c>
      <c r="G1056" s="4">
        <f t="shared" si="11"/>
        <v>7184.8746999999994</v>
      </c>
      <c r="H1056" s="4">
        <f t="shared" si="12"/>
        <v>45000.004699999998</v>
      </c>
      <c r="I1056" s="4"/>
      <c r="J1056" s="4"/>
    </row>
    <row r="1057" spans="1:10">
      <c r="A1057" s="1">
        <v>1057</v>
      </c>
      <c r="B1057" s="1" t="s">
        <v>1274</v>
      </c>
      <c r="C1057" s="9">
        <v>45690</v>
      </c>
      <c r="D1057" s="1" t="s">
        <v>39</v>
      </c>
      <c r="E1057" s="1">
        <v>91723</v>
      </c>
      <c r="F1057" s="4">
        <v>127478.99</v>
      </c>
      <c r="G1057" s="4">
        <f t="shared" si="11"/>
        <v>24221.008100000003</v>
      </c>
      <c r="H1057" s="4">
        <f t="shared" si="12"/>
        <v>151699.9981</v>
      </c>
      <c r="I1057" s="4"/>
      <c r="J1057" s="4"/>
    </row>
    <row r="1058" spans="1:10">
      <c r="A1058" s="1">
        <v>1058</v>
      </c>
      <c r="B1058" s="1" t="s">
        <v>1275</v>
      </c>
      <c r="C1058" s="9">
        <v>45691</v>
      </c>
      <c r="D1058" s="1" t="s">
        <v>39</v>
      </c>
      <c r="E1058" s="1">
        <v>91724</v>
      </c>
      <c r="F1058" s="4">
        <v>61344.54</v>
      </c>
      <c r="G1058" s="4">
        <f t="shared" si="11"/>
        <v>11655.462600000001</v>
      </c>
      <c r="H1058" s="4">
        <f t="shared" si="12"/>
        <v>73000.002600000007</v>
      </c>
      <c r="I1058" s="4"/>
      <c r="J1058" s="4"/>
    </row>
    <row r="1059" spans="1:10">
      <c r="A1059" s="1">
        <v>1059</v>
      </c>
      <c r="B1059" s="1" t="s">
        <v>1276</v>
      </c>
      <c r="C1059" s="9">
        <v>45691</v>
      </c>
      <c r="D1059" s="1" t="s">
        <v>39</v>
      </c>
      <c r="E1059" s="1">
        <v>91725</v>
      </c>
      <c r="F1059" s="4">
        <v>12605.04</v>
      </c>
      <c r="G1059" s="4">
        <f t="shared" si="11"/>
        <v>2394.9576000000002</v>
      </c>
      <c r="H1059" s="4">
        <f t="shared" si="12"/>
        <v>14999.997600000001</v>
      </c>
      <c r="I1059" s="4"/>
      <c r="J1059" s="4"/>
    </row>
    <row r="1060" spans="1:10">
      <c r="A1060" s="1">
        <v>1060</v>
      </c>
      <c r="B1060" s="1" t="s">
        <v>1174</v>
      </c>
      <c r="C1060" s="9">
        <v>45692</v>
      </c>
      <c r="D1060" s="1" t="s">
        <v>39</v>
      </c>
      <c r="E1060" s="1">
        <v>91726</v>
      </c>
      <c r="F1060" s="4">
        <v>29411.759999999998</v>
      </c>
      <c r="G1060" s="4">
        <f t="shared" si="11"/>
        <v>5588.2343999999994</v>
      </c>
      <c r="H1060" s="4">
        <f t="shared" si="12"/>
        <v>34999.994399999996</v>
      </c>
      <c r="I1060" s="4"/>
      <c r="J1060" s="4"/>
    </row>
    <row r="1061" spans="1:10">
      <c r="A1061" s="1">
        <v>1061</v>
      </c>
      <c r="B1061" s="1" t="s">
        <v>1277</v>
      </c>
      <c r="C1061" s="9">
        <v>45693</v>
      </c>
      <c r="D1061" s="1" t="s">
        <v>39</v>
      </c>
      <c r="E1061" s="1">
        <v>91728</v>
      </c>
      <c r="F1061" s="4">
        <v>50000</v>
      </c>
      <c r="G1061" s="4">
        <f t="shared" si="11"/>
        <v>9500</v>
      </c>
      <c r="H1061" s="4">
        <f t="shared" si="12"/>
        <v>59500</v>
      </c>
      <c r="I1061" s="4"/>
      <c r="J1061" s="4"/>
    </row>
    <row r="1062" spans="1:10">
      <c r="A1062" s="1">
        <v>1062</v>
      </c>
      <c r="B1062" s="1" t="s">
        <v>1278</v>
      </c>
      <c r="C1062" s="9">
        <v>45693</v>
      </c>
      <c r="D1062" s="1" t="s">
        <v>39</v>
      </c>
      <c r="E1062" s="1">
        <v>91727</v>
      </c>
      <c r="F1062" s="4">
        <v>52100.84</v>
      </c>
      <c r="G1062" s="4">
        <f t="shared" si="11"/>
        <v>9899.159599999999</v>
      </c>
      <c r="H1062" s="4">
        <f t="shared" si="12"/>
        <v>61999.999599999996</v>
      </c>
      <c r="I1062" s="4"/>
      <c r="J1062" s="4"/>
    </row>
    <row r="1063" spans="1:10">
      <c r="A1063" s="1">
        <v>1063</v>
      </c>
      <c r="B1063" s="1" t="s">
        <v>1279</v>
      </c>
      <c r="C1063" s="9">
        <v>45693</v>
      </c>
      <c r="D1063" s="1" t="s">
        <v>39</v>
      </c>
      <c r="E1063" s="1">
        <v>91729</v>
      </c>
      <c r="F1063" s="4">
        <v>31932.77</v>
      </c>
      <c r="G1063" s="4">
        <f t="shared" si="11"/>
        <v>6067.2263000000003</v>
      </c>
      <c r="H1063" s="4">
        <f t="shared" si="12"/>
        <v>37999.996299999999</v>
      </c>
      <c r="I1063" s="4"/>
      <c r="J1063" s="4"/>
    </row>
    <row r="1064" spans="1:10">
      <c r="A1064" s="1">
        <v>1064</v>
      </c>
      <c r="B1064" s="1" t="s">
        <v>1280</v>
      </c>
      <c r="C1064" s="9">
        <v>45693</v>
      </c>
      <c r="D1064" s="1" t="s">
        <v>39</v>
      </c>
      <c r="E1064" s="1">
        <v>91730</v>
      </c>
      <c r="F1064" s="4">
        <v>48655.46</v>
      </c>
      <c r="G1064" s="4">
        <f t="shared" si="11"/>
        <v>9244.5373999999993</v>
      </c>
      <c r="H1064" s="4">
        <f t="shared" si="12"/>
        <v>57899.9974</v>
      </c>
      <c r="I1064" s="4"/>
      <c r="J1064" s="4"/>
    </row>
    <row r="1065" spans="1:10">
      <c r="A1065" s="1">
        <v>1065</v>
      </c>
      <c r="B1065" s="1" t="s">
        <v>1281</v>
      </c>
      <c r="C1065" s="9">
        <v>45693</v>
      </c>
      <c r="D1065" s="1" t="s">
        <v>39</v>
      </c>
      <c r="E1065" s="1">
        <v>91731</v>
      </c>
      <c r="F1065" s="4">
        <v>89075.63</v>
      </c>
      <c r="G1065" s="4">
        <f t="shared" si="11"/>
        <v>16924.369699999999</v>
      </c>
      <c r="H1065" s="4">
        <f t="shared" si="12"/>
        <v>105999.9997</v>
      </c>
      <c r="I1065" s="4"/>
      <c r="J1065" s="4"/>
    </row>
    <row r="1066" spans="1:10">
      <c r="A1066" s="1">
        <v>1066</v>
      </c>
      <c r="B1066" s="1" t="s">
        <v>1282</v>
      </c>
      <c r="C1066" s="9">
        <v>45695</v>
      </c>
      <c r="D1066" s="1" t="s">
        <v>39</v>
      </c>
      <c r="F1066" s="4">
        <v>5882.35</v>
      </c>
      <c r="G1066" s="4">
        <f t="shared" si="11"/>
        <v>1117.6465000000001</v>
      </c>
      <c r="H1066" s="4">
        <f t="shared" si="12"/>
        <v>6999.9965000000002</v>
      </c>
      <c r="I1066" s="4"/>
      <c r="J1066" s="4"/>
    </row>
    <row r="1067" spans="1:10">
      <c r="A1067" s="1">
        <v>1067</v>
      </c>
      <c r="B1067" s="1" t="s">
        <v>1283</v>
      </c>
      <c r="C1067" s="9">
        <v>45697</v>
      </c>
      <c r="D1067" s="1" t="s">
        <v>39</v>
      </c>
      <c r="E1067" s="1">
        <v>91734</v>
      </c>
      <c r="F1067" s="4">
        <v>75210.080000000002</v>
      </c>
      <c r="G1067" s="4">
        <f t="shared" si="11"/>
        <v>14289.915200000001</v>
      </c>
      <c r="H1067" s="4">
        <f t="shared" si="12"/>
        <v>89499.995200000005</v>
      </c>
      <c r="I1067" s="4"/>
      <c r="J1067" s="4"/>
    </row>
    <row r="1068" spans="1:10">
      <c r="A1068" s="1">
        <v>1068</v>
      </c>
      <c r="B1068" s="1" t="s">
        <v>1284</v>
      </c>
      <c r="C1068" s="9">
        <v>45697</v>
      </c>
      <c r="D1068" s="1" t="s">
        <v>39</v>
      </c>
      <c r="E1068" s="1">
        <v>91735</v>
      </c>
      <c r="F1068" s="4">
        <v>51260.5</v>
      </c>
      <c r="G1068" s="4">
        <f t="shared" si="11"/>
        <v>9739.4950000000008</v>
      </c>
      <c r="H1068" s="4">
        <f t="shared" si="12"/>
        <v>60999.995000000003</v>
      </c>
      <c r="I1068" s="4"/>
      <c r="J1068" s="4"/>
    </row>
    <row r="1069" spans="1:10">
      <c r="A1069" s="1">
        <v>1069</v>
      </c>
      <c r="B1069" s="1" t="s">
        <v>1285</v>
      </c>
      <c r="C1069" s="9">
        <v>45698</v>
      </c>
      <c r="D1069" s="1" t="s">
        <v>39</v>
      </c>
      <c r="E1069" s="1">
        <v>91736</v>
      </c>
      <c r="F1069" s="4">
        <v>21008.400000000001</v>
      </c>
      <c r="G1069" s="4">
        <f t="shared" si="11"/>
        <v>3991.5960000000005</v>
      </c>
      <c r="H1069" s="4">
        <f t="shared" si="12"/>
        <v>24999.996000000003</v>
      </c>
      <c r="I1069" s="4"/>
      <c r="J1069" s="4"/>
    </row>
    <row r="1070" spans="1:10">
      <c r="A1070" s="1">
        <v>1070</v>
      </c>
      <c r="B1070" s="1" t="s">
        <v>1286</v>
      </c>
      <c r="C1070" s="9">
        <v>45695</v>
      </c>
      <c r="D1070" s="1" t="s">
        <v>39</v>
      </c>
      <c r="E1070" s="1">
        <v>91733</v>
      </c>
      <c r="F1070" s="4">
        <v>42016.800000000003</v>
      </c>
      <c r="G1070" s="4">
        <f t="shared" si="11"/>
        <v>7983.1920000000009</v>
      </c>
      <c r="H1070" s="4">
        <f t="shared" si="12"/>
        <v>49999.992000000006</v>
      </c>
      <c r="I1070" s="4"/>
      <c r="J1070" s="4"/>
    </row>
    <row r="1071" spans="1:10">
      <c r="A1071" s="1">
        <v>1071</v>
      </c>
      <c r="B1071" s="1" t="s">
        <v>1287</v>
      </c>
      <c r="C1071" s="9">
        <v>45695</v>
      </c>
      <c r="D1071" s="1" t="s">
        <v>39</v>
      </c>
      <c r="E1071" s="1">
        <v>91732</v>
      </c>
      <c r="F1071" s="4">
        <v>42436.97</v>
      </c>
      <c r="G1071" s="4">
        <f t="shared" si="11"/>
        <v>8063.0243</v>
      </c>
      <c r="H1071" s="4">
        <f t="shared" si="12"/>
        <v>50499.994299999998</v>
      </c>
      <c r="I1071" s="4"/>
      <c r="J1071" s="4"/>
    </row>
    <row r="1072" spans="1:10">
      <c r="A1072" s="1">
        <v>1072</v>
      </c>
      <c r="B1072" s="1" t="s">
        <v>1288</v>
      </c>
      <c r="C1072" s="9">
        <v>45698</v>
      </c>
      <c r="D1072" s="1" t="s">
        <v>39</v>
      </c>
      <c r="E1072" s="1">
        <v>91737</v>
      </c>
      <c r="F1072" s="4">
        <v>52521</v>
      </c>
      <c r="G1072" s="4">
        <f t="shared" si="11"/>
        <v>9978.99</v>
      </c>
      <c r="H1072" s="4">
        <f t="shared" si="12"/>
        <v>62499.99</v>
      </c>
      <c r="I1072" s="4"/>
      <c r="J1072" s="4"/>
    </row>
    <row r="1073" spans="1:10">
      <c r="A1073" s="1">
        <v>1073</v>
      </c>
      <c r="B1073" s="1" t="s">
        <v>1289</v>
      </c>
      <c r="C1073" s="9">
        <v>45698</v>
      </c>
      <c r="D1073" s="1" t="s">
        <v>39</v>
      </c>
      <c r="E1073" s="1">
        <v>91738</v>
      </c>
      <c r="F1073" s="4">
        <v>25210.080000000002</v>
      </c>
      <c r="G1073" s="4">
        <f t="shared" si="11"/>
        <v>4789.9152000000004</v>
      </c>
      <c r="H1073" s="4">
        <f t="shared" si="12"/>
        <v>29999.995200000001</v>
      </c>
      <c r="I1073" s="4"/>
      <c r="J1073" s="4"/>
    </row>
    <row r="1074" spans="1:10">
      <c r="A1074" s="1">
        <v>1074</v>
      </c>
      <c r="B1074" s="1" t="s">
        <v>1290</v>
      </c>
      <c r="C1074" s="9">
        <v>45699</v>
      </c>
      <c r="D1074" s="1" t="s">
        <v>39</v>
      </c>
      <c r="E1074" s="1">
        <v>91739</v>
      </c>
      <c r="F1074" s="4">
        <v>46218.49</v>
      </c>
      <c r="G1074" s="4">
        <f t="shared" si="11"/>
        <v>8781.5131000000001</v>
      </c>
      <c r="H1074" s="4">
        <f t="shared" si="12"/>
        <v>55000.003100000002</v>
      </c>
      <c r="I1074" s="4"/>
      <c r="J1074" s="4"/>
    </row>
    <row r="1075" spans="1:10">
      <c r="A1075" s="1">
        <v>1075</v>
      </c>
      <c r="B1075" s="1" t="s">
        <v>1291</v>
      </c>
      <c r="C1075" s="9">
        <v>45699</v>
      </c>
      <c r="D1075" s="1" t="s">
        <v>39</v>
      </c>
      <c r="E1075" s="1">
        <v>91740</v>
      </c>
      <c r="F1075" s="4">
        <v>33613.449999999997</v>
      </c>
      <c r="G1075" s="4">
        <f t="shared" si="11"/>
        <v>6386.5554999999995</v>
      </c>
      <c r="H1075" s="4">
        <f t="shared" si="12"/>
        <v>40000.005499999999</v>
      </c>
      <c r="I1075" s="4"/>
      <c r="J1075" s="4"/>
    </row>
    <row r="1076" spans="1:10">
      <c r="A1076" s="1">
        <v>1076</v>
      </c>
      <c r="B1076" s="1" t="s">
        <v>1292</v>
      </c>
      <c r="C1076" s="9">
        <v>45700</v>
      </c>
      <c r="D1076" s="1" t="s">
        <v>39</v>
      </c>
      <c r="E1076" s="1">
        <v>91741</v>
      </c>
      <c r="F1076" s="4">
        <v>75630.25</v>
      </c>
      <c r="G1076" s="4">
        <f t="shared" si="11"/>
        <v>14369.747499999999</v>
      </c>
      <c r="H1076" s="4">
        <f t="shared" si="12"/>
        <v>89999.997499999998</v>
      </c>
      <c r="I1076" s="4"/>
      <c r="J1076" s="4"/>
    </row>
    <row r="1077" spans="1:10">
      <c r="A1077" s="1">
        <v>1077</v>
      </c>
      <c r="B1077" s="1" t="s">
        <v>1293</v>
      </c>
      <c r="C1077" s="9">
        <v>45700</v>
      </c>
      <c r="D1077" s="1" t="s">
        <v>12</v>
      </c>
      <c r="E1077" s="1">
        <v>33</v>
      </c>
      <c r="F1077" s="4">
        <v>39495.800000000003</v>
      </c>
      <c r="G1077" s="4">
        <f t="shared" si="11"/>
        <v>7504.2020000000002</v>
      </c>
      <c r="H1077" s="4">
        <f t="shared" si="12"/>
        <v>47000.002</v>
      </c>
      <c r="I1077" s="4"/>
      <c r="J1077" s="4"/>
    </row>
    <row r="1078" spans="1:10">
      <c r="A1078" s="1">
        <v>1078</v>
      </c>
      <c r="B1078" s="1" t="s">
        <v>1294</v>
      </c>
      <c r="C1078" s="9">
        <v>45700</v>
      </c>
      <c r="D1078" s="1" t="s">
        <v>39</v>
      </c>
      <c r="E1078" s="1">
        <v>91742</v>
      </c>
      <c r="F1078" s="4">
        <v>29411.759999999998</v>
      </c>
      <c r="G1078" s="4">
        <f t="shared" si="11"/>
        <v>5588.2343999999994</v>
      </c>
      <c r="H1078" s="4">
        <f t="shared" si="12"/>
        <v>34999.994399999996</v>
      </c>
      <c r="I1078" s="4"/>
      <c r="J1078" s="4"/>
    </row>
    <row r="1079" spans="1:10">
      <c r="A1079" s="1">
        <v>1079</v>
      </c>
      <c r="B1079" s="1" t="s">
        <v>1295</v>
      </c>
      <c r="C1079" s="9">
        <v>45700</v>
      </c>
      <c r="D1079" s="1" t="s">
        <v>39</v>
      </c>
      <c r="E1079" s="1">
        <v>91743</v>
      </c>
      <c r="F1079" s="4">
        <v>2100.84</v>
      </c>
      <c r="G1079" s="4">
        <f t="shared" si="11"/>
        <v>399.15960000000001</v>
      </c>
      <c r="H1079" s="4">
        <f t="shared" si="12"/>
        <v>2499.9996000000001</v>
      </c>
      <c r="I1079" s="4"/>
      <c r="J1079" s="4"/>
    </row>
    <row r="1080" spans="1:10">
      <c r="A1080" s="1">
        <v>1080</v>
      </c>
      <c r="B1080" s="1" t="s">
        <v>1296</v>
      </c>
      <c r="C1080" s="9">
        <v>45700</v>
      </c>
      <c r="D1080" s="1" t="s">
        <v>39</v>
      </c>
      <c r="E1080" s="1">
        <v>91744</v>
      </c>
      <c r="F1080" s="4">
        <v>74789.899999999994</v>
      </c>
      <c r="G1080" s="4">
        <f t="shared" si="11"/>
        <v>14210.080999999998</v>
      </c>
      <c r="H1080" s="4">
        <f t="shared" si="12"/>
        <v>88999.981</v>
      </c>
      <c r="I1080" s="4"/>
      <c r="J1080" s="4"/>
    </row>
    <row r="1081" spans="1:10">
      <c r="A1081" s="1">
        <v>1081</v>
      </c>
      <c r="B1081" s="1" t="s">
        <v>1297</v>
      </c>
      <c r="C1081" s="9">
        <v>45701</v>
      </c>
      <c r="D1081" s="1" t="s">
        <v>39</v>
      </c>
      <c r="E1081" s="1">
        <v>91745</v>
      </c>
      <c r="F1081" s="4">
        <v>36974.79</v>
      </c>
      <c r="G1081" s="4">
        <f t="shared" si="11"/>
        <v>7025.2101000000002</v>
      </c>
      <c r="H1081" s="4">
        <f t="shared" si="12"/>
        <v>44000.000100000005</v>
      </c>
      <c r="I1081" s="4"/>
      <c r="J1081" s="4"/>
    </row>
    <row r="1082" spans="1:10">
      <c r="A1082" s="1">
        <v>1082</v>
      </c>
      <c r="B1082" s="1" t="s">
        <v>1298</v>
      </c>
      <c r="C1082" s="9">
        <v>45703</v>
      </c>
      <c r="D1082" s="1" t="s">
        <v>39</v>
      </c>
      <c r="E1082" s="1">
        <v>91746</v>
      </c>
      <c r="F1082" s="4">
        <v>69747.899999999994</v>
      </c>
      <c r="G1082" s="4">
        <f t="shared" si="11"/>
        <v>13252.100999999999</v>
      </c>
      <c r="H1082" s="4">
        <f t="shared" si="12"/>
        <v>83000.000999999989</v>
      </c>
      <c r="I1082" s="4"/>
      <c r="J1082" s="4"/>
    </row>
    <row r="1083" spans="1:10">
      <c r="A1083" s="1">
        <v>1083</v>
      </c>
      <c r="B1083" s="1" t="s">
        <v>1299</v>
      </c>
      <c r="C1083" s="9">
        <v>45703</v>
      </c>
      <c r="D1083" s="1" t="s">
        <v>39</v>
      </c>
      <c r="E1083" s="1">
        <v>91747</v>
      </c>
      <c r="F1083" s="4">
        <v>25210.080000000002</v>
      </c>
      <c r="G1083" s="4">
        <f t="shared" si="11"/>
        <v>4789.9152000000004</v>
      </c>
      <c r="H1083" s="4">
        <f t="shared" si="12"/>
        <v>29999.995200000001</v>
      </c>
      <c r="I1083" s="4"/>
      <c r="J1083" s="4"/>
    </row>
    <row r="1084" spans="1:10">
      <c r="A1084" s="1">
        <v>1084</v>
      </c>
      <c r="B1084" s="1" t="s">
        <v>1300</v>
      </c>
      <c r="C1084" s="9">
        <v>45705</v>
      </c>
      <c r="D1084" s="1" t="s">
        <v>39</v>
      </c>
      <c r="E1084" s="1">
        <v>91748</v>
      </c>
      <c r="F1084" s="4">
        <v>21008.400000000001</v>
      </c>
      <c r="G1084" s="4">
        <f t="shared" si="11"/>
        <v>3991.5960000000005</v>
      </c>
      <c r="H1084" s="4">
        <f t="shared" si="12"/>
        <v>24999.996000000003</v>
      </c>
      <c r="I1084" s="4"/>
      <c r="J1084" s="4"/>
    </row>
    <row r="1085" spans="1:10">
      <c r="A1085" s="1">
        <v>1085</v>
      </c>
      <c r="B1085" s="1" t="s">
        <v>1301</v>
      </c>
      <c r="C1085" s="9">
        <v>45705</v>
      </c>
      <c r="D1085" s="1" t="s">
        <v>39</v>
      </c>
      <c r="E1085" s="1">
        <v>91749</v>
      </c>
      <c r="F1085" s="4">
        <v>48319.33</v>
      </c>
      <c r="G1085" s="4">
        <f t="shared" si="11"/>
        <v>9180.672700000001</v>
      </c>
      <c r="H1085" s="4">
        <f t="shared" si="12"/>
        <v>57500.002700000005</v>
      </c>
      <c r="I1085" s="4"/>
      <c r="J1085" s="4"/>
    </row>
    <row r="1086" spans="1:10">
      <c r="A1086" s="1">
        <v>1086</v>
      </c>
      <c r="B1086" s="1" t="s">
        <v>1302</v>
      </c>
      <c r="C1086" s="9">
        <v>45707</v>
      </c>
      <c r="D1086" s="1" t="s">
        <v>39</v>
      </c>
      <c r="E1086" s="1">
        <v>91750</v>
      </c>
      <c r="F1086" s="4">
        <v>50420.17</v>
      </c>
      <c r="G1086" s="4">
        <f t="shared" si="11"/>
        <v>9579.8323</v>
      </c>
      <c r="H1086" s="4">
        <f t="shared" si="12"/>
        <v>60000.0023</v>
      </c>
      <c r="I1086" s="4"/>
      <c r="J1086" s="4"/>
    </row>
    <row r="1087" spans="1:10">
      <c r="A1087" s="1">
        <v>1087</v>
      </c>
      <c r="B1087" s="1" t="s">
        <v>1303</v>
      </c>
      <c r="C1087" s="9">
        <v>45710</v>
      </c>
      <c r="D1087" s="1" t="s">
        <v>39</v>
      </c>
      <c r="E1087" s="1">
        <v>91751</v>
      </c>
      <c r="F1087" s="4">
        <v>34453.78</v>
      </c>
      <c r="G1087" s="4">
        <f t="shared" si="11"/>
        <v>6546.2182000000003</v>
      </c>
      <c r="H1087" s="4">
        <f t="shared" si="12"/>
        <v>40999.998200000002</v>
      </c>
      <c r="I1087" s="4"/>
      <c r="J1087" s="4"/>
    </row>
    <row r="1088" spans="1:10">
      <c r="A1088" s="1">
        <v>1088</v>
      </c>
      <c r="B1088" s="1" t="s">
        <v>1304</v>
      </c>
      <c r="C1088" s="9">
        <v>45710</v>
      </c>
      <c r="D1088" s="1" t="s">
        <v>39</v>
      </c>
      <c r="E1088" s="1">
        <v>91752</v>
      </c>
      <c r="F1088" s="4">
        <v>46218.49</v>
      </c>
      <c r="G1088" s="4">
        <f t="shared" si="11"/>
        <v>8781.5131000000001</v>
      </c>
      <c r="H1088" s="4">
        <f t="shared" si="12"/>
        <v>55000.003100000002</v>
      </c>
      <c r="I1088" s="4"/>
      <c r="J1088" s="4"/>
    </row>
    <row r="1089" spans="1:10">
      <c r="A1089" s="1">
        <v>1089</v>
      </c>
      <c r="B1089" s="1" t="s">
        <v>1305</v>
      </c>
      <c r="C1089" s="9">
        <v>45711</v>
      </c>
      <c r="D1089" s="1" t="s">
        <v>39</v>
      </c>
      <c r="E1089" s="1">
        <v>91753</v>
      </c>
      <c r="F1089" s="4">
        <v>52100.84</v>
      </c>
      <c r="G1089" s="4">
        <f t="shared" si="11"/>
        <v>9899.159599999999</v>
      </c>
      <c r="H1089" s="4">
        <f t="shared" si="12"/>
        <v>61999.999599999996</v>
      </c>
      <c r="I1089" s="4"/>
      <c r="J1089" s="4"/>
    </row>
    <row r="1090" spans="1:10">
      <c r="A1090" s="1">
        <v>1090</v>
      </c>
      <c r="B1090" s="1" t="s">
        <v>1306</v>
      </c>
      <c r="C1090" s="9">
        <v>45712</v>
      </c>
      <c r="D1090" s="1" t="s">
        <v>39</v>
      </c>
      <c r="E1090" s="1">
        <v>91754</v>
      </c>
      <c r="F1090" s="4">
        <v>108403.4</v>
      </c>
      <c r="G1090" s="4">
        <f t="shared" si="11"/>
        <v>20596.646000000001</v>
      </c>
      <c r="H1090" s="4">
        <f t="shared" si="12"/>
        <v>129000.046</v>
      </c>
      <c r="I1090" s="4"/>
      <c r="J1090" s="4"/>
    </row>
    <row r="1091" spans="1:10">
      <c r="A1091" s="1">
        <v>1091</v>
      </c>
      <c r="B1091" s="1" t="s">
        <v>1307</v>
      </c>
      <c r="C1091" s="9">
        <v>45712</v>
      </c>
      <c r="D1091" s="1" t="s">
        <v>39</v>
      </c>
      <c r="E1091" s="1">
        <v>91755</v>
      </c>
      <c r="F1091" s="4">
        <v>8403.4</v>
      </c>
      <c r="G1091" s="4">
        <f t="shared" si="11"/>
        <v>1596.646</v>
      </c>
      <c r="H1091" s="4">
        <f t="shared" si="12"/>
        <v>10000.046</v>
      </c>
      <c r="I1091" s="4"/>
      <c r="J1091" s="4"/>
    </row>
    <row r="1092" spans="1:10">
      <c r="A1092" s="1">
        <v>1092</v>
      </c>
      <c r="B1092" s="1" t="s">
        <v>1308</v>
      </c>
      <c r="C1092" s="9">
        <v>45714</v>
      </c>
      <c r="D1092" s="1" t="s">
        <v>39</v>
      </c>
      <c r="E1092" s="1">
        <v>91756</v>
      </c>
      <c r="F1092" s="4">
        <v>16807</v>
      </c>
      <c r="G1092" s="4">
        <f t="shared" si="11"/>
        <v>3193.33</v>
      </c>
      <c r="H1092" s="4">
        <f t="shared" si="12"/>
        <v>20000.330000000002</v>
      </c>
      <c r="I1092" s="4"/>
      <c r="J1092" s="4"/>
    </row>
    <row r="1093" spans="1:10">
      <c r="A1093" s="1">
        <v>1093</v>
      </c>
      <c r="B1093" s="1" t="s">
        <v>1309</v>
      </c>
      <c r="C1093" s="9">
        <v>45715</v>
      </c>
      <c r="D1093" s="1" t="s">
        <v>39</v>
      </c>
      <c r="E1093" s="1">
        <v>91757</v>
      </c>
      <c r="F1093" s="4">
        <v>50420.17</v>
      </c>
      <c r="G1093" s="4">
        <f t="shared" si="11"/>
        <v>9579.8323</v>
      </c>
      <c r="H1093" s="4">
        <f t="shared" si="12"/>
        <v>60000.0023</v>
      </c>
      <c r="I1093" s="4"/>
      <c r="J1093" s="4"/>
    </row>
    <row r="1094" spans="1:10">
      <c r="A1094" s="1">
        <v>1094</v>
      </c>
      <c r="B1094" s="1" t="s">
        <v>1310</v>
      </c>
      <c r="C1094" s="9">
        <v>45716</v>
      </c>
      <c r="D1094" s="1" t="s">
        <v>39</v>
      </c>
      <c r="E1094" s="1">
        <v>91758</v>
      </c>
      <c r="F1094" s="4">
        <v>30168.07</v>
      </c>
      <c r="G1094" s="4">
        <f t="shared" si="11"/>
        <v>5731.9332999999997</v>
      </c>
      <c r="H1094" s="4">
        <f t="shared" si="12"/>
        <v>35900.003299999997</v>
      </c>
      <c r="I1094" s="4"/>
      <c r="J1094" s="4"/>
    </row>
    <row r="1095" spans="1:10">
      <c r="A1095" s="1">
        <v>1095</v>
      </c>
      <c r="B1095" s="1" t="s">
        <v>1311</v>
      </c>
      <c r="C1095" s="9">
        <v>45718</v>
      </c>
      <c r="D1095" s="1" t="s">
        <v>39</v>
      </c>
      <c r="E1095" s="1">
        <v>91759</v>
      </c>
      <c r="F1095" s="4">
        <v>29411.759999999998</v>
      </c>
      <c r="G1095" s="4">
        <f t="shared" si="11"/>
        <v>5588.2343999999994</v>
      </c>
      <c r="H1095" s="4">
        <f t="shared" si="12"/>
        <v>34999.994399999996</v>
      </c>
      <c r="I1095" s="4"/>
      <c r="J1095" s="4"/>
    </row>
    <row r="1096" spans="1:10">
      <c r="A1096" s="1">
        <v>1096</v>
      </c>
      <c r="B1096" s="1" t="s">
        <v>1312</v>
      </c>
      <c r="C1096" s="9">
        <v>45718</v>
      </c>
      <c r="D1096" s="1" t="s">
        <v>39</v>
      </c>
      <c r="E1096" s="1">
        <v>91760</v>
      </c>
      <c r="F1096" s="4">
        <v>33613.449999999997</v>
      </c>
      <c r="G1096" s="4">
        <f t="shared" si="11"/>
        <v>6386.5554999999995</v>
      </c>
      <c r="H1096" s="4">
        <f t="shared" si="12"/>
        <v>40000.005499999999</v>
      </c>
      <c r="I1096" s="4"/>
      <c r="J1096" s="4"/>
    </row>
    <row r="1097" spans="1:10">
      <c r="A1097" s="1">
        <v>1097</v>
      </c>
      <c r="B1097" s="1" t="s">
        <v>1311</v>
      </c>
      <c r="C1097" s="9">
        <v>45720</v>
      </c>
      <c r="D1097" s="1" t="s">
        <v>39</v>
      </c>
      <c r="E1097" s="1">
        <v>91761</v>
      </c>
      <c r="F1097" s="4">
        <v>29411.759999999998</v>
      </c>
      <c r="G1097" s="4">
        <f t="shared" si="11"/>
        <v>5588.2343999999994</v>
      </c>
      <c r="H1097" s="4">
        <f t="shared" si="12"/>
        <v>34999.994399999996</v>
      </c>
      <c r="I1097" s="4"/>
      <c r="J1097" s="4"/>
    </row>
    <row r="1098" spans="1:10">
      <c r="A1098" s="1">
        <v>1098</v>
      </c>
      <c r="B1098" s="1" t="s">
        <v>1313</v>
      </c>
      <c r="C1098" s="7">
        <v>45720</v>
      </c>
      <c r="D1098" s="1" t="s">
        <v>39</v>
      </c>
      <c r="E1098" s="1">
        <v>91762</v>
      </c>
      <c r="F1098" s="4">
        <v>16807</v>
      </c>
      <c r="G1098" s="4">
        <f t="shared" si="11"/>
        <v>3193.33</v>
      </c>
      <c r="H1098" s="4">
        <f t="shared" si="12"/>
        <v>20000.330000000002</v>
      </c>
      <c r="I1098" s="4"/>
      <c r="J1098" s="4"/>
    </row>
    <row r="1099" spans="1:10">
      <c r="A1099" s="1">
        <v>1099</v>
      </c>
      <c r="B1099" s="1" t="s">
        <v>1314</v>
      </c>
      <c r="C1099" s="9">
        <v>45720</v>
      </c>
      <c r="D1099" s="1" t="s">
        <v>39</v>
      </c>
      <c r="E1099" s="1">
        <v>91763</v>
      </c>
      <c r="F1099" s="4">
        <v>50420.17</v>
      </c>
      <c r="G1099" s="4">
        <f t="shared" si="11"/>
        <v>9579.8323</v>
      </c>
      <c r="H1099" s="4">
        <f t="shared" si="12"/>
        <v>60000.0023</v>
      </c>
      <c r="I1099" s="4"/>
      <c r="J1099" s="4"/>
    </row>
    <row r="1100" spans="1:10">
      <c r="A1100" s="1">
        <v>1100</v>
      </c>
      <c r="B1100" s="1" t="s">
        <v>1315</v>
      </c>
      <c r="C1100" s="9">
        <v>45720</v>
      </c>
      <c r="D1100" s="1" t="s">
        <v>39</v>
      </c>
      <c r="E1100" s="1">
        <v>91764</v>
      </c>
      <c r="F1100" s="4">
        <v>42016.81</v>
      </c>
      <c r="G1100" s="4">
        <f t="shared" si="11"/>
        <v>7983.1938999999993</v>
      </c>
      <c r="H1100" s="4">
        <f t="shared" si="12"/>
        <v>50000.003899999996</v>
      </c>
      <c r="I1100" s="4"/>
      <c r="J1100" s="4"/>
    </row>
    <row r="1101" spans="1:10">
      <c r="A1101" s="1">
        <v>1101</v>
      </c>
      <c r="B1101" s="1" t="s">
        <v>1316</v>
      </c>
      <c r="C1101" s="9">
        <v>45721</v>
      </c>
      <c r="D1101" s="1" t="s">
        <v>39</v>
      </c>
      <c r="E1101" s="1">
        <v>91765</v>
      </c>
      <c r="F1101" s="4">
        <v>106722.69</v>
      </c>
      <c r="G1101" s="4">
        <f t="shared" si="11"/>
        <v>20277.311099999999</v>
      </c>
      <c r="H1101" s="4">
        <f t="shared" si="12"/>
        <v>127000.00109999999</v>
      </c>
      <c r="I1101" s="4"/>
      <c r="J1101" s="4"/>
    </row>
    <row r="1102" spans="1:10">
      <c r="A1102" s="1">
        <v>1102</v>
      </c>
      <c r="B1102" s="1" t="s">
        <v>1317</v>
      </c>
      <c r="C1102" s="9">
        <v>45722</v>
      </c>
      <c r="D1102" s="1" t="s">
        <v>39</v>
      </c>
      <c r="E1102" s="1">
        <v>91766</v>
      </c>
      <c r="F1102" s="4">
        <v>66638.654999999999</v>
      </c>
      <c r="G1102" s="4">
        <f t="shared" si="11"/>
        <v>12661.344450000001</v>
      </c>
      <c r="H1102" s="4">
        <f t="shared" si="12"/>
        <v>79299.999450000003</v>
      </c>
      <c r="I1102" s="4"/>
      <c r="J1102" s="4"/>
    </row>
    <row r="1103" spans="1:10">
      <c r="A1103" s="1">
        <v>1103</v>
      </c>
      <c r="B1103" s="1" t="s">
        <v>1318</v>
      </c>
      <c r="C1103" s="9">
        <v>45722</v>
      </c>
      <c r="D1103" s="1" t="s">
        <v>39</v>
      </c>
      <c r="E1103" s="1">
        <v>91767</v>
      </c>
      <c r="F1103" s="4">
        <v>44537.82</v>
      </c>
      <c r="G1103" s="4">
        <f t="shared" si="11"/>
        <v>8462.1857999999993</v>
      </c>
      <c r="H1103" s="4">
        <f t="shared" si="12"/>
        <v>53000.005799999999</v>
      </c>
      <c r="I1103" s="4"/>
      <c r="J1103" s="4"/>
    </row>
    <row r="1104" spans="1:10">
      <c r="A1104" s="1">
        <v>1104</v>
      </c>
      <c r="B1104" s="1" t="s">
        <v>1319</v>
      </c>
      <c r="C1104" s="9">
        <v>45722</v>
      </c>
      <c r="D1104" s="1" t="s">
        <v>39</v>
      </c>
      <c r="E1104" s="1">
        <v>91768</v>
      </c>
      <c r="F1104" s="4">
        <v>251596.64</v>
      </c>
      <c r="G1104" s="4">
        <f t="shared" si="11"/>
        <v>47803.361600000004</v>
      </c>
      <c r="H1104" s="4">
        <f t="shared" si="12"/>
        <v>299400.00160000002</v>
      </c>
      <c r="I1104" s="4"/>
      <c r="J1104" s="4"/>
    </row>
    <row r="1105" spans="1:10">
      <c r="A1105" s="1">
        <v>1105</v>
      </c>
      <c r="B1105" s="1" t="s">
        <v>1320</v>
      </c>
      <c r="C1105" s="9">
        <v>45724</v>
      </c>
      <c r="D1105" s="1" t="s">
        <v>39</v>
      </c>
      <c r="E1105" s="1">
        <v>91769</v>
      </c>
      <c r="F1105" s="4">
        <v>36554.620000000003</v>
      </c>
      <c r="G1105" s="4">
        <f t="shared" si="11"/>
        <v>6945.3778000000002</v>
      </c>
      <c r="H1105" s="4">
        <f t="shared" si="12"/>
        <v>43499.997800000005</v>
      </c>
      <c r="I1105" s="4"/>
      <c r="J1105" s="4"/>
    </row>
    <row r="1106" spans="1:10">
      <c r="A1106" s="1">
        <v>1106</v>
      </c>
      <c r="B1106" s="1" t="s">
        <v>1321</v>
      </c>
      <c r="C1106" s="9">
        <v>45724</v>
      </c>
      <c r="D1106" s="1" t="s">
        <v>39</v>
      </c>
      <c r="E1106" s="1">
        <v>91770</v>
      </c>
      <c r="F1106" s="4">
        <v>89075.63</v>
      </c>
      <c r="G1106" s="4">
        <f t="shared" si="11"/>
        <v>16924.369699999999</v>
      </c>
      <c r="H1106" s="4">
        <f t="shared" si="12"/>
        <v>105999.9997</v>
      </c>
      <c r="I1106" s="4"/>
      <c r="J1106" s="4"/>
    </row>
    <row r="1107" spans="1:10">
      <c r="A1107" s="1">
        <v>1107</v>
      </c>
      <c r="B1107" s="1" t="s">
        <v>1322</v>
      </c>
      <c r="C1107" s="9">
        <v>45724</v>
      </c>
      <c r="D1107" s="1" t="s">
        <v>39</v>
      </c>
      <c r="E1107" s="1">
        <v>91771</v>
      </c>
      <c r="F1107" s="4">
        <v>46218.49</v>
      </c>
      <c r="G1107" s="4">
        <f t="shared" si="11"/>
        <v>8781.5131000000001</v>
      </c>
      <c r="H1107" s="4">
        <f t="shared" si="12"/>
        <v>55000.003100000002</v>
      </c>
      <c r="I1107" s="4"/>
      <c r="J1107" s="4"/>
    </row>
    <row r="1108" spans="1:10">
      <c r="A1108" s="1">
        <v>1108</v>
      </c>
      <c r="B1108" s="1" t="s">
        <v>1323</v>
      </c>
      <c r="C1108" s="9">
        <v>45724</v>
      </c>
      <c r="D1108" s="1" t="s">
        <v>39</v>
      </c>
      <c r="E1108" s="1">
        <v>91772</v>
      </c>
      <c r="F1108" s="4">
        <v>189915.97</v>
      </c>
      <c r="G1108" s="4">
        <f t="shared" si="11"/>
        <v>36084.034299999999</v>
      </c>
      <c r="H1108" s="4">
        <f t="shared" si="12"/>
        <v>226000.0043</v>
      </c>
      <c r="I1108" s="4"/>
      <c r="J1108" s="4"/>
    </row>
    <row r="1109" spans="1:10">
      <c r="A1109" s="1">
        <v>1109</v>
      </c>
      <c r="B1109" s="1" t="s">
        <v>1324</v>
      </c>
      <c r="C1109" s="9">
        <v>45733</v>
      </c>
      <c r="D1109" s="1" t="s">
        <v>39</v>
      </c>
      <c r="E1109" s="1">
        <v>91774</v>
      </c>
      <c r="F1109" s="4">
        <v>10084.030000000001</v>
      </c>
      <c r="G1109" s="4">
        <f t="shared" si="11"/>
        <v>1915.9657000000002</v>
      </c>
      <c r="H1109" s="4">
        <f t="shared" si="12"/>
        <v>11999.995700000001</v>
      </c>
      <c r="I1109" s="4"/>
      <c r="J1109" s="4"/>
    </row>
    <row r="1110" spans="1:10">
      <c r="A1110" s="1">
        <v>1110</v>
      </c>
      <c r="B1110" s="1" t="s">
        <v>1325</v>
      </c>
      <c r="C1110" s="9">
        <v>45733</v>
      </c>
      <c r="D1110" s="1" t="s">
        <v>39</v>
      </c>
      <c r="E1110" s="1">
        <v>91773</v>
      </c>
      <c r="F1110" s="4">
        <v>60504.2</v>
      </c>
      <c r="G1110" s="4">
        <f t="shared" si="11"/>
        <v>11495.797999999999</v>
      </c>
      <c r="H1110" s="4">
        <f t="shared" si="12"/>
        <v>71999.997999999992</v>
      </c>
      <c r="I1110" s="4"/>
      <c r="J1110" s="4"/>
    </row>
    <row r="1111" spans="1:10">
      <c r="A1111" s="1">
        <v>1111</v>
      </c>
      <c r="B1111" s="1" t="s">
        <v>1326</v>
      </c>
      <c r="C1111" s="9">
        <v>45733</v>
      </c>
      <c r="D1111" s="1" t="s">
        <v>39</v>
      </c>
      <c r="E1111" s="1">
        <v>91775</v>
      </c>
      <c r="F1111" s="4">
        <v>48739.49</v>
      </c>
      <c r="G1111" s="4">
        <f t="shared" si="11"/>
        <v>9260.5030999999999</v>
      </c>
      <c r="H1111" s="4">
        <f t="shared" si="12"/>
        <v>57999.9931</v>
      </c>
      <c r="I1111" s="4"/>
      <c r="J1111" s="4"/>
    </row>
    <row r="1112" spans="1:10">
      <c r="A1112" s="1">
        <v>1112</v>
      </c>
      <c r="B1112" s="1" t="s">
        <v>1327</v>
      </c>
      <c r="C1112" s="9">
        <v>45734</v>
      </c>
      <c r="D1112" s="1" t="s">
        <v>39</v>
      </c>
      <c r="E1112" s="1">
        <v>91776</v>
      </c>
      <c r="F1112" s="4">
        <v>33613.449999999997</v>
      </c>
      <c r="G1112" s="4">
        <f t="shared" si="11"/>
        <v>6386.5554999999995</v>
      </c>
      <c r="H1112" s="4">
        <f t="shared" si="12"/>
        <v>40000.005499999999</v>
      </c>
      <c r="I1112" s="4"/>
      <c r="J1112" s="4"/>
    </row>
    <row r="1113" spans="1:10">
      <c r="A1113" s="1">
        <v>1113</v>
      </c>
      <c r="B1113" s="1" t="s">
        <v>1328</v>
      </c>
      <c r="C1113" s="9">
        <v>45736</v>
      </c>
      <c r="D1113" s="1" t="s">
        <v>39</v>
      </c>
      <c r="E1113" s="1">
        <v>91777</v>
      </c>
      <c r="F1113" s="4">
        <v>54957.98</v>
      </c>
      <c r="G1113" s="4">
        <f t="shared" si="11"/>
        <v>10442.0162</v>
      </c>
      <c r="H1113" s="4">
        <f t="shared" si="12"/>
        <v>65399.996200000001</v>
      </c>
      <c r="I1113" s="4"/>
      <c r="J1113" s="4"/>
    </row>
    <row r="1114" spans="1:10">
      <c r="A1114" s="1">
        <v>1114</v>
      </c>
      <c r="B1114" s="1" t="s">
        <v>1329</v>
      </c>
      <c r="C1114" s="9">
        <v>45737</v>
      </c>
      <c r="D1114" s="1" t="s">
        <v>39</v>
      </c>
      <c r="E1114" s="1">
        <v>91778</v>
      </c>
      <c r="F1114" s="4">
        <v>6302.52</v>
      </c>
      <c r="G1114" s="4">
        <f t="shared" si="11"/>
        <v>1197.4788000000001</v>
      </c>
      <c r="H1114" s="4">
        <f t="shared" si="12"/>
        <v>7499.9988000000003</v>
      </c>
      <c r="I1114" s="4"/>
      <c r="J1114" s="4"/>
    </row>
    <row r="1115" spans="1:10">
      <c r="A1115" s="1">
        <v>1115</v>
      </c>
      <c r="B1115" s="1" t="s">
        <v>1330</v>
      </c>
      <c r="C1115" s="9">
        <v>45737</v>
      </c>
      <c r="D1115" s="1" t="s">
        <v>12</v>
      </c>
      <c r="E1115" s="1">
        <v>34</v>
      </c>
      <c r="F1115" s="4">
        <v>12605.04</v>
      </c>
      <c r="G1115" s="4">
        <f t="shared" si="11"/>
        <v>2394.9576000000002</v>
      </c>
      <c r="H1115" s="4">
        <f t="shared" si="12"/>
        <v>14999.997600000001</v>
      </c>
      <c r="I1115" s="4"/>
      <c r="J1115" s="4"/>
    </row>
    <row r="1116" spans="1:10">
      <c r="A1116" s="1">
        <v>1116</v>
      </c>
      <c r="B1116" s="1" t="s">
        <v>1331</v>
      </c>
      <c r="C1116" s="9">
        <v>45737</v>
      </c>
      <c r="D1116" s="1" t="s">
        <v>39</v>
      </c>
      <c r="E1116" s="1">
        <v>91779</v>
      </c>
      <c r="F1116" s="4">
        <v>52941.18</v>
      </c>
      <c r="G1116" s="4">
        <f t="shared" si="11"/>
        <v>10058.824200000001</v>
      </c>
      <c r="H1116" s="4">
        <f t="shared" si="12"/>
        <v>63000.004200000003</v>
      </c>
      <c r="I1116" s="4"/>
      <c r="J1116" s="4"/>
    </row>
    <row r="1117" spans="1:10">
      <c r="A1117" s="1">
        <v>1117</v>
      </c>
      <c r="B1117" s="1" t="s">
        <v>1332</v>
      </c>
      <c r="C1117" s="9">
        <v>45739</v>
      </c>
      <c r="D1117" s="1" t="s">
        <v>39</v>
      </c>
      <c r="E1117" s="1">
        <v>91781</v>
      </c>
      <c r="F1117" s="4">
        <v>57983.19</v>
      </c>
      <c r="G1117" s="4">
        <f t="shared" si="11"/>
        <v>11016.8061</v>
      </c>
      <c r="H1117" s="4">
        <f t="shared" si="12"/>
        <v>68999.996100000004</v>
      </c>
      <c r="I1117" s="4"/>
      <c r="J1117" s="4"/>
    </row>
    <row r="1118" spans="1:10">
      <c r="A1118" s="1">
        <v>1118</v>
      </c>
      <c r="B1118" s="1" t="s">
        <v>1333</v>
      </c>
      <c r="C1118" s="9">
        <v>45737</v>
      </c>
      <c r="D1118" s="1" t="s">
        <v>39</v>
      </c>
      <c r="E1118" s="1">
        <v>91780</v>
      </c>
      <c r="F1118" s="4">
        <v>35714.29</v>
      </c>
      <c r="G1118" s="4">
        <f t="shared" si="11"/>
        <v>6785.7151000000003</v>
      </c>
      <c r="H1118" s="4">
        <f t="shared" si="12"/>
        <v>42500.005100000002</v>
      </c>
      <c r="I1118" s="4"/>
      <c r="J1118" s="4"/>
    </row>
    <row r="1119" spans="1:10">
      <c r="A1119" s="1">
        <v>1119</v>
      </c>
      <c r="B1119" s="1" t="s">
        <v>1334</v>
      </c>
      <c r="C1119" s="9">
        <v>45740</v>
      </c>
      <c r="D1119" s="1" t="s">
        <v>39</v>
      </c>
      <c r="E1119" s="1">
        <v>91782</v>
      </c>
      <c r="F1119" s="4">
        <v>11764.7</v>
      </c>
      <c r="G1119" s="4">
        <f t="shared" si="11"/>
        <v>2235.2930000000001</v>
      </c>
      <c r="H1119" s="4">
        <f t="shared" si="12"/>
        <v>13999.993</v>
      </c>
      <c r="I1119" s="4"/>
      <c r="J1119" s="4"/>
    </row>
    <row r="1120" spans="1:10">
      <c r="A1120" s="1">
        <v>1120</v>
      </c>
      <c r="B1120" s="1" t="s">
        <v>1335</v>
      </c>
      <c r="C1120" s="9">
        <v>45742</v>
      </c>
      <c r="D1120" s="1" t="s">
        <v>12</v>
      </c>
      <c r="E1120" s="1">
        <v>35</v>
      </c>
      <c r="F1120" s="4">
        <v>117647.06</v>
      </c>
      <c r="G1120" s="4">
        <f t="shared" si="11"/>
        <v>22352.9414</v>
      </c>
      <c r="H1120" s="4">
        <f t="shared" si="12"/>
        <v>140000.00140000001</v>
      </c>
      <c r="I1120" s="4"/>
      <c r="J1120" s="4"/>
    </row>
    <row r="1121" spans="1:10">
      <c r="A1121" s="1">
        <v>1121</v>
      </c>
      <c r="B1121" s="1" t="s">
        <v>1336</v>
      </c>
      <c r="C1121" s="9">
        <v>45742</v>
      </c>
      <c r="D1121" s="1" t="s">
        <v>39</v>
      </c>
      <c r="E1121" s="1">
        <v>91783</v>
      </c>
      <c r="F1121" s="4">
        <v>9831.93</v>
      </c>
      <c r="G1121" s="4">
        <f t="shared" si="11"/>
        <v>1868.0667000000001</v>
      </c>
      <c r="H1121" s="4">
        <f t="shared" si="12"/>
        <v>11699.9967</v>
      </c>
      <c r="I1121" s="4"/>
      <c r="J1121" s="4"/>
    </row>
    <row r="1122" spans="1:10">
      <c r="A1122" s="1">
        <v>1122</v>
      </c>
      <c r="B1122" s="1" t="s">
        <v>1337</v>
      </c>
      <c r="C1122" s="9">
        <v>45743</v>
      </c>
      <c r="D1122" s="1" t="s">
        <v>12</v>
      </c>
      <c r="E1122" s="1">
        <v>36</v>
      </c>
      <c r="F1122" s="4">
        <v>25210.080000000002</v>
      </c>
      <c r="G1122" s="4">
        <f t="shared" si="11"/>
        <v>4789.9152000000004</v>
      </c>
      <c r="H1122" s="4">
        <f t="shared" si="12"/>
        <v>29999.995200000001</v>
      </c>
      <c r="I1122" s="4"/>
      <c r="J1122" s="4"/>
    </row>
    <row r="1123" spans="1:10">
      <c r="A1123" s="1">
        <v>1123</v>
      </c>
      <c r="B1123" s="1" t="s">
        <v>1338</v>
      </c>
      <c r="C1123" s="9">
        <v>45744</v>
      </c>
      <c r="D1123" s="1" t="s">
        <v>39</v>
      </c>
      <c r="E1123" s="1">
        <v>91784</v>
      </c>
      <c r="F1123" s="4">
        <v>16807</v>
      </c>
      <c r="G1123" s="4">
        <f t="shared" si="11"/>
        <v>3193.33</v>
      </c>
      <c r="H1123" s="4">
        <f t="shared" si="12"/>
        <v>20000.330000000002</v>
      </c>
      <c r="I1123" s="4"/>
      <c r="J1123" s="4"/>
    </row>
    <row r="1124" spans="1:10">
      <c r="A1124" s="1">
        <v>1124</v>
      </c>
      <c r="B1124" s="1" t="s">
        <v>1339</v>
      </c>
      <c r="C1124" s="9">
        <v>45745</v>
      </c>
      <c r="D1124" s="1" t="s">
        <v>39</v>
      </c>
      <c r="E1124" s="1">
        <v>91785</v>
      </c>
      <c r="F1124" s="4">
        <v>117647.06</v>
      </c>
      <c r="G1124" s="4">
        <f t="shared" si="11"/>
        <v>22352.9414</v>
      </c>
      <c r="H1124" s="4">
        <f t="shared" si="12"/>
        <v>140000.00140000001</v>
      </c>
      <c r="I1124" s="4"/>
      <c r="J1124" s="4"/>
    </row>
    <row r="1125" spans="1:10">
      <c r="A1125" s="1">
        <v>1125</v>
      </c>
      <c r="B1125" s="1" t="s">
        <v>1340</v>
      </c>
      <c r="C1125" s="9">
        <v>45746</v>
      </c>
      <c r="D1125" s="1" t="s">
        <v>39</v>
      </c>
      <c r="E1125" s="1">
        <v>91786</v>
      </c>
      <c r="F1125" s="4">
        <v>68907.56</v>
      </c>
      <c r="G1125" s="4">
        <f t="shared" si="11"/>
        <v>13092.436400000001</v>
      </c>
      <c r="H1125" s="4">
        <f t="shared" si="12"/>
        <v>81999.996400000004</v>
      </c>
      <c r="I1125" s="4"/>
      <c r="J1125" s="4"/>
    </row>
    <row r="1126" spans="1:10">
      <c r="A1126" s="1">
        <v>1126</v>
      </c>
      <c r="B1126" s="1" t="s">
        <v>1341</v>
      </c>
      <c r="C1126" s="9">
        <v>45747</v>
      </c>
      <c r="D1126" s="1" t="s">
        <v>39</v>
      </c>
      <c r="E1126" s="1">
        <v>91787</v>
      </c>
      <c r="F1126" s="4">
        <v>77310.92</v>
      </c>
      <c r="G1126" s="4">
        <f t="shared" si="11"/>
        <v>14689.0748</v>
      </c>
      <c r="H1126" s="4">
        <f t="shared" si="12"/>
        <v>91999.9948</v>
      </c>
      <c r="I1126" s="4"/>
      <c r="J1126" s="4"/>
    </row>
    <row r="1127" spans="1:10">
      <c r="A1127" s="1">
        <v>1127</v>
      </c>
      <c r="B1127" s="1" t="s">
        <v>1342</v>
      </c>
      <c r="C1127" s="9">
        <v>45747</v>
      </c>
      <c r="D1127" s="1" t="s">
        <v>39</v>
      </c>
      <c r="E1127" s="1">
        <v>91789</v>
      </c>
      <c r="F1127" s="4">
        <v>80672.27</v>
      </c>
      <c r="G1127" s="4">
        <f t="shared" si="11"/>
        <v>15327.731300000001</v>
      </c>
      <c r="H1127" s="4">
        <f t="shared" si="12"/>
        <v>96000.001300000004</v>
      </c>
      <c r="I1127" s="4"/>
      <c r="J1127" s="4"/>
    </row>
    <row r="1128" spans="1:10">
      <c r="A1128" s="1">
        <v>1128</v>
      </c>
      <c r="B1128" s="1" t="s">
        <v>1343</v>
      </c>
      <c r="C1128" s="9">
        <v>45747</v>
      </c>
      <c r="D1128" s="1" t="s">
        <v>39</v>
      </c>
      <c r="E1128" s="1">
        <v>91788</v>
      </c>
      <c r="F1128" s="4">
        <v>8403.36</v>
      </c>
      <c r="G1128" s="4">
        <f t="shared" si="11"/>
        <v>1596.6384</v>
      </c>
      <c r="H1128" s="4">
        <f t="shared" si="12"/>
        <v>9999.9984000000004</v>
      </c>
      <c r="I1128" s="4"/>
      <c r="J1128" s="4"/>
    </row>
    <row r="1129" spans="1:10">
      <c r="A1129" s="1">
        <v>1129</v>
      </c>
      <c r="B1129" s="1" t="s">
        <v>1344</v>
      </c>
      <c r="C1129" s="9">
        <v>45747</v>
      </c>
      <c r="D1129" s="1" t="s">
        <v>39</v>
      </c>
      <c r="E1129" s="1">
        <v>91790</v>
      </c>
      <c r="F1129" s="4">
        <v>88235.29</v>
      </c>
      <c r="G1129" s="4">
        <f t="shared" si="11"/>
        <v>16764.705099999999</v>
      </c>
      <c r="H1129" s="4">
        <f t="shared" si="12"/>
        <v>104999.9951</v>
      </c>
      <c r="I1129" s="4"/>
      <c r="J1129" s="4"/>
    </row>
    <row r="1130" spans="1:10">
      <c r="A1130" s="1">
        <v>1130</v>
      </c>
      <c r="B1130" s="1" t="s">
        <v>1345</v>
      </c>
      <c r="C1130" s="9">
        <v>45747</v>
      </c>
      <c r="D1130" s="1" t="s">
        <v>12</v>
      </c>
      <c r="E1130" s="1">
        <v>37</v>
      </c>
      <c r="F1130" s="4">
        <v>168067.23</v>
      </c>
      <c r="G1130" s="4">
        <f t="shared" si="11"/>
        <v>31932.773700000002</v>
      </c>
      <c r="H1130" s="4">
        <f t="shared" si="12"/>
        <v>200000.0037</v>
      </c>
      <c r="I1130" s="4"/>
      <c r="J1130" s="4"/>
    </row>
    <row r="1131" spans="1:10">
      <c r="A1131" s="1">
        <v>1131</v>
      </c>
      <c r="B1131" s="1" t="s">
        <v>1346</v>
      </c>
      <c r="C1131" s="9">
        <v>45748</v>
      </c>
      <c r="D1131" s="1" t="s">
        <v>39</v>
      </c>
      <c r="E1131" s="1">
        <v>91791</v>
      </c>
      <c r="F1131" s="4">
        <v>27731.09</v>
      </c>
      <c r="G1131" s="4">
        <f t="shared" si="11"/>
        <v>5268.9071000000004</v>
      </c>
      <c r="H1131" s="4">
        <f t="shared" si="12"/>
        <v>32999.997100000001</v>
      </c>
      <c r="I1131" s="4"/>
      <c r="J1131" s="4"/>
    </row>
    <row r="1132" spans="1:10">
      <c r="A1132" s="1">
        <v>1132</v>
      </c>
      <c r="B1132" s="1" t="s">
        <v>1347</v>
      </c>
      <c r="C1132" s="9">
        <v>45750</v>
      </c>
      <c r="D1132" s="1" t="s">
        <v>39</v>
      </c>
      <c r="E1132" s="1">
        <v>91792</v>
      </c>
      <c r="F1132" s="4">
        <v>8403.36</v>
      </c>
      <c r="G1132" s="4">
        <f t="shared" si="11"/>
        <v>1596.6384</v>
      </c>
      <c r="H1132" s="4">
        <f t="shared" si="12"/>
        <v>9999.9984000000004</v>
      </c>
      <c r="I1132" s="4"/>
      <c r="J1132" s="4"/>
    </row>
    <row r="1133" spans="1:10">
      <c r="A1133" s="1">
        <v>1133</v>
      </c>
      <c r="B1133" s="1" t="s">
        <v>1348</v>
      </c>
      <c r="C1133" s="9">
        <v>45752</v>
      </c>
      <c r="D1133" s="1" t="s">
        <v>39</v>
      </c>
      <c r="E1133" s="1">
        <v>91793</v>
      </c>
      <c r="F1133" s="4">
        <v>37815.129999999997</v>
      </c>
      <c r="G1133" s="4">
        <f t="shared" si="11"/>
        <v>7184.8746999999994</v>
      </c>
      <c r="H1133" s="4">
        <f t="shared" si="12"/>
        <v>45000.004699999998</v>
      </c>
      <c r="I1133" s="4"/>
      <c r="J1133" s="4"/>
    </row>
    <row r="1134" spans="1:10">
      <c r="A1134" s="1">
        <v>1134</v>
      </c>
      <c r="B1134" s="1" t="s">
        <v>1349</v>
      </c>
      <c r="C1134" s="9">
        <v>45752</v>
      </c>
      <c r="D1134" s="1" t="s">
        <v>39</v>
      </c>
      <c r="E1134" s="1">
        <v>91794</v>
      </c>
      <c r="F1134" s="4">
        <v>12605.04</v>
      </c>
      <c r="G1134" s="4">
        <f t="shared" si="11"/>
        <v>2394.9576000000002</v>
      </c>
      <c r="H1134" s="4">
        <f t="shared" si="12"/>
        <v>14999.997600000001</v>
      </c>
      <c r="I1134" s="4"/>
      <c r="J1134" s="4"/>
    </row>
    <row r="1135" spans="1:10">
      <c r="A1135" s="1">
        <v>1135</v>
      </c>
      <c r="B1135" s="1" t="s">
        <v>1350</v>
      </c>
      <c r="C1135" s="9">
        <v>45752</v>
      </c>
      <c r="D1135" s="1" t="s">
        <v>39</v>
      </c>
      <c r="E1135" s="1">
        <v>91795</v>
      </c>
      <c r="F1135" s="4">
        <v>26050.42</v>
      </c>
      <c r="G1135" s="4">
        <f t="shared" si="11"/>
        <v>4949.5797999999995</v>
      </c>
      <c r="H1135" s="4">
        <f t="shared" si="12"/>
        <v>30999.999799999998</v>
      </c>
      <c r="I1135" s="4"/>
      <c r="J1135" s="4"/>
    </row>
    <row r="1136" spans="1:10">
      <c r="A1136" s="1">
        <v>1136</v>
      </c>
      <c r="B1136" s="1" t="s">
        <v>1351</v>
      </c>
      <c r="C1136" s="9">
        <v>45752</v>
      </c>
      <c r="D1136" s="1" t="s">
        <v>39</v>
      </c>
      <c r="E1136" s="1">
        <v>91796</v>
      </c>
      <c r="F1136" s="4">
        <v>21008.400000000001</v>
      </c>
      <c r="G1136" s="4">
        <f t="shared" si="11"/>
        <v>3991.5960000000005</v>
      </c>
      <c r="H1136" s="4">
        <f t="shared" si="12"/>
        <v>24999.996000000003</v>
      </c>
      <c r="I1136" s="4"/>
      <c r="J1136" s="4"/>
    </row>
    <row r="1137" spans="1:10">
      <c r="A1137" s="1">
        <v>1137</v>
      </c>
      <c r="B1137" s="1" t="s">
        <v>1352</v>
      </c>
      <c r="C1137" s="9">
        <v>45754</v>
      </c>
      <c r="D1137" s="1" t="s">
        <v>39</v>
      </c>
      <c r="E1137" s="1">
        <v>91797</v>
      </c>
      <c r="F1137" s="4">
        <v>69747.899999999994</v>
      </c>
      <c r="G1137" s="4">
        <f t="shared" si="11"/>
        <v>13252.100999999999</v>
      </c>
      <c r="H1137" s="4">
        <f t="shared" si="12"/>
        <v>83000.000999999989</v>
      </c>
      <c r="I1137" s="4"/>
      <c r="J1137" s="4"/>
    </row>
    <row r="1138" spans="1:10">
      <c r="A1138" s="1">
        <v>1138</v>
      </c>
      <c r="B1138" s="1" t="s">
        <v>1353</v>
      </c>
      <c r="C1138" s="9">
        <v>45755</v>
      </c>
      <c r="D1138" s="1" t="s">
        <v>39</v>
      </c>
      <c r="E1138" s="1">
        <v>91798</v>
      </c>
      <c r="F1138" s="4">
        <v>22268.91</v>
      </c>
      <c r="G1138" s="4">
        <f t="shared" si="11"/>
        <v>4231.0928999999996</v>
      </c>
      <c r="H1138" s="4">
        <f t="shared" si="12"/>
        <v>26500.002899999999</v>
      </c>
      <c r="I1138" s="4"/>
      <c r="J1138" s="4"/>
    </row>
    <row r="1139" spans="1:10">
      <c r="A1139" s="1">
        <v>1139</v>
      </c>
      <c r="B1139" s="1" t="s">
        <v>1354</v>
      </c>
      <c r="C1139" s="9">
        <v>45756</v>
      </c>
      <c r="D1139" s="1" t="s">
        <v>39</v>
      </c>
      <c r="E1139" s="1">
        <v>91799</v>
      </c>
      <c r="F1139" s="4">
        <v>25210.080000000002</v>
      </c>
      <c r="G1139" s="4">
        <f t="shared" si="11"/>
        <v>4789.9152000000004</v>
      </c>
      <c r="H1139" s="4">
        <f t="shared" si="12"/>
        <v>29999.995200000001</v>
      </c>
      <c r="I1139" s="4"/>
      <c r="J1139" s="4"/>
    </row>
    <row r="1140" spans="1:10">
      <c r="A1140" s="1">
        <v>1140</v>
      </c>
      <c r="B1140" s="1" t="s">
        <v>1355</v>
      </c>
      <c r="C1140" s="9">
        <v>45756</v>
      </c>
      <c r="D1140" s="1" t="s">
        <v>12</v>
      </c>
      <c r="E1140" s="1">
        <v>38</v>
      </c>
      <c r="F1140" s="4">
        <v>87394.96</v>
      </c>
      <c r="G1140" s="4">
        <f t="shared" si="11"/>
        <v>16605.042400000002</v>
      </c>
      <c r="H1140" s="4">
        <f t="shared" si="12"/>
        <v>104000.00240000001</v>
      </c>
      <c r="I1140" s="4"/>
      <c r="J1140" s="4"/>
    </row>
    <row r="1141" spans="1:10">
      <c r="A1141" s="1">
        <v>1141</v>
      </c>
      <c r="B1141" s="1" t="s">
        <v>1356</v>
      </c>
      <c r="C1141" s="9">
        <v>45760</v>
      </c>
      <c r="D1141" s="1" t="s">
        <v>39</v>
      </c>
      <c r="E1141" s="1">
        <v>91800</v>
      </c>
      <c r="F1141" s="4">
        <v>50420.17</v>
      </c>
      <c r="G1141" s="4">
        <f t="shared" si="11"/>
        <v>9579.8323</v>
      </c>
      <c r="H1141" s="4">
        <f t="shared" si="12"/>
        <v>60000.0023</v>
      </c>
      <c r="I1141" s="4"/>
      <c r="J1141" s="4"/>
    </row>
    <row r="1142" spans="1:10">
      <c r="A1142" s="1">
        <v>1142</v>
      </c>
      <c r="B1142" s="1" t="s">
        <v>1357</v>
      </c>
      <c r="C1142" s="9">
        <v>45763</v>
      </c>
      <c r="D1142" s="1" t="s">
        <v>39</v>
      </c>
      <c r="E1142" s="1">
        <v>91801</v>
      </c>
      <c r="F1142" s="4">
        <v>69747.899000000005</v>
      </c>
      <c r="G1142" s="4">
        <f t="shared" si="11"/>
        <v>13252.100810000002</v>
      </c>
      <c r="H1142" s="4">
        <f t="shared" si="12"/>
        <v>82999.999810000008</v>
      </c>
      <c r="I1142" s="4"/>
      <c r="J1142" s="4"/>
    </row>
    <row r="1143" spans="1:10">
      <c r="A1143" s="1">
        <v>1143</v>
      </c>
      <c r="B1143" s="1" t="s">
        <v>1358</v>
      </c>
      <c r="C1143" s="9">
        <v>45763</v>
      </c>
      <c r="D1143" s="1" t="s">
        <v>39</v>
      </c>
      <c r="E1143" s="1">
        <v>91802</v>
      </c>
      <c r="F1143" s="4">
        <v>4327.7299999999996</v>
      </c>
      <c r="G1143" s="4">
        <f t="shared" si="11"/>
        <v>822.26869999999997</v>
      </c>
      <c r="H1143" s="4">
        <f t="shared" si="12"/>
        <v>5149.9986999999992</v>
      </c>
      <c r="I1143" s="4"/>
      <c r="J1143" s="4"/>
    </row>
    <row r="1144" spans="1:10">
      <c r="A1144" s="1">
        <v>1144</v>
      </c>
      <c r="B1144" s="1" t="s">
        <v>1359</v>
      </c>
      <c r="C1144" s="9">
        <v>45769</v>
      </c>
      <c r="D1144" s="1" t="s">
        <v>39</v>
      </c>
      <c r="E1144" s="1">
        <v>91803</v>
      </c>
      <c r="F1144" s="4">
        <v>27731.09</v>
      </c>
      <c r="G1144" s="4">
        <f t="shared" si="11"/>
        <v>5268.9071000000004</v>
      </c>
      <c r="H1144" s="4">
        <f t="shared" si="12"/>
        <v>32999.997100000001</v>
      </c>
      <c r="I1144" s="4"/>
      <c r="J1144" s="4"/>
    </row>
    <row r="1145" spans="1:10">
      <c r="A1145" s="1">
        <v>1145</v>
      </c>
      <c r="B1145" s="1" t="s">
        <v>1360</v>
      </c>
      <c r="C1145" s="9">
        <v>45770</v>
      </c>
      <c r="D1145" s="1" t="s">
        <v>12</v>
      </c>
      <c r="E1145" s="1">
        <v>39</v>
      </c>
      <c r="F1145" s="4">
        <v>102521</v>
      </c>
      <c r="G1145" s="4">
        <f t="shared" si="11"/>
        <v>19478.990000000002</v>
      </c>
      <c r="H1145" s="4">
        <f t="shared" si="12"/>
        <v>121999.99</v>
      </c>
      <c r="I1145" s="4"/>
      <c r="J1145" s="4"/>
    </row>
    <row r="1146" spans="1:10">
      <c r="A1146" s="1">
        <v>1146</v>
      </c>
      <c r="B1146" s="1" t="s">
        <v>1361</v>
      </c>
      <c r="C1146" s="9">
        <v>45770</v>
      </c>
      <c r="D1146" s="1" t="s">
        <v>39</v>
      </c>
      <c r="E1146" s="1">
        <v>91804</v>
      </c>
      <c r="F1146" s="4">
        <v>29411.759999999998</v>
      </c>
      <c r="G1146" s="4">
        <f t="shared" si="11"/>
        <v>5588.2343999999994</v>
      </c>
      <c r="H1146" s="4">
        <f t="shared" si="12"/>
        <v>34999.994399999996</v>
      </c>
      <c r="I1146" s="4"/>
      <c r="J1146" s="4"/>
    </row>
    <row r="1147" spans="1:10">
      <c r="A1147" s="1">
        <v>1147</v>
      </c>
      <c r="B1147" s="1" t="s">
        <v>1362</v>
      </c>
      <c r="C1147" s="9">
        <v>45770</v>
      </c>
      <c r="D1147" s="1" t="s">
        <v>39</v>
      </c>
      <c r="E1147" s="1">
        <v>91805</v>
      </c>
      <c r="F1147" s="4">
        <v>31092.43</v>
      </c>
      <c r="G1147" s="4">
        <f t="shared" si="11"/>
        <v>5907.5617000000002</v>
      </c>
      <c r="H1147" s="4">
        <f t="shared" si="12"/>
        <v>36999.991699999999</v>
      </c>
      <c r="I1147" s="4"/>
      <c r="J1147" s="4"/>
    </row>
    <row r="1148" spans="1:10">
      <c r="A1148" s="1">
        <v>1148</v>
      </c>
      <c r="B1148" s="1" t="s">
        <v>1363</v>
      </c>
      <c r="C1148" s="9">
        <v>45773</v>
      </c>
      <c r="D1148" s="1" t="s">
        <v>39</v>
      </c>
      <c r="E1148" s="1">
        <v>91806</v>
      </c>
      <c r="F1148" s="4">
        <v>58823.53</v>
      </c>
      <c r="G1148" s="4">
        <f t="shared" si="11"/>
        <v>11176.4707</v>
      </c>
      <c r="H1148" s="4">
        <f t="shared" si="12"/>
        <v>70000.000700000004</v>
      </c>
      <c r="I1148" s="4"/>
      <c r="J1148" s="4"/>
    </row>
    <row r="1149" spans="1:10">
      <c r="A1149" s="1">
        <v>1149</v>
      </c>
      <c r="B1149" s="1" t="s">
        <v>1364</v>
      </c>
      <c r="C1149" s="9">
        <v>45775</v>
      </c>
      <c r="D1149" s="1" t="s">
        <v>39</v>
      </c>
      <c r="E1149" s="1">
        <v>91807</v>
      </c>
      <c r="F1149" s="4">
        <v>84033.61</v>
      </c>
      <c r="G1149" s="4">
        <f t="shared" si="11"/>
        <v>15966.385900000001</v>
      </c>
      <c r="H1149" s="4">
        <f t="shared" si="12"/>
        <v>99999.995900000009</v>
      </c>
      <c r="I1149" s="4"/>
      <c r="J1149" s="4"/>
    </row>
    <row r="1150" spans="1:10">
      <c r="A1150" s="1">
        <v>1150</v>
      </c>
      <c r="B1150" s="1" t="s">
        <v>1365</v>
      </c>
      <c r="C1150" s="9">
        <v>45775</v>
      </c>
      <c r="D1150" s="1" t="s">
        <v>39</v>
      </c>
      <c r="E1150" s="1">
        <v>91808</v>
      </c>
      <c r="F1150" s="4">
        <v>15966.39</v>
      </c>
      <c r="G1150" s="4">
        <f t="shared" si="11"/>
        <v>3033.6140999999998</v>
      </c>
      <c r="H1150" s="4">
        <f t="shared" si="12"/>
        <v>19000.004099999998</v>
      </c>
      <c r="I1150" s="4"/>
      <c r="J1150" s="4"/>
    </row>
    <row r="1151" spans="1:10">
      <c r="A1151" s="1">
        <v>1151</v>
      </c>
      <c r="B1151" s="1" t="s">
        <v>1366</v>
      </c>
      <c r="C1151" s="9">
        <v>45775</v>
      </c>
      <c r="D1151" s="1" t="s">
        <v>39</v>
      </c>
      <c r="E1151" s="1">
        <v>91809</v>
      </c>
      <c r="F1151" s="4">
        <v>18386.55</v>
      </c>
      <c r="G1151" s="4">
        <f t="shared" si="11"/>
        <v>3493.4445000000001</v>
      </c>
      <c r="H1151" s="4">
        <f t="shared" si="12"/>
        <v>21879.994500000001</v>
      </c>
      <c r="I1151" s="4"/>
      <c r="J1151" s="4"/>
    </row>
    <row r="1152" spans="1:10">
      <c r="A1152" s="1">
        <v>1152</v>
      </c>
      <c r="B1152" s="1" t="s">
        <v>1367</v>
      </c>
      <c r="C1152" s="9">
        <v>45775</v>
      </c>
      <c r="D1152" s="1" t="s">
        <v>39</v>
      </c>
      <c r="E1152" s="1">
        <v>91810</v>
      </c>
      <c r="F1152" s="4">
        <v>35294.18</v>
      </c>
      <c r="G1152" s="4">
        <f t="shared" si="11"/>
        <v>6705.8941999999997</v>
      </c>
      <c r="H1152" s="4">
        <f t="shared" si="12"/>
        <v>42000.074200000003</v>
      </c>
      <c r="I1152" s="4"/>
      <c r="J1152" s="4"/>
    </row>
    <row r="1153" spans="1:10">
      <c r="A1153" s="1">
        <v>1153</v>
      </c>
      <c r="B1153" s="1" t="s">
        <v>1368</v>
      </c>
      <c r="C1153" s="9">
        <v>45775</v>
      </c>
      <c r="D1153" s="1" t="s">
        <v>39</v>
      </c>
      <c r="E1153" s="1">
        <v>91811</v>
      </c>
      <c r="F1153" s="4">
        <v>84033.61</v>
      </c>
      <c r="G1153" s="4">
        <f t="shared" si="11"/>
        <v>15966.385900000001</v>
      </c>
      <c r="H1153" s="4">
        <f t="shared" si="12"/>
        <v>99999.995900000009</v>
      </c>
      <c r="I1153" s="4"/>
      <c r="J1153" s="4"/>
    </row>
    <row r="1154" spans="1:10">
      <c r="A1154" s="1">
        <v>1154</v>
      </c>
      <c r="B1154" s="1" t="s">
        <v>1100</v>
      </c>
      <c r="C1154" s="9">
        <v>45777</v>
      </c>
      <c r="D1154" s="1" t="s">
        <v>39</v>
      </c>
      <c r="E1154" s="1">
        <v>91812</v>
      </c>
      <c r="F1154" s="4">
        <v>31092.44</v>
      </c>
      <c r="G1154" s="4">
        <f t="shared" si="11"/>
        <v>5907.5635999999995</v>
      </c>
      <c r="H1154" s="4">
        <f t="shared" si="12"/>
        <v>37000.003599999996</v>
      </c>
      <c r="I1154" s="4"/>
      <c r="J1154" s="4"/>
    </row>
    <row r="1155" spans="1:10">
      <c r="A1155" s="1">
        <v>1155</v>
      </c>
      <c r="B1155" s="1" t="s">
        <v>1369</v>
      </c>
      <c r="C1155" s="9">
        <v>45779</v>
      </c>
      <c r="D1155" s="1" t="s">
        <v>39</v>
      </c>
      <c r="E1155" s="1">
        <v>91813</v>
      </c>
      <c r="F1155" s="4">
        <v>8403.36</v>
      </c>
      <c r="G1155" s="4">
        <f t="shared" si="11"/>
        <v>1596.6384</v>
      </c>
      <c r="H1155" s="4">
        <f t="shared" si="12"/>
        <v>9999.9984000000004</v>
      </c>
      <c r="I1155" s="4"/>
      <c r="J1155" s="4"/>
    </row>
    <row r="1156" spans="1:10">
      <c r="A1156" s="1">
        <v>1156</v>
      </c>
      <c r="B1156" s="1" t="s">
        <v>1370</v>
      </c>
      <c r="C1156" s="9">
        <v>45781</v>
      </c>
      <c r="D1156" s="1" t="s">
        <v>39</v>
      </c>
      <c r="E1156" s="1">
        <v>91814</v>
      </c>
      <c r="F1156" s="4">
        <v>56302.52</v>
      </c>
      <c r="G1156" s="4">
        <f t="shared" si="11"/>
        <v>10697.478799999999</v>
      </c>
      <c r="H1156" s="4">
        <f t="shared" si="12"/>
        <v>66999.998800000001</v>
      </c>
      <c r="I1156" s="4"/>
      <c r="J1156" s="4"/>
    </row>
    <row r="1157" spans="1:10">
      <c r="A1157" s="1">
        <v>1157</v>
      </c>
      <c r="B1157" s="1" t="s">
        <v>1371</v>
      </c>
      <c r="C1157" s="9">
        <v>45784</v>
      </c>
      <c r="D1157" s="1" t="s">
        <v>39</v>
      </c>
      <c r="E1157" s="1">
        <v>91815</v>
      </c>
      <c r="F1157" s="4">
        <v>84033.61</v>
      </c>
      <c r="G1157" s="4">
        <f t="shared" si="11"/>
        <v>15966.385900000001</v>
      </c>
      <c r="H1157" s="4">
        <f t="shared" si="12"/>
        <v>99999.995900000009</v>
      </c>
      <c r="I1157" s="4"/>
      <c r="J1157" s="4"/>
    </row>
    <row r="1158" spans="1:10">
      <c r="A1158" s="1">
        <v>1158</v>
      </c>
      <c r="B1158" s="1" t="s">
        <v>1372</v>
      </c>
      <c r="C1158" s="9">
        <v>45784</v>
      </c>
      <c r="D1158" s="1" t="s">
        <v>39</v>
      </c>
      <c r="E1158" s="1">
        <v>91816</v>
      </c>
      <c r="F1158" s="4">
        <v>21008.400000000001</v>
      </c>
      <c r="G1158" s="4">
        <f t="shared" si="11"/>
        <v>3991.5960000000005</v>
      </c>
      <c r="H1158" s="4">
        <f t="shared" si="12"/>
        <v>24999.996000000003</v>
      </c>
      <c r="I1158" s="4"/>
      <c r="J1158" s="4"/>
    </row>
    <row r="1159" spans="1:10">
      <c r="A1159" s="1">
        <v>1159</v>
      </c>
      <c r="B1159" s="1" t="s">
        <v>1373</v>
      </c>
      <c r="C1159" s="9">
        <v>45784</v>
      </c>
      <c r="D1159" s="1" t="s">
        <v>39</v>
      </c>
      <c r="E1159" s="1">
        <v>91817</v>
      </c>
      <c r="F1159" s="4">
        <v>52941.17</v>
      </c>
      <c r="G1159" s="4">
        <f t="shared" si="11"/>
        <v>10058.8223</v>
      </c>
      <c r="H1159" s="4">
        <f t="shared" si="12"/>
        <v>62999.992299999998</v>
      </c>
      <c r="I1159" s="4"/>
      <c r="J1159" s="4"/>
    </row>
    <row r="1160" spans="1:10">
      <c r="A1160" s="1">
        <v>1160</v>
      </c>
      <c r="B1160" s="1" t="s">
        <v>1374</v>
      </c>
      <c r="C1160" s="9">
        <v>45784</v>
      </c>
      <c r="D1160" s="1" t="s">
        <v>39</v>
      </c>
      <c r="E1160" s="1">
        <v>91818</v>
      </c>
      <c r="F1160" s="4">
        <v>52941.17</v>
      </c>
      <c r="G1160" s="4">
        <f t="shared" si="11"/>
        <v>10058.8223</v>
      </c>
      <c r="H1160" s="4">
        <f t="shared" si="12"/>
        <v>62999.992299999998</v>
      </c>
      <c r="I1160" s="4"/>
      <c r="J1160" s="4"/>
    </row>
    <row r="1161" spans="1:10">
      <c r="A1161" s="1">
        <v>1161</v>
      </c>
      <c r="B1161" s="1" t="s">
        <v>1375</v>
      </c>
      <c r="C1161" s="9">
        <v>45785</v>
      </c>
      <c r="D1161" s="1" t="s">
        <v>12</v>
      </c>
      <c r="E1161" s="1">
        <v>40</v>
      </c>
      <c r="F1161" s="4">
        <v>73445.38</v>
      </c>
      <c r="G1161" s="4">
        <f t="shared" si="11"/>
        <v>13954.622200000002</v>
      </c>
      <c r="H1161" s="4">
        <f t="shared" si="12"/>
        <v>87400.002200000003</v>
      </c>
      <c r="I1161" s="4"/>
      <c r="J1161" s="4"/>
    </row>
    <row r="1162" spans="1:10">
      <c r="A1162" s="1">
        <v>1162</v>
      </c>
      <c r="B1162" s="1" t="s">
        <v>1376</v>
      </c>
      <c r="C1162" s="9">
        <v>45786</v>
      </c>
      <c r="D1162" s="1" t="s">
        <v>39</v>
      </c>
      <c r="E1162" s="1">
        <v>91819</v>
      </c>
      <c r="F1162" s="4">
        <v>8403.36</v>
      </c>
      <c r="G1162" s="4">
        <f t="shared" si="11"/>
        <v>1596.6384</v>
      </c>
      <c r="H1162" s="4">
        <f t="shared" si="12"/>
        <v>9999.9984000000004</v>
      </c>
      <c r="I1162" s="4"/>
      <c r="J1162" s="4"/>
    </row>
    <row r="1163" spans="1:10">
      <c r="A1163" s="1">
        <v>1163</v>
      </c>
      <c r="B1163" s="1" t="s">
        <v>1377</v>
      </c>
      <c r="C1163" s="9">
        <v>45787</v>
      </c>
      <c r="D1163" s="1" t="s">
        <v>12</v>
      </c>
      <c r="E1163" s="1">
        <v>41</v>
      </c>
      <c r="F1163" s="4">
        <v>56303.360000000001</v>
      </c>
      <c r="G1163" s="4">
        <f t="shared" si="11"/>
        <v>10697.6384</v>
      </c>
      <c r="H1163" s="4">
        <f t="shared" si="12"/>
        <v>67000.998399999997</v>
      </c>
      <c r="I1163" s="4"/>
      <c r="J1163" s="4"/>
    </row>
    <row r="1164" spans="1:10">
      <c r="A1164" s="1">
        <v>1164</v>
      </c>
      <c r="B1164" s="1" t="s">
        <v>1188</v>
      </c>
      <c r="C1164" s="9">
        <v>45788</v>
      </c>
      <c r="D1164" s="1" t="s">
        <v>39</v>
      </c>
      <c r="E1164" s="1">
        <v>91820</v>
      </c>
      <c r="F1164" s="4">
        <v>28571.43</v>
      </c>
      <c r="G1164" s="4">
        <f t="shared" si="11"/>
        <v>5428.5717000000004</v>
      </c>
      <c r="H1164" s="4">
        <f t="shared" si="12"/>
        <v>34000.001700000001</v>
      </c>
      <c r="I1164" s="4"/>
      <c r="J1164" s="4"/>
    </row>
    <row r="1165" spans="1:10">
      <c r="A1165" s="1">
        <v>1165</v>
      </c>
      <c r="B1165" s="1" t="s">
        <v>1378</v>
      </c>
      <c r="C1165" s="9">
        <v>45789</v>
      </c>
      <c r="D1165" s="1" t="s">
        <v>39</v>
      </c>
      <c r="E1165" s="1">
        <v>91821</v>
      </c>
      <c r="F1165" s="4">
        <v>16807</v>
      </c>
      <c r="G1165" s="4">
        <f t="shared" si="11"/>
        <v>3193.33</v>
      </c>
      <c r="H1165" s="4">
        <f t="shared" si="12"/>
        <v>20000.330000000002</v>
      </c>
      <c r="I1165" s="4"/>
      <c r="J1165" s="4"/>
    </row>
    <row r="1166" spans="1:10">
      <c r="A1166" s="1">
        <v>1166</v>
      </c>
      <c r="B1166" s="1" t="s">
        <v>1379</v>
      </c>
      <c r="C1166" s="9">
        <v>45789</v>
      </c>
      <c r="D1166" s="1" t="s">
        <v>39</v>
      </c>
      <c r="E1166" s="1">
        <v>91822</v>
      </c>
      <c r="F1166" s="4">
        <v>2521</v>
      </c>
      <c r="G1166" s="4">
        <f t="shared" si="11"/>
        <v>478.99</v>
      </c>
      <c r="H1166" s="4">
        <f t="shared" si="12"/>
        <v>2999.99</v>
      </c>
      <c r="I1166" s="4"/>
      <c r="J1166" s="4"/>
    </row>
    <row r="1167" spans="1:10">
      <c r="A1167" s="1">
        <v>1167</v>
      </c>
      <c r="B1167" s="1" t="s">
        <v>1380</v>
      </c>
      <c r="C1167" s="9">
        <v>45789</v>
      </c>
      <c r="D1167" s="1" t="s">
        <v>39</v>
      </c>
      <c r="E1167" s="1">
        <v>91823</v>
      </c>
      <c r="F1167" s="4">
        <v>64285.71</v>
      </c>
      <c r="G1167" s="4">
        <f t="shared" si="11"/>
        <v>12214.284900000001</v>
      </c>
      <c r="H1167" s="4">
        <f t="shared" si="12"/>
        <v>76499.994900000005</v>
      </c>
      <c r="I1167" s="4"/>
      <c r="J1167" s="4"/>
    </row>
    <row r="1168" spans="1:10">
      <c r="A1168" s="1">
        <v>1168</v>
      </c>
      <c r="B1168" s="1" t="s">
        <v>1381</v>
      </c>
      <c r="C1168" s="9">
        <v>45794</v>
      </c>
      <c r="D1168" s="1" t="s">
        <v>12</v>
      </c>
      <c r="E1168" s="1">
        <v>42</v>
      </c>
      <c r="F1168" s="4">
        <v>12605</v>
      </c>
      <c r="G1168" s="4">
        <f t="shared" si="11"/>
        <v>2394.9499999999998</v>
      </c>
      <c r="H1168" s="4">
        <f t="shared" si="12"/>
        <v>14999.95</v>
      </c>
      <c r="I1168" s="4"/>
      <c r="J1168" s="4"/>
    </row>
    <row r="1169" spans="1:10">
      <c r="A1169" s="1">
        <v>1169</v>
      </c>
      <c r="B1169" s="1" t="s">
        <v>1382</v>
      </c>
      <c r="C1169" s="9">
        <v>45794</v>
      </c>
      <c r="D1169" s="1" t="s">
        <v>39</v>
      </c>
      <c r="E1169" s="1">
        <v>91825</v>
      </c>
      <c r="F1169" s="4">
        <v>42016.800000000003</v>
      </c>
      <c r="G1169" s="4">
        <f t="shared" si="11"/>
        <v>7983.1920000000009</v>
      </c>
      <c r="H1169" s="4">
        <f t="shared" si="12"/>
        <v>49999.992000000006</v>
      </c>
      <c r="I1169" s="4"/>
      <c r="J1169" s="4"/>
    </row>
    <row r="1170" spans="1:10">
      <c r="A1170" s="1">
        <v>1170</v>
      </c>
      <c r="B1170" s="1" t="s">
        <v>1383</v>
      </c>
      <c r="C1170" s="9">
        <v>45794</v>
      </c>
      <c r="D1170" s="1" t="s">
        <v>39</v>
      </c>
      <c r="E1170" s="1">
        <v>91826</v>
      </c>
      <c r="F1170" s="4">
        <v>46218.5</v>
      </c>
      <c r="G1170" s="4">
        <f t="shared" si="11"/>
        <v>8781.5149999999994</v>
      </c>
      <c r="H1170" s="4">
        <f t="shared" si="12"/>
        <v>55000.014999999999</v>
      </c>
      <c r="I1170" s="4"/>
      <c r="J1170" s="4"/>
    </row>
    <row r="1171" spans="1:10">
      <c r="A1171" s="1">
        <v>1171</v>
      </c>
      <c r="B1171" s="1" t="s">
        <v>1384</v>
      </c>
      <c r="C1171" s="9">
        <v>45790</v>
      </c>
      <c r="D1171" s="1" t="s">
        <v>39</v>
      </c>
      <c r="E1171" s="1">
        <v>91824</v>
      </c>
      <c r="F1171" s="4">
        <v>18907.599999999999</v>
      </c>
      <c r="G1171" s="4">
        <f t="shared" si="11"/>
        <v>3592.444</v>
      </c>
      <c r="H1171" s="4">
        <f t="shared" si="12"/>
        <v>22500.043999999998</v>
      </c>
      <c r="I1171" s="4"/>
      <c r="J1171" s="4"/>
    </row>
    <row r="1172" spans="1:10">
      <c r="A1172" s="1">
        <v>1172</v>
      </c>
      <c r="B1172" s="1" t="s">
        <v>1385</v>
      </c>
      <c r="C1172" s="9">
        <v>45794</v>
      </c>
      <c r="D1172" s="1" t="s">
        <v>39</v>
      </c>
      <c r="E1172" s="1">
        <v>91827</v>
      </c>
      <c r="F1172" s="4">
        <v>38655.46</v>
      </c>
      <c r="G1172" s="4">
        <f t="shared" si="11"/>
        <v>7344.5374000000002</v>
      </c>
      <c r="H1172" s="4">
        <f t="shared" si="12"/>
        <v>45999.9974</v>
      </c>
      <c r="I1172" s="4"/>
      <c r="J1172" s="4"/>
    </row>
    <row r="1173" spans="1:10">
      <c r="A1173" s="1">
        <v>1173</v>
      </c>
      <c r="B1173" s="1" t="s">
        <v>655</v>
      </c>
      <c r="C1173" s="9">
        <v>45794</v>
      </c>
      <c r="D1173" s="1" t="s">
        <v>39</v>
      </c>
      <c r="E1173" s="1">
        <v>91828</v>
      </c>
      <c r="F1173" s="4">
        <v>8403.36</v>
      </c>
      <c r="G1173" s="4">
        <f t="shared" si="11"/>
        <v>1596.6384</v>
      </c>
      <c r="H1173" s="4">
        <f t="shared" si="12"/>
        <v>9999.9984000000004</v>
      </c>
      <c r="I1173" s="4"/>
      <c r="J1173" s="4"/>
    </row>
    <row r="1174" spans="1:10">
      <c r="A1174" s="1">
        <v>1174</v>
      </c>
      <c r="B1174" s="1" t="s">
        <v>1386</v>
      </c>
      <c r="C1174" s="9">
        <v>45794</v>
      </c>
      <c r="D1174" s="1" t="s">
        <v>12</v>
      </c>
      <c r="E1174" s="1">
        <v>43</v>
      </c>
      <c r="F1174" s="4">
        <v>14286</v>
      </c>
      <c r="G1174" s="4">
        <f t="shared" si="11"/>
        <v>2714.34</v>
      </c>
      <c r="H1174" s="4">
        <f t="shared" si="12"/>
        <v>17000.34</v>
      </c>
      <c r="I1174" s="4"/>
      <c r="J1174" s="4"/>
    </row>
    <row r="1175" spans="1:10">
      <c r="A1175" s="1">
        <v>1175</v>
      </c>
      <c r="B1175" s="1" t="s">
        <v>1103</v>
      </c>
      <c r="C1175" s="9">
        <v>45796</v>
      </c>
      <c r="D1175" s="1" t="s">
        <v>39</v>
      </c>
      <c r="E1175" s="1">
        <v>91829</v>
      </c>
      <c r="F1175" s="4">
        <v>28571.4</v>
      </c>
      <c r="G1175" s="4">
        <f t="shared" si="11"/>
        <v>5428.5660000000007</v>
      </c>
      <c r="H1175" s="4">
        <f t="shared" si="12"/>
        <v>33999.966</v>
      </c>
      <c r="I1175" s="4"/>
      <c r="J1175" s="4"/>
    </row>
    <row r="1176" spans="1:10">
      <c r="A1176" s="1">
        <v>1176</v>
      </c>
      <c r="B1176" s="1" t="s">
        <v>1387</v>
      </c>
      <c r="C1176" s="9">
        <v>45798</v>
      </c>
      <c r="D1176" s="1" t="s">
        <v>12</v>
      </c>
      <c r="E1176" s="1">
        <v>44</v>
      </c>
      <c r="F1176" s="4">
        <v>105042</v>
      </c>
      <c r="G1176" s="4">
        <f t="shared" si="11"/>
        <v>19957.98</v>
      </c>
      <c r="H1176" s="4">
        <f t="shared" si="12"/>
        <v>124999.98</v>
      </c>
      <c r="I1176" s="4"/>
      <c r="J1176" s="4"/>
    </row>
    <row r="1177" spans="1:10">
      <c r="A1177" s="1">
        <v>1177</v>
      </c>
      <c r="B1177" s="1" t="s">
        <v>1388</v>
      </c>
      <c r="C1177" s="9">
        <v>45798</v>
      </c>
      <c r="D1177" s="1" t="s">
        <v>39</v>
      </c>
      <c r="E1177" s="1">
        <v>91830</v>
      </c>
      <c r="F1177" s="4">
        <v>36974.79</v>
      </c>
      <c r="G1177" s="4">
        <f t="shared" si="11"/>
        <v>7025.2101000000002</v>
      </c>
      <c r="H1177" s="4">
        <f t="shared" si="12"/>
        <v>44000.000100000005</v>
      </c>
      <c r="I1177" s="4"/>
      <c r="J1177" s="4"/>
    </row>
    <row r="1178" spans="1:10">
      <c r="A1178" s="1">
        <v>1178</v>
      </c>
      <c r="B1178" s="1" t="s">
        <v>1314</v>
      </c>
      <c r="C1178" s="9">
        <v>45798</v>
      </c>
      <c r="D1178" s="1" t="s">
        <v>39</v>
      </c>
      <c r="E1178" s="1">
        <v>91831</v>
      </c>
      <c r="F1178" s="4">
        <v>50420.17</v>
      </c>
      <c r="G1178" s="4">
        <f t="shared" si="11"/>
        <v>9579.8323</v>
      </c>
      <c r="H1178" s="4">
        <f t="shared" si="12"/>
        <v>60000.0023</v>
      </c>
      <c r="I1178" s="4"/>
      <c r="J1178" s="4"/>
    </row>
    <row r="1179" spans="1:10">
      <c r="A1179" s="1">
        <v>1179</v>
      </c>
      <c r="B1179" s="1" t="s">
        <v>1389</v>
      </c>
      <c r="C1179" s="9">
        <v>45799</v>
      </c>
      <c r="D1179" s="1" t="s">
        <v>39</v>
      </c>
      <c r="E1179" s="1">
        <v>91832</v>
      </c>
      <c r="F1179" s="4">
        <v>42857.14</v>
      </c>
      <c r="G1179" s="4">
        <f t="shared" si="11"/>
        <v>8142.8566000000001</v>
      </c>
      <c r="H1179" s="4">
        <f t="shared" si="12"/>
        <v>50999.996599999999</v>
      </c>
      <c r="I1179" s="4"/>
      <c r="J1179" s="4"/>
    </row>
    <row r="1180" spans="1:10">
      <c r="A1180" s="1">
        <v>1180</v>
      </c>
      <c r="B1180" s="1" t="s">
        <v>1390</v>
      </c>
      <c r="C1180" s="9">
        <v>45801</v>
      </c>
      <c r="D1180" s="1" t="s">
        <v>39</v>
      </c>
      <c r="E1180" s="1">
        <v>91833</v>
      </c>
      <c r="F1180" s="4">
        <v>21848.74</v>
      </c>
      <c r="G1180" s="4">
        <f t="shared" si="11"/>
        <v>4151.2606000000005</v>
      </c>
      <c r="H1180" s="4">
        <f t="shared" si="12"/>
        <v>26000.000600000003</v>
      </c>
      <c r="I1180" s="4"/>
      <c r="J1180" s="4"/>
    </row>
    <row r="1181" spans="1:10">
      <c r="A1181" s="1">
        <v>1181</v>
      </c>
      <c r="B1181" s="1" t="s">
        <v>1391</v>
      </c>
      <c r="C1181" s="9">
        <v>45801</v>
      </c>
      <c r="D1181" s="1" t="s">
        <v>12</v>
      </c>
      <c r="E1181" s="1">
        <v>45</v>
      </c>
      <c r="F1181" s="4">
        <v>18487.39</v>
      </c>
      <c r="G1181" s="4">
        <f t="shared" si="11"/>
        <v>3512.6041</v>
      </c>
      <c r="H1181" s="4">
        <f t="shared" si="12"/>
        <v>21999.9941</v>
      </c>
      <c r="I1181" s="4"/>
      <c r="J1181" s="4"/>
    </row>
    <row r="1182" spans="1:10">
      <c r="A1182" s="1">
        <v>1182</v>
      </c>
      <c r="B1182" s="1" t="s">
        <v>1392</v>
      </c>
      <c r="C1182" s="9">
        <v>45801</v>
      </c>
      <c r="D1182" s="1" t="s">
        <v>39</v>
      </c>
      <c r="E1182" s="1">
        <v>91834</v>
      </c>
      <c r="F1182" s="4">
        <v>5042</v>
      </c>
      <c r="G1182" s="4">
        <f t="shared" si="11"/>
        <v>957.98</v>
      </c>
      <c r="H1182" s="4">
        <f t="shared" si="12"/>
        <v>5999.98</v>
      </c>
      <c r="I1182" s="4"/>
      <c r="J1182" s="4"/>
    </row>
    <row r="1183" spans="1:10">
      <c r="A1183" s="1">
        <v>1183</v>
      </c>
      <c r="B1183" s="1" t="s">
        <v>1390</v>
      </c>
      <c r="C1183" s="9">
        <v>45801</v>
      </c>
      <c r="D1183" s="1" t="s">
        <v>39</v>
      </c>
      <c r="E1183" s="1">
        <v>91837</v>
      </c>
      <c r="F1183" s="4">
        <v>21848.74</v>
      </c>
      <c r="G1183" s="4">
        <f t="shared" si="11"/>
        <v>4151.2606000000005</v>
      </c>
      <c r="H1183" s="4">
        <f t="shared" si="12"/>
        <v>26000.000600000003</v>
      </c>
      <c r="I1183" s="4"/>
      <c r="J1183" s="4"/>
    </row>
    <row r="1184" spans="1:10">
      <c r="A1184" s="1">
        <v>1184</v>
      </c>
      <c r="B1184" s="1" t="s">
        <v>1393</v>
      </c>
      <c r="C1184" s="9">
        <v>45802</v>
      </c>
      <c r="D1184" s="1" t="s">
        <v>39</v>
      </c>
      <c r="E1184" s="1">
        <v>91835</v>
      </c>
      <c r="F1184" s="4">
        <v>8403.36</v>
      </c>
      <c r="G1184" s="4">
        <f t="shared" si="11"/>
        <v>1596.6384</v>
      </c>
      <c r="H1184" s="4">
        <f t="shared" si="12"/>
        <v>9999.9984000000004</v>
      </c>
      <c r="I1184" s="4"/>
      <c r="J1184" s="4"/>
    </row>
    <row r="1185" spans="1:10">
      <c r="A1185" s="1">
        <v>1185</v>
      </c>
      <c r="B1185" s="1" t="s">
        <v>1394</v>
      </c>
      <c r="C1185" s="9">
        <v>45802</v>
      </c>
      <c r="D1185" s="1" t="s">
        <v>39</v>
      </c>
      <c r="E1185" s="1">
        <v>91836</v>
      </c>
      <c r="F1185" s="4">
        <v>21848.74</v>
      </c>
      <c r="G1185" s="4">
        <f t="shared" si="11"/>
        <v>4151.2606000000005</v>
      </c>
      <c r="H1185" s="4">
        <f t="shared" si="12"/>
        <v>26000.000600000003</v>
      </c>
      <c r="I1185" s="4"/>
      <c r="J1185" s="4"/>
    </row>
    <row r="1186" spans="1:10">
      <c r="A1186" s="1">
        <v>1186</v>
      </c>
      <c r="B1186" s="1" t="s">
        <v>1395</v>
      </c>
      <c r="C1186" s="9">
        <v>45804</v>
      </c>
      <c r="D1186" s="1" t="s">
        <v>39</v>
      </c>
      <c r="E1186" s="1">
        <v>91838</v>
      </c>
      <c r="F1186" s="4">
        <v>83193.279999999999</v>
      </c>
      <c r="G1186" s="4">
        <f t="shared" si="11"/>
        <v>15806.7232</v>
      </c>
      <c r="H1186" s="4">
        <f t="shared" si="12"/>
        <v>99000.003200000006</v>
      </c>
      <c r="I1186" s="4"/>
      <c r="J1186" s="4"/>
    </row>
    <row r="1187" spans="1:10">
      <c r="A1187" s="1">
        <v>1187</v>
      </c>
      <c r="B1187" s="1" t="s">
        <v>1263</v>
      </c>
      <c r="C1187" s="9">
        <v>45806</v>
      </c>
      <c r="D1187" s="1" t="s">
        <v>39</v>
      </c>
      <c r="E1187" s="1">
        <v>91839</v>
      </c>
      <c r="F1187" s="4">
        <v>6854.62</v>
      </c>
      <c r="G1187" s="4">
        <f t="shared" si="11"/>
        <v>1302.3778</v>
      </c>
      <c r="H1187" s="4">
        <f t="shared" si="12"/>
        <v>8156.9978000000001</v>
      </c>
      <c r="I1187" s="4"/>
      <c r="J1187" s="4"/>
    </row>
    <row r="1188" spans="1:10">
      <c r="A1188" s="1">
        <v>1188</v>
      </c>
      <c r="B1188" s="1" t="s">
        <v>1396</v>
      </c>
      <c r="C1188" s="9">
        <v>45808</v>
      </c>
      <c r="D1188" s="1" t="s">
        <v>39</v>
      </c>
      <c r="E1188" s="1">
        <v>91842</v>
      </c>
      <c r="F1188" s="4">
        <v>19327.73</v>
      </c>
      <c r="G1188" s="4">
        <f t="shared" si="11"/>
        <v>3672.2687000000001</v>
      </c>
      <c r="H1188" s="4">
        <f t="shared" si="12"/>
        <v>22999.9987</v>
      </c>
      <c r="I1188" s="4"/>
      <c r="J1188" s="4"/>
    </row>
    <row r="1189" spans="1:10">
      <c r="A1189" s="1">
        <v>1189</v>
      </c>
      <c r="B1189" s="1" t="s">
        <v>1397</v>
      </c>
      <c r="C1189" s="9">
        <v>45808</v>
      </c>
      <c r="D1189" s="1" t="s">
        <v>39</v>
      </c>
      <c r="E1189" s="1">
        <v>91843</v>
      </c>
      <c r="F1189" s="4">
        <v>54621.85</v>
      </c>
      <c r="G1189" s="4">
        <f t="shared" si="11"/>
        <v>10378.1515</v>
      </c>
      <c r="H1189" s="4">
        <f t="shared" si="12"/>
        <v>65000.001499999998</v>
      </c>
      <c r="I1189" s="4"/>
      <c r="J1189" s="4"/>
    </row>
    <row r="1190" spans="1:10">
      <c r="A1190" s="1">
        <v>1190</v>
      </c>
      <c r="B1190" s="1" t="s">
        <v>1398</v>
      </c>
      <c r="C1190" s="9">
        <v>45806</v>
      </c>
      <c r="D1190" s="1" t="s">
        <v>39</v>
      </c>
      <c r="E1190" s="1">
        <v>91840</v>
      </c>
      <c r="F1190" s="4">
        <v>6722.69</v>
      </c>
      <c r="G1190" s="4">
        <f t="shared" si="11"/>
        <v>1277.3110999999999</v>
      </c>
      <c r="H1190" s="4">
        <f t="shared" si="12"/>
        <v>8000.0010999999995</v>
      </c>
      <c r="I1190" s="4"/>
      <c r="J1190" s="4"/>
    </row>
    <row r="1191" spans="1:10">
      <c r="A1191" s="1">
        <v>1191</v>
      </c>
      <c r="B1191" s="1" t="s">
        <v>1399</v>
      </c>
      <c r="C1191" s="9">
        <v>45806</v>
      </c>
      <c r="D1191" s="1" t="s">
        <v>12</v>
      </c>
      <c r="E1191" s="1">
        <v>46</v>
      </c>
      <c r="F1191" s="4">
        <v>52100.84</v>
      </c>
      <c r="G1191" s="4">
        <f t="shared" si="11"/>
        <v>9899.159599999999</v>
      </c>
      <c r="H1191" s="4">
        <f t="shared" si="12"/>
        <v>61999.999599999996</v>
      </c>
      <c r="I1191" s="4"/>
      <c r="J1191" s="4"/>
    </row>
    <row r="1192" spans="1:10">
      <c r="A1192" s="1">
        <v>1192</v>
      </c>
      <c r="B1192" s="1" t="s">
        <v>1312</v>
      </c>
      <c r="C1192" s="9">
        <v>45806</v>
      </c>
      <c r="D1192" s="1" t="s">
        <v>39</v>
      </c>
      <c r="E1192" s="1">
        <v>91841</v>
      </c>
      <c r="F1192" s="4">
        <v>33613.449999999997</v>
      </c>
      <c r="G1192" s="4">
        <f t="shared" si="11"/>
        <v>6386.5554999999995</v>
      </c>
      <c r="H1192" s="4">
        <f t="shared" si="12"/>
        <v>40000.005499999999</v>
      </c>
      <c r="I1192" s="4"/>
      <c r="J1192" s="4"/>
    </row>
    <row r="1193" spans="1:10">
      <c r="A1193" s="1">
        <v>1193</v>
      </c>
      <c r="B1193" s="1" t="s">
        <v>1400</v>
      </c>
      <c r="C1193" s="9">
        <v>45808</v>
      </c>
      <c r="D1193" s="1" t="s">
        <v>39</v>
      </c>
      <c r="E1193" s="1">
        <v>91845</v>
      </c>
      <c r="F1193" s="4">
        <v>68907.56</v>
      </c>
      <c r="G1193" s="4">
        <f t="shared" si="11"/>
        <v>13092.436400000001</v>
      </c>
      <c r="H1193" s="4">
        <f t="shared" si="12"/>
        <v>81999.996400000004</v>
      </c>
      <c r="I1193" s="4"/>
      <c r="J1193" s="4"/>
    </row>
    <row r="1194" spans="1:10">
      <c r="A1194" s="1">
        <v>1194</v>
      </c>
      <c r="B1194" s="1" t="s">
        <v>1401</v>
      </c>
      <c r="C1194" s="9">
        <v>45808</v>
      </c>
      <c r="D1194" s="1" t="s">
        <v>39</v>
      </c>
      <c r="E1194" s="1">
        <v>91844</v>
      </c>
      <c r="F1194" s="4">
        <v>43697.48</v>
      </c>
      <c r="G1194" s="4">
        <f t="shared" si="11"/>
        <v>8302.521200000001</v>
      </c>
      <c r="H1194" s="4">
        <f t="shared" si="12"/>
        <v>52000.001200000006</v>
      </c>
      <c r="I1194" s="4"/>
      <c r="J1194" s="4"/>
    </row>
    <row r="1195" spans="1:10">
      <c r="A1195" s="1">
        <v>1195</v>
      </c>
      <c r="B1195" s="1" t="s">
        <v>1402</v>
      </c>
      <c r="C1195" s="9">
        <v>45808</v>
      </c>
      <c r="D1195" s="1" t="s">
        <v>39</v>
      </c>
      <c r="E1195" s="1">
        <v>91846</v>
      </c>
      <c r="F1195" s="4">
        <v>47647.06</v>
      </c>
      <c r="G1195" s="4">
        <f t="shared" si="11"/>
        <v>9052.9413999999997</v>
      </c>
      <c r="H1195" s="4">
        <f t="shared" si="12"/>
        <v>56700.001399999994</v>
      </c>
      <c r="I1195" s="4"/>
      <c r="J1195" s="4"/>
    </row>
    <row r="1196" spans="1:10">
      <c r="A1196" s="1">
        <v>1196</v>
      </c>
      <c r="B1196" s="1" t="s">
        <v>1403</v>
      </c>
      <c r="C1196" s="9">
        <v>45808</v>
      </c>
      <c r="D1196" s="1" t="s">
        <v>39</v>
      </c>
      <c r="E1196" s="1">
        <v>91847</v>
      </c>
      <c r="F1196" s="4">
        <v>370836.13</v>
      </c>
      <c r="G1196" s="4">
        <f t="shared" ref="G1196:G1450" si="13">F1196*0.19</f>
        <v>70458.864700000006</v>
      </c>
      <c r="H1196" s="4">
        <f t="shared" ref="H1196:H1228" si="14">F1196+G1196</f>
        <v>441294.99470000004</v>
      </c>
      <c r="I1196" s="4"/>
      <c r="J1196" s="4"/>
    </row>
    <row r="1197" spans="1:10">
      <c r="A1197" s="1">
        <v>1197</v>
      </c>
      <c r="B1197" s="1" t="s">
        <v>1404</v>
      </c>
      <c r="C1197" s="9">
        <v>45812</v>
      </c>
      <c r="D1197" s="1" t="s">
        <v>39</v>
      </c>
      <c r="E1197" s="1">
        <v>91854</v>
      </c>
      <c r="F1197" s="4">
        <v>334705.88</v>
      </c>
      <c r="G1197" s="4">
        <f t="shared" si="13"/>
        <v>63594.117200000001</v>
      </c>
      <c r="H1197" s="4">
        <f t="shared" si="14"/>
        <v>398299.99719999998</v>
      </c>
      <c r="I1197" s="4"/>
      <c r="J1197" s="4"/>
    </row>
    <row r="1198" spans="1:10">
      <c r="A1198" s="1">
        <v>1198</v>
      </c>
      <c r="B1198" s="1" t="s">
        <v>1263</v>
      </c>
      <c r="C1198" s="9">
        <v>45808</v>
      </c>
      <c r="D1198" s="1" t="s">
        <v>39</v>
      </c>
      <c r="E1198" s="1">
        <v>91848</v>
      </c>
      <c r="F1198" s="4">
        <v>6742.86</v>
      </c>
      <c r="G1198" s="4">
        <f t="shared" si="13"/>
        <v>1281.1433999999999</v>
      </c>
      <c r="H1198" s="4">
        <f t="shared" si="14"/>
        <v>8024.0033999999996</v>
      </c>
      <c r="I1198" s="4"/>
      <c r="J1198" s="4"/>
    </row>
    <row r="1199" spans="1:10">
      <c r="A1199" s="1">
        <v>1199</v>
      </c>
      <c r="B1199" s="1" t="s">
        <v>1405</v>
      </c>
      <c r="C1199" s="9">
        <v>45808</v>
      </c>
      <c r="D1199" s="1" t="s">
        <v>39</v>
      </c>
      <c r="E1199" s="1">
        <v>91849</v>
      </c>
      <c r="F1199" s="4">
        <v>20228.57</v>
      </c>
      <c r="G1199" s="4">
        <f t="shared" si="13"/>
        <v>3843.4283</v>
      </c>
      <c r="H1199" s="4">
        <f t="shared" si="14"/>
        <v>24071.998299999999</v>
      </c>
      <c r="I1199" s="4"/>
      <c r="J1199" s="4"/>
    </row>
    <row r="1200" spans="1:10">
      <c r="A1200" s="1">
        <v>1200</v>
      </c>
      <c r="B1200" s="1" t="s">
        <v>1406</v>
      </c>
      <c r="C1200" s="9">
        <v>45808</v>
      </c>
      <c r="D1200" s="1" t="s">
        <v>39</v>
      </c>
      <c r="E1200" s="1">
        <v>91850</v>
      </c>
      <c r="F1200" s="4">
        <v>67226.89</v>
      </c>
      <c r="G1200" s="4">
        <f t="shared" si="13"/>
        <v>12773.1091</v>
      </c>
      <c r="H1200" s="4">
        <f t="shared" si="14"/>
        <v>79999.999100000001</v>
      </c>
      <c r="I1200" s="4"/>
      <c r="J1200" s="4"/>
    </row>
    <row r="1201" spans="1:10">
      <c r="A1201" s="1">
        <v>1201</v>
      </c>
      <c r="B1201" s="1" t="s">
        <v>1407</v>
      </c>
      <c r="C1201" s="9">
        <v>45810</v>
      </c>
      <c r="D1201" s="1" t="s">
        <v>39</v>
      </c>
      <c r="E1201" s="1">
        <v>91851</v>
      </c>
      <c r="F1201" s="4">
        <v>44537.82</v>
      </c>
      <c r="G1201" s="4">
        <f t="shared" si="13"/>
        <v>8462.1857999999993</v>
      </c>
      <c r="H1201" s="4">
        <f t="shared" si="14"/>
        <v>53000.005799999999</v>
      </c>
      <c r="I1201" s="4"/>
      <c r="J1201" s="4"/>
    </row>
    <row r="1202" spans="1:10">
      <c r="A1202" s="1">
        <v>1202</v>
      </c>
      <c r="B1202" s="1" t="s">
        <v>1405</v>
      </c>
      <c r="C1202" s="9">
        <v>45810</v>
      </c>
      <c r="D1202" s="1" t="s">
        <v>39</v>
      </c>
      <c r="E1202" s="1">
        <v>91852</v>
      </c>
      <c r="F1202" s="4">
        <v>20228.57</v>
      </c>
      <c r="G1202" s="4">
        <f t="shared" si="13"/>
        <v>3843.4283</v>
      </c>
      <c r="H1202" s="4">
        <f t="shared" si="14"/>
        <v>24071.998299999999</v>
      </c>
      <c r="I1202" s="4"/>
      <c r="J1202" s="4"/>
    </row>
    <row r="1203" spans="1:10">
      <c r="A1203" s="1">
        <v>1203</v>
      </c>
      <c r="B1203" s="1" t="s">
        <v>1354</v>
      </c>
      <c r="C1203" s="9">
        <v>45810</v>
      </c>
      <c r="D1203" s="1" t="s">
        <v>12</v>
      </c>
      <c r="E1203" s="1">
        <v>47</v>
      </c>
      <c r="F1203" s="4">
        <v>26971.43</v>
      </c>
      <c r="G1203" s="4">
        <f t="shared" si="13"/>
        <v>5124.5717000000004</v>
      </c>
      <c r="H1203" s="4">
        <f t="shared" si="14"/>
        <v>32096.001700000001</v>
      </c>
      <c r="I1203" s="4"/>
      <c r="J1203" s="4"/>
    </row>
    <row r="1204" spans="1:10">
      <c r="A1204" s="1">
        <v>1204</v>
      </c>
      <c r="B1204" s="1" t="s">
        <v>1408</v>
      </c>
      <c r="C1204" s="9">
        <v>45810</v>
      </c>
      <c r="D1204" s="1" t="s">
        <v>39</v>
      </c>
      <c r="E1204" s="1">
        <v>91853</v>
      </c>
      <c r="F1204" s="4">
        <v>61092.44</v>
      </c>
      <c r="G1204" s="4">
        <f t="shared" si="13"/>
        <v>11607.563600000001</v>
      </c>
      <c r="H1204" s="4">
        <f t="shared" si="14"/>
        <v>72700.003599999996</v>
      </c>
      <c r="I1204" s="4"/>
      <c r="J1204" s="4"/>
    </row>
    <row r="1205" spans="1:10">
      <c r="A1205" s="1">
        <v>1205</v>
      </c>
      <c r="B1205" s="1" t="s">
        <v>1409</v>
      </c>
      <c r="C1205" s="9">
        <v>45812</v>
      </c>
      <c r="D1205" s="1" t="s">
        <v>39</v>
      </c>
      <c r="E1205" s="1">
        <v>91855</v>
      </c>
      <c r="F1205" s="4">
        <v>12605.04</v>
      </c>
      <c r="G1205" s="4">
        <f t="shared" si="13"/>
        <v>2394.9576000000002</v>
      </c>
      <c r="H1205" s="4">
        <f t="shared" si="14"/>
        <v>14999.997600000001</v>
      </c>
      <c r="I1205" s="4"/>
      <c r="J1205" s="4"/>
    </row>
    <row r="1206" spans="1:10">
      <c r="A1206" s="1">
        <v>1206</v>
      </c>
      <c r="B1206" s="1" t="s">
        <v>1410</v>
      </c>
      <c r="C1206" s="9">
        <v>45813</v>
      </c>
      <c r="D1206" s="1" t="s">
        <v>39</v>
      </c>
      <c r="E1206" s="1">
        <v>91856</v>
      </c>
      <c r="F1206" s="4">
        <v>178823.53</v>
      </c>
      <c r="G1206" s="4">
        <f t="shared" si="13"/>
        <v>33976.470699999998</v>
      </c>
      <c r="H1206" s="4">
        <f t="shared" si="14"/>
        <v>212800.0007</v>
      </c>
      <c r="I1206" s="4"/>
      <c r="J1206" s="4"/>
    </row>
    <row r="1207" spans="1:10">
      <c r="A1207" s="1">
        <v>1207</v>
      </c>
      <c r="B1207" s="1" t="s">
        <v>1411</v>
      </c>
      <c r="C1207" s="9">
        <v>45813</v>
      </c>
      <c r="D1207" s="1" t="s">
        <v>39</v>
      </c>
      <c r="E1207" s="1">
        <v>91857</v>
      </c>
      <c r="F1207" s="4">
        <v>5462.18</v>
      </c>
      <c r="G1207" s="4">
        <f t="shared" si="13"/>
        <v>1037.8142</v>
      </c>
      <c r="H1207" s="4">
        <f t="shared" si="14"/>
        <v>6499.9942000000001</v>
      </c>
      <c r="I1207" s="4"/>
      <c r="J1207" s="4"/>
    </row>
    <row r="1208" spans="1:10">
      <c r="A1208" s="1">
        <v>1208</v>
      </c>
      <c r="B1208" s="1" t="s">
        <v>1263</v>
      </c>
      <c r="C1208" s="9">
        <v>45813</v>
      </c>
      <c r="D1208" s="1" t="s">
        <v>39</v>
      </c>
      <c r="E1208" s="1">
        <v>91858</v>
      </c>
      <c r="F1208" s="4">
        <v>6854.62</v>
      </c>
      <c r="G1208" s="4">
        <f t="shared" si="13"/>
        <v>1302.3778</v>
      </c>
      <c r="H1208" s="4">
        <f t="shared" si="14"/>
        <v>8156.9978000000001</v>
      </c>
      <c r="I1208" s="4"/>
      <c r="J1208" s="4"/>
    </row>
    <row r="1209" spans="1:10">
      <c r="A1209" s="1">
        <v>1209</v>
      </c>
      <c r="B1209" s="1" t="s">
        <v>1412</v>
      </c>
      <c r="C1209" s="9">
        <v>45813</v>
      </c>
      <c r="D1209" s="1" t="s">
        <v>39</v>
      </c>
      <c r="E1209" s="1">
        <v>91859</v>
      </c>
      <c r="F1209" s="4">
        <v>35294.120000000003</v>
      </c>
      <c r="G1209" s="4">
        <f t="shared" si="13"/>
        <v>6705.8828000000003</v>
      </c>
      <c r="H1209" s="4">
        <f t="shared" si="14"/>
        <v>42000.002800000002</v>
      </c>
      <c r="I1209" s="4"/>
      <c r="J1209" s="4"/>
    </row>
    <row r="1210" spans="1:10">
      <c r="A1210" s="1">
        <v>1210</v>
      </c>
      <c r="B1210" s="1" t="s">
        <v>1413</v>
      </c>
      <c r="C1210" s="9">
        <v>45814</v>
      </c>
      <c r="D1210" s="1" t="s">
        <v>39</v>
      </c>
      <c r="E1210" s="1">
        <v>91860</v>
      </c>
      <c r="F1210" s="4">
        <v>8403.36</v>
      </c>
      <c r="G1210" s="4">
        <f t="shared" si="13"/>
        <v>1596.6384</v>
      </c>
      <c r="H1210" s="4">
        <f t="shared" si="14"/>
        <v>9999.9984000000004</v>
      </c>
      <c r="I1210" s="4"/>
      <c r="J1210" s="4"/>
    </row>
    <row r="1211" spans="1:10">
      <c r="A1211" s="1">
        <v>1211</v>
      </c>
      <c r="B1211" s="1" t="s">
        <v>1414</v>
      </c>
      <c r="C1211" s="9">
        <v>45814</v>
      </c>
      <c r="D1211" s="1" t="s">
        <v>39</v>
      </c>
      <c r="E1211" s="1">
        <v>91861</v>
      </c>
      <c r="F1211" s="4">
        <v>8403.36</v>
      </c>
      <c r="G1211" s="4">
        <f t="shared" si="13"/>
        <v>1596.6384</v>
      </c>
      <c r="H1211" s="4">
        <f t="shared" si="14"/>
        <v>9999.9984000000004</v>
      </c>
      <c r="I1211" s="4"/>
      <c r="J1211" s="4"/>
    </row>
    <row r="1212" spans="1:10">
      <c r="A1212" s="1">
        <v>1212</v>
      </c>
      <c r="B1212" s="1" t="s">
        <v>1415</v>
      </c>
      <c r="C1212" s="9">
        <v>45814</v>
      </c>
      <c r="D1212" s="1" t="s">
        <v>39</v>
      </c>
      <c r="E1212" s="1">
        <v>91862</v>
      </c>
      <c r="F1212" s="4">
        <v>31092.44</v>
      </c>
      <c r="G1212" s="4">
        <f t="shared" si="13"/>
        <v>5907.5635999999995</v>
      </c>
      <c r="H1212" s="4">
        <f t="shared" si="14"/>
        <v>37000.003599999996</v>
      </c>
      <c r="I1212" s="4"/>
      <c r="J1212" s="4"/>
    </row>
    <row r="1213" spans="1:10">
      <c r="A1213" s="1">
        <v>1213</v>
      </c>
      <c r="B1213" s="1" t="s">
        <v>1416</v>
      </c>
      <c r="C1213" s="9">
        <v>45815</v>
      </c>
      <c r="D1213" s="1" t="s">
        <v>39</v>
      </c>
      <c r="E1213" s="1">
        <v>91863</v>
      </c>
      <c r="F1213" s="4">
        <v>49579.83</v>
      </c>
      <c r="G1213" s="4">
        <f t="shared" si="13"/>
        <v>9420.1677</v>
      </c>
      <c r="H1213" s="4">
        <f t="shared" si="14"/>
        <v>58999.9977</v>
      </c>
      <c r="I1213" s="4"/>
      <c r="J1213" s="4"/>
    </row>
    <row r="1214" spans="1:10">
      <c r="A1214" s="1">
        <v>1214</v>
      </c>
      <c r="B1214" s="1" t="s">
        <v>1417</v>
      </c>
      <c r="C1214" s="9">
        <v>45815</v>
      </c>
      <c r="D1214" s="1" t="s">
        <v>39</v>
      </c>
      <c r="E1214" s="1">
        <v>91864</v>
      </c>
      <c r="F1214" s="4">
        <v>112474.79</v>
      </c>
      <c r="G1214" s="4">
        <f t="shared" si="13"/>
        <v>21370.2101</v>
      </c>
      <c r="H1214" s="4">
        <f t="shared" si="14"/>
        <v>133845.0001</v>
      </c>
      <c r="I1214" s="4"/>
      <c r="J1214" s="4"/>
    </row>
    <row r="1215" spans="1:10">
      <c r="A1215" s="1">
        <v>1215</v>
      </c>
      <c r="B1215" s="1" t="s">
        <v>1418</v>
      </c>
      <c r="C1215" s="9">
        <v>45817</v>
      </c>
      <c r="D1215" s="1" t="s">
        <v>39</v>
      </c>
      <c r="E1215" s="1">
        <v>91865</v>
      </c>
      <c r="F1215" s="4">
        <v>40588.239999999998</v>
      </c>
      <c r="G1215" s="4">
        <f t="shared" si="13"/>
        <v>7711.7655999999997</v>
      </c>
      <c r="H1215" s="4">
        <f t="shared" si="14"/>
        <v>48300.005599999997</v>
      </c>
      <c r="I1215" s="4"/>
      <c r="J1215" s="4"/>
    </row>
    <row r="1216" spans="1:10">
      <c r="A1216" s="1">
        <v>1216</v>
      </c>
      <c r="B1216" s="1" t="s">
        <v>1163</v>
      </c>
      <c r="C1216" s="9">
        <v>45820</v>
      </c>
      <c r="D1216" s="1" t="s">
        <v>12</v>
      </c>
      <c r="E1216" s="1">
        <v>48</v>
      </c>
      <c r="F1216" s="4">
        <v>60504.2</v>
      </c>
      <c r="G1216" s="4">
        <f t="shared" si="13"/>
        <v>11495.797999999999</v>
      </c>
      <c r="H1216" s="4">
        <f t="shared" si="14"/>
        <v>71999.997999999992</v>
      </c>
      <c r="I1216" s="4"/>
      <c r="J1216" s="4"/>
    </row>
    <row r="1217" spans="1:10">
      <c r="A1217" s="1">
        <v>1217</v>
      </c>
      <c r="B1217" s="1" t="s">
        <v>1419</v>
      </c>
      <c r="C1217" s="9">
        <v>45820</v>
      </c>
      <c r="D1217" s="1" t="s">
        <v>12</v>
      </c>
      <c r="E1217" s="1">
        <v>49</v>
      </c>
      <c r="F1217" s="4">
        <v>47900</v>
      </c>
      <c r="G1217" s="4">
        <f t="shared" si="13"/>
        <v>9101</v>
      </c>
      <c r="H1217" s="4">
        <f t="shared" si="14"/>
        <v>57001</v>
      </c>
      <c r="I1217" s="4"/>
      <c r="J1217" s="4"/>
    </row>
    <row r="1218" spans="1:10">
      <c r="A1218" s="1">
        <v>1218</v>
      </c>
      <c r="B1218" s="1" t="s">
        <v>1420</v>
      </c>
      <c r="C1218" s="9">
        <v>45820</v>
      </c>
      <c r="D1218" s="1" t="s">
        <v>39</v>
      </c>
      <c r="E1218" s="1">
        <v>91866</v>
      </c>
      <c r="F1218" s="4">
        <v>23529.4</v>
      </c>
      <c r="G1218" s="4">
        <f t="shared" si="13"/>
        <v>4470.5860000000002</v>
      </c>
      <c r="H1218" s="4">
        <f t="shared" si="14"/>
        <v>27999.986000000001</v>
      </c>
      <c r="I1218" s="4"/>
      <c r="J1218" s="4"/>
    </row>
    <row r="1219" spans="1:10">
      <c r="A1219" s="1">
        <v>1219</v>
      </c>
      <c r="B1219" s="1" t="s">
        <v>1421</v>
      </c>
      <c r="C1219" s="9">
        <v>45824</v>
      </c>
      <c r="D1219" s="1" t="s">
        <v>39</v>
      </c>
      <c r="E1219" s="1">
        <v>91867</v>
      </c>
      <c r="F1219" s="4">
        <v>18386.55</v>
      </c>
      <c r="G1219" s="4">
        <f t="shared" si="13"/>
        <v>3493.4445000000001</v>
      </c>
      <c r="H1219" s="4">
        <f t="shared" si="14"/>
        <v>21879.994500000001</v>
      </c>
      <c r="I1219" s="4"/>
      <c r="J1219" s="4"/>
    </row>
    <row r="1220" spans="1:10">
      <c r="A1220" s="1">
        <v>1220</v>
      </c>
      <c r="B1220" s="1" t="s">
        <v>1422</v>
      </c>
      <c r="C1220" s="9">
        <v>45825</v>
      </c>
      <c r="D1220" s="1" t="s">
        <v>39</v>
      </c>
      <c r="E1220" s="1">
        <v>91868</v>
      </c>
      <c r="F1220" s="4">
        <v>16806.7</v>
      </c>
      <c r="G1220" s="4">
        <f t="shared" si="13"/>
        <v>3193.2730000000001</v>
      </c>
      <c r="H1220" s="4">
        <f t="shared" si="14"/>
        <v>19999.973000000002</v>
      </c>
      <c r="I1220" s="4"/>
      <c r="J1220" s="4"/>
    </row>
    <row r="1221" spans="1:10">
      <c r="A1221" s="1">
        <v>1221</v>
      </c>
      <c r="B1221" s="1" t="s">
        <v>841</v>
      </c>
      <c r="C1221" s="9">
        <v>45827</v>
      </c>
      <c r="D1221" s="1" t="s">
        <v>39</v>
      </c>
      <c r="E1221" s="1">
        <v>91869</v>
      </c>
      <c r="F1221" s="4">
        <v>7142.86</v>
      </c>
      <c r="G1221" s="4">
        <f t="shared" si="13"/>
        <v>1357.1433999999999</v>
      </c>
      <c r="H1221" s="4">
        <f t="shared" si="14"/>
        <v>8500.0033999999996</v>
      </c>
      <c r="I1221" s="4"/>
      <c r="J1221" s="4"/>
    </row>
    <row r="1222" spans="1:10">
      <c r="A1222" s="1">
        <v>1222</v>
      </c>
      <c r="B1222" s="1" t="s">
        <v>1423</v>
      </c>
      <c r="C1222" s="9">
        <v>45828</v>
      </c>
      <c r="D1222" s="1" t="s">
        <v>39</v>
      </c>
      <c r="E1222" s="1">
        <v>91870</v>
      </c>
      <c r="F1222" s="4">
        <v>69747.899000000005</v>
      </c>
      <c r="G1222" s="4">
        <f t="shared" si="13"/>
        <v>13252.100810000002</v>
      </c>
      <c r="H1222" s="4">
        <f t="shared" si="14"/>
        <v>82999.999810000008</v>
      </c>
      <c r="I1222" s="4"/>
      <c r="J1222" s="4"/>
    </row>
    <row r="1223" spans="1:10">
      <c r="A1223" s="1">
        <v>1223</v>
      </c>
      <c r="B1223" s="1" t="s">
        <v>1424</v>
      </c>
      <c r="C1223" s="9">
        <v>45828</v>
      </c>
      <c r="D1223" s="1" t="s">
        <v>39</v>
      </c>
      <c r="E1223" s="1">
        <v>91871</v>
      </c>
      <c r="F1223" s="4">
        <v>92436.97</v>
      </c>
      <c r="G1223" s="4">
        <f t="shared" si="13"/>
        <v>17563.024300000001</v>
      </c>
      <c r="H1223" s="4">
        <f t="shared" si="14"/>
        <v>109999.99430000001</v>
      </c>
      <c r="I1223" s="4"/>
      <c r="J1223" s="4"/>
    </row>
    <row r="1224" spans="1:10">
      <c r="A1224" s="1">
        <v>1224</v>
      </c>
      <c r="B1224" s="1" t="s">
        <v>1425</v>
      </c>
      <c r="C1224" s="9">
        <v>45830</v>
      </c>
      <c r="D1224" s="1" t="s">
        <v>39</v>
      </c>
      <c r="E1224" s="1">
        <v>91872</v>
      </c>
      <c r="F1224" s="4">
        <v>38655.46</v>
      </c>
      <c r="G1224" s="4">
        <f t="shared" si="13"/>
        <v>7344.5374000000002</v>
      </c>
      <c r="H1224" s="4">
        <f t="shared" si="14"/>
        <v>45999.9974</v>
      </c>
      <c r="I1224" s="4"/>
      <c r="J1224" s="4"/>
    </row>
    <row r="1225" spans="1:10">
      <c r="A1225" s="1">
        <v>1225</v>
      </c>
      <c r="B1225" s="1" t="s">
        <v>1426</v>
      </c>
      <c r="C1225" s="9">
        <v>45830</v>
      </c>
      <c r="D1225" s="1" t="s">
        <v>39</v>
      </c>
      <c r="E1225" s="1">
        <v>91873</v>
      </c>
      <c r="F1225" s="4">
        <v>28571.43</v>
      </c>
      <c r="G1225" s="4">
        <f t="shared" si="13"/>
        <v>5428.5717000000004</v>
      </c>
      <c r="H1225" s="4">
        <f t="shared" si="14"/>
        <v>34000.001700000001</v>
      </c>
      <c r="I1225" s="4"/>
      <c r="J1225" s="4"/>
    </row>
    <row r="1226" spans="1:10">
      <c r="A1226" s="1">
        <v>1226</v>
      </c>
      <c r="B1226" s="1" t="s">
        <v>1427</v>
      </c>
      <c r="C1226" s="9">
        <v>45830</v>
      </c>
      <c r="D1226" s="1" t="s">
        <v>39</v>
      </c>
      <c r="E1226" s="1">
        <v>91874</v>
      </c>
      <c r="F1226" s="4">
        <v>16806.72</v>
      </c>
      <c r="G1226" s="4">
        <f t="shared" si="13"/>
        <v>3193.2768000000001</v>
      </c>
      <c r="H1226" s="4">
        <f t="shared" si="14"/>
        <v>19999.996800000001</v>
      </c>
      <c r="I1226" s="4"/>
      <c r="J1226" s="4"/>
    </row>
    <row r="1227" spans="1:10">
      <c r="A1227" s="1">
        <v>1227</v>
      </c>
      <c r="B1227" s="1" t="s">
        <v>1428</v>
      </c>
      <c r="C1227" s="9">
        <v>45830</v>
      </c>
      <c r="D1227" s="1" t="s">
        <v>39</v>
      </c>
      <c r="E1227" s="1">
        <v>91875</v>
      </c>
      <c r="F1227" s="4">
        <v>29411.759999999998</v>
      </c>
      <c r="G1227" s="4">
        <f t="shared" si="13"/>
        <v>5588.2343999999994</v>
      </c>
      <c r="H1227" s="4">
        <f t="shared" si="14"/>
        <v>34999.994399999996</v>
      </c>
      <c r="I1227" s="4"/>
      <c r="J1227" s="4"/>
    </row>
    <row r="1228" spans="1:10">
      <c r="A1228" s="11">
        <v>1228</v>
      </c>
      <c r="B1228" s="11" t="s">
        <v>1429</v>
      </c>
      <c r="C1228" s="17">
        <v>45831</v>
      </c>
      <c r="D1228" s="11" t="s">
        <v>39</v>
      </c>
      <c r="E1228" s="11">
        <v>91876</v>
      </c>
      <c r="F1228" s="13">
        <v>84033.61</v>
      </c>
      <c r="G1228" s="13">
        <f t="shared" si="13"/>
        <v>15966.385900000001</v>
      </c>
      <c r="H1228" s="13">
        <f t="shared" si="14"/>
        <v>99999.995900000009</v>
      </c>
      <c r="I1228" s="13"/>
      <c r="J1228" s="13"/>
    </row>
    <row r="1229" spans="1:10">
      <c r="A1229" s="1">
        <v>1229</v>
      </c>
      <c r="B1229" s="1" t="s">
        <v>1430</v>
      </c>
      <c r="C1229" s="9">
        <v>45834</v>
      </c>
      <c r="D1229" s="1" t="s">
        <v>39</v>
      </c>
      <c r="E1229" s="1">
        <v>91877</v>
      </c>
      <c r="F1229" s="4">
        <f t="shared" ref="F1229:F1451" si="15">H1229/1.19</f>
        <v>13109.243697478993</v>
      </c>
      <c r="G1229" s="4">
        <f t="shared" si="13"/>
        <v>2490.7563025210088</v>
      </c>
      <c r="H1229" s="4">
        <v>15600</v>
      </c>
      <c r="I1229" s="4"/>
      <c r="J1229" s="4"/>
    </row>
    <row r="1230" spans="1:10">
      <c r="A1230" s="1">
        <v>1230</v>
      </c>
      <c r="B1230" s="1" t="s">
        <v>1017</v>
      </c>
      <c r="C1230" s="9">
        <v>45834</v>
      </c>
      <c r="D1230" s="1" t="s">
        <v>39</v>
      </c>
      <c r="E1230" s="1">
        <v>91878</v>
      </c>
      <c r="F1230" s="4">
        <f t="shared" si="15"/>
        <v>31092.436974789918</v>
      </c>
      <c r="G1230" s="4">
        <f t="shared" si="13"/>
        <v>5907.5630252100846</v>
      </c>
      <c r="H1230" s="4">
        <v>37000</v>
      </c>
      <c r="I1230" s="4"/>
      <c r="J1230" s="4"/>
    </row>
    <row r="1231" spans="1:10">
      <c r="A1231" s="1">
        <v>1231</v>
      </c>
      <c r="B1231" s="1" t="s">
        <v>1431</v>
      </c>
      <c r="C1231" s="9">
        <v>45835</v>
      </c>
      <c r="D1231" s="1" t="s">
        <v>39</v>
      </c>
      <c r="E1231" s="1">
        <v>91879</v>
      </c>
      <c r="F1231" s="4">
        <f t="shared" si="15"/>
        <v>35294.117647058825</v>
      </c>
      <c r="G1231" s="4">
        <f t="shared" si="13"/>
        <v>6705.8823529411766</v>
      </c>
      <c r="H1231" s="4">
        <v>42000</v>
      </c>
      <c r="I1231" s="4"/>
      <c r="J1231" s="4"/>
    </row>
    <row r="1232" spans="1:10">
      <c r="A1232" s="1">
        <v>1232</v>
      </c>
      <c r="B1232" s="1" t="s">
        <v>1432</v>
      </c>
      <c r="C1232" s="9">
        <v>45835</v>
      </c>
      <c r="D1232" s="1" t="s">
        <v>39</v>
      </c>
      <c r="E1232" s="1">
        <v>91880</v>
      </c>
      <c r="F1232" s="4">
        <f t="shared" si="15"/>
        <v>8403.361344537816</v>
      </c>
      <c r="G1232" s="4">
        <f t="shared" si="13"/>
        <v>1596.6386554621849</v>
      </c>
      <c r="H1232" s="4">
        <v>10000</v>
      </c>
      <c r="I1232" s="4"/>
      <c r="J1232" s="4"/>
    </row>
    <row r="1233" spans="1:10">
      <c r="A1233" s="1">
        <v>1233</v>
      </c>
      <c r="B1233" s="1" t="s">
        <v>1433</v>
      </c>
      <c r="C1233" s="9">
        <v>45835</v>
      </c>
      <c r="D1233" s="1" t="s">
        <v>39</v>
      </c>
      <c r="E1233" s="1">
        <v>91881</v>
      </c>
      <c r="F1233" s="4">
        <f t="shared" si="15"/>
        <v>6974.7899159663866</v>
      </c>
      <c r="G1233" s="4">
        <f t="shared" si="13"/>
        <v>1325.2100840336134</v>
      </c>
      <c r="H1233" s="4">
        <v>8300</v>
      </c>
      <c r="I1233" s="4"/>
      <c r="J1233" s="4"/>
    </row>
    <row r="1234" spans="1:10">
      <c r="A1234" s="1">
        <v>1234</v>
      </c>
      <c r="B1234" s="1" t="s">
        <v>1434</v>
      </c>
      <c r="C1234" s="9">
        <v>45838</v>
      </c>
      <c r="D1234" s="1" t="s">
        <v>39</v>
      </c>
      <c r="E1234" s="1">
        <v>91882</v>
      </c>
      <c r="F1234" s="4">
        <f t="shared" si="15"/>
        <v>39075.63025210084</v>
      </c>
      <c r="G1234" s="4">
        <f t="shared" si="13"/>
        <v>7424.3697478991598</v>
      </c>
      <c r="H1234" s="4">
        <v>46500</v>
      </c>
      <c r="I1234" s="4"/>
      <c r="J1234" s="4"/>
    </row>
    <row r="1235" spans="1:10">
      <c r="A1235" s="1">
        <v>1235</v>
      </c>
      <c r="B1235" s="1" t="s">
        <v>1435</v>
      </c>
      <c r="C1235" s="9">
        <v>45838</v>
      </c>
      <c r="D1235" s="1" t="s">
        <v>39</v>
      </c>
      <c r="E1235" s="1">
        <v>91883</v>
      </c>
      <c r="F1235" s="4">
        <f t="shared" si="15"/>
        <v>29411.764705882353</v>
      </c>
      <c r="G1235" s="4">
        <f t="shared" si="13"/>
        <v>5588.2352941176468</v>
      </c>
      <c r="H1235" s="4">
        <v>35000</v>
      </c>
      <c r="I1235" s="4"/>
      <c r="J1235" s="4"/>
    </row>
    <row r="1236" spans="1:10">
      <c r="A1236" s="1">
        <v>1236</v>
      </c>
      <c r="B1236" s="1" t="s">
        <v>1436</v>
      </c>
      <c r="C1236" s="9">
        <v>45839</v>
      </c>
      <c r="D1236" s="1" t="s">
        <v>39</v>
      </c>
      <c r="E1236" s="1">
        <v>91884</v>
      </c>
      <c r="F1236" s="4">
        <f t="shared" si="15"/>
        <v>8403.361344537816</v>
      </c>
      <c r="G1236" s="4">
        <f t="shared" si="13"/>
        <v>1596.6386554621849</v>
      </c>
      <c r="H1236" s="4">
        <v>10000</v>
      </c>
      <c r="I1236" s="4"/>
      <c r="J1236" s="4"/>
    </row>
    <row r="1237" spans="1:10">
      <c r="A1237" s="1">
        <v>1237</v>
      </c>
      <c r="B1237" s="1" t="s">
        <v>1437</v>
      </c>
      <c r="C1237" s="9">
        <v>45839</v>
      </c>
      <c r="D1237" s="1" t="s">
        <v>39</v>
      </c>
      <c r="E1237" s="1">
        <v>91885</v>
      </c>
      <c r="F1237" s="4">
        <f t="shared" si="15"/>
        <v>30252.100840336137</v>
      </c>
      <c r="G1237" s="4">
        <f t="shared" si="13"/>
        <v>5747.8991596638662</v>
      </c>
      <c r="H1237" s="4">
        <v>36000</v>
      </c>
      <c r="I1237" s="4"/>
      <c r="J1237" s="4"/>
    </row>
    <row r="1238" spans="1:10">
      <c r="A1238" s="1">
        <v>1238</v>
      </c>
      <c r="B1238" s="1" t="s">
        <v>1438</v>
      </c>
      <c r="C1238" s="9">
        <v>45841</v>
      </c>
      <c r="D1238" s="1" t="s">
        <v>39</v>
      </c>
      <c r="E1238" s="1">
        <v>91886</v>
      </c>
      <c r="F1238" s="4">
        <f t="shared" si="15"/>
        <v>29411.764705882353</v>
      </c>
      <c r="G1238" s="4">
        <f t="shared" si="13"/>
        <v>5588.2352941176468</v>
      </c>
      <c r="H1238" s="4">
        <v>35000</v>
      </c>
      <c r="I1238" s="4"/>
      <c r="J1238" s="4"/>
    </row>
    <row r="1239" spans="1:10">
      <c r="A1239" s="1">
        <v>1239</v>
      </c>
      <c r="B1239" s="1" t="s">
        <v>1439</v>
      </c>
      <c r="C1239" s="9">
        <v>45841</v>
      </c>
      <c r="D1239" s="1" t="s">
        <v>39</v>
      </c>
      <c r="E1239" s="1">
        <v>91887</v>
      </c>
      <c r="F1239" s="4">
        <f t="shared" si="15"/>
        <v>33613.445378151264</v>
      </c>
      <c r="G1239" s="4">
        <f t="shared" si="13"/>
        <v>6386.5546218487398</v>
      </c>
      <c r="H1239" s="4">
        <v>40000</v>
      </c>
      <c r="I1239" s="4"/>
      <c r="J1239" s="4"/>
    </row>
    <row r="1240" spans="1:10">
      <c r="A1240" s="1">
        <v>1240</v>
      </c>
      <c r="B1240" s="1" t="s">
        <v>1440</v>
      </c>
      <c r="C1240" s="9">
        <v>45844</v>
      </c>
      <c r="D1240" s="1" t="s">
        <v>39</v>
      </c>
      <c r="E1240" s="1">
        <v>91888</v>
      </c>
      <c r="F1240" s="4">
        <f t="shared" si="15"/>
        <v>45210.08403361345</v>
      </c>
      <c r="G1240" s="4">
        <f t="shared" si="13"/>
        <v>8589.9159663865557</v>
      </c>
      <c r="H1240" s="4">
        <v>53800</v>
      </c>
      <c r="I1240" s="4"/>
      <c r="J1240" s="4"/>
    </row>
    <row r="1241" spans="1:10">
      <c r="A1241" s="1">
        <v>1241</v>
      </c>
      <c r="B1241" s="1" t="s">
        <v>1441</v>
      </c>
      <c r="C1241" s="9">
        <v>45844</v>
      </c>
      <c r="D1241" s="1" t="s">
        <v>39</v>
      </c>
      <c r="E1241" s="1">
        <v>91889</v>
      </c>
      <c r="F1241" s="4">
        <f t="shared" si="15"/>
        <v>27731.092436974792</v>
      </c>
      <c r="G1241" s="4">
        <f t="shared" si="13"/>
        <v>5268.9075630252109</v>
      </c>
      <c r="H1241" s="4">
        <v>33000</v>
      </c>
      <c r="I1241" s="4"/>
      <c r="J1241" s="4"/>
    </row>
    <row r="1242" spans="1:10">
      <c r="A1242" s="1">
        <v>1242</v>
      </c>
      <c r="B1242" s="1" t="s">
        <v>1442</v>
      </c>
      <c r="C1242" s="9">
        <v>45845</v>
      </c>
      <c r="D1242" s="1" t="s">
        <v>39</v>
      </c>
      <c r="E1242" s="1">
        <v>91890</v>
      </c>
      <c r="F1242" s="4">
        <f t="shared" si="15"/>
        <v>20264.705882352941</v>
      </c>
      <c r="G1242" s="4">
        <f t="shared" si="13"/>
        <v>3850.2941176470586</v>
      </c>
      <c r="H1242" s="4">
        <v>24115</v>
      </c>
      <c r="I1242" s="4"/>
      <c r="J1242" s="4"/>
    </row>
    <row r="1243" spans="1:10">
      <c r="A1243" s="1">
        <v>1243</v>
      </c>
      <c r="B1243" s="1" t="s">
        <v>1443</v>
      </c>
      <c r="C1243" s="9">
        <v>45846</v>
      </c>
      <c r="D1243" s="1" t="s">
        <v>39</v>
      </c>
      <c r="E1243" s="1">
        <v>91891</v>
      </c>
      <c r="F1243" s="4">
        <f t="shared" si="15"/>
        <v>41176.470588235294</v>
      </c>
      <c r="G1243" s="4">
        <f t="shared" si="13"/>
        <v>7823.5294117647063</v>
      </c>
      <c r="H1243" s="4">
        <v>49000</v>
      </c>
      <c r="I1243" s="4"/>
      <c r="J1243" s="4"/>
    </row>
    <row r="1244" spans="1:10">
      <c r="A1244" s="1">
        <v>1244</v>
      </c>
      <c r="B1244" s="1" t="s">
        <v>1444</v>
      </c>
      <c r="C1244" s="9">
        <v>45846</v>
      </c>
      <c r="D1244" s="1" t="s">
        <v>12</v>
      </c>
      <c r="E1244" s="1">
        <v>50</v>
      </c>
      <c r="F1244" s="4">
        <f t="shared" si="15"/>
        <v>18917.647058823532</v>
      </c>
      <c r="G1244" s="4">
        <f t="shared" si="13"/>
        <v>3594.3529411764712</v>
      </c>
      <c r="H1244" s="4">
        <v>22512</v>
      </c>
      <c r="I1244" s="4"/>
      <c r="J1244" s="4"/>
    </row>
    <row r="1245" spans="1:10">
      <c r="A1245" s="1">
        <v>1245</v>
      </c>
      <c r="B1245" s="1" t="s">
        <v>1445</v>
      </c>
      <c r="C1245" s="9">
        <v>45848</v>
      </c>
      <c r="D1245" s="1" t="s">
        <v>39</v>
      </c>
      <c r="E1245" s="1">
        <v>91892</v>
      </c>
      <c r="F1245" s="4">
        <f t="shared" si="15"/>
        <v>29411.764705882353</v>
      </c>
      <c r="G1245" s="4">
        <f t="shared" si="13"/>
        <v>5588.2352941176468</v>
      </c>
      <c r="H1245" s="4">
        <v>35000</v>
      </c>
      <c r="I1245" s="4"/>
      <c r="J1245" s="4"/>
    </row>
    <row r="1246" spans="1:10">
      <c r="A1246" s="1">
        <v>1246</v>
      </c>
      <c r="B1246" s="1" t="s">
        <v>1446</v>
      </c>
      <c r="C1246" s="9">
        <v>45848</v>
      </c>
      <c r="D1246" s="1" t="s">
        <v>39</v>
      </c>
      <c r="E1246" s="1">
        <v>91893</v>
      </c>
      <c r="F1246" s="4">
        <f t="shared" si="15"/>
        <v>40756.302521008409</v>
      </c>
      <c r="G1246" s="4">
        <f t="shared" si="13"/>
        <v>7743.6974789915976</v>
      </c>
      <c r="H1246" s="4">
        <v>48500</v>
      </c>
      <c r="I1246" s="4"/>
      <c r="J1246" s="4"/>
    </row>
    <row r="1247" spans="1:10">
      <c r="A1247" s="1">
        <v>1247</v>
      </c>
      <c r="B1247" s="1" t="s">
        <v>1447</v>
      </c>
      <c r="C1247" s="9">
        <v>45852</v>
      </c>
      <c r="D1247" s="1" t="s">
        <v>39</v>
      </c>
      <c r="E1247" s="1">
        <v>91894</v>
      </c>
      <c r="F1247" s="4">
        <f t="shared" si="15"/>
        <v>62184.873949579836</v>
      </c>
      <c r="G1247" s="4">
        <f t="shared" si="13"/>
        <v>11815.126050420169</v>
      </c>
      <c r="H1247" s="4">
        <v>74000</v>
      </c>
      <c r="I1247" s="4"/>
      <c r="J1247" s="4"/>
    </row>
    <row r="1248" spans="1:10">
      <c r="A1248" s="1">
        <v>1248</v>
      </c>
      <c r="B1248" s="1" t="s">
        <v>1448</v>
      </c>
      <c r="C1248" s="9">
        <v>45852</v>
      </c>
      <c r="D1248" s="1" t="s">
        <v>39</v>
      </c>
      <c r="E1248" s="1">
        <v>91895</v>
      </c>
      <c r="F1248" s="4">
        <f t="shared" si="15"/>
        <v>39495.798319327732</v>
      </c>
      <c r="G1248" s="4">
        <f t="shared" si="13"/>
        <v>7504.2016806722695</v>
      </c>
      <c r="H1248" s="4">
        <v>47000</v>
      </c>
      <c r="I1248" s="4"/>
      <c r="J1248" s="4"/>
    </row>
    <row r="1249" spans="1:10">
      <c r="A1249" s="1">
        <v>1249</v>
      </c>
      <c r="B1249" s="1" t="s">
        <v>1449</v>
      </c>
      <c r="C1249" s="9">
        <v>45853</v>
      </c>
      <c r="D1249" s="1" t="s">
        <v>39</v>
      </c>
      <c r="E1249" s="1">
        <v>91896</v>
      </c>
      <c r="F1249" s="4">
        <f t="shared" si="15"/>
        <v>37899.159663865546</v>
      </c>
      <c r="G1249" s="4">
        <f t="shared" si="13"/>
        <v>7200.8403361344535</v>
      </c>
      <c r="H1249" s="4">
        <v>45100</v>
      </c>
      <c r="I1249" s="4"/>
      <c r="J1249" s="4"/>
    </row>
    <row r="1250" spans="1:10">
      <c r="A1250" s="1">
        <v>1250</v>
      </c>
      <c r="B1250" s="1" t="s">
        <v>1450</v>
      </c>
      <c r="C1250" s="9">
        <v>45854</v>
      </c>
      <c r="D1250" s="1" t="s">
        <v>39</v>
      </c>
      <c r="E1250" s="1">
        <v>91897</v>
      </c>
      <c r="F1250" s="4">
        <f t="shared" si="15"/>
        <v>33613.445378151264</v>
      </c>
      <c r="G1250" s="4">
        <f t="shared" si="13"/>
        <v>6386.5546218487398</v>
      </c>
      <c r="H1250" s="4">
        <v>40000</v>
      </c>
      <c r="I1250" s="4"/>
      <c r="J1250" s="4"/>
    </row>
    <row r="1251" spans="1:10">
      <c r="A1251" s="1">
        <v>1251</v>
      </c>
      <c r="B1251" s="1" t="s">
        <v>1451</v>
      </c>
      <c r="C1251" s="9">
        <v>45854</v>
      </c>
      <c r="D1251" s="1" t="s">
        <v>39</v>
      </c>
      <c r="E1251" s="1">
        <v>91898</v>
      </c>
      <c r="F1251" s="4">
        <f t="shared" si="15"/>
        <v>39243.697478991598</v>
      </c>
      <c r="G1251" s="4">
        <f t="shared" si="13"/>
        <v>7456.3025210084033</v>
      </c>
      <c r="H1251" s="4">
        <v>46700</v>
      </c>
      <c r="I1251" s="4"/>
      <c r="J1251" s="4"/>
    </row>
    <row r="1252" spans="1:10">
      <c r="A1252" s="1">
        <v>1252</v>
      </c>
      <c r="B1252" s="1" t="s">
        <v>1452</v>
      </c>
      <c r="C1252" s="9">
        <v>45854</v>
      </c>
      <c r="D1252" s="1" t="s">
        <v>39</v>
      </c>
      <c r="E1252" s="1">
        <v>91899</v>
      </c>
      <c r="F1252" s="4">
        <f t="shared" si="15"/>
        <v>25210.084033613446</v>
      </c>
      <c r="G1252" s="4">
        <f t="shared" si="13"/>
        <v>4789.9159663865548</v>
      </c>
      <c r="H1252" s="4">
        <v>30000</v>
      </c>
      <c r="I1252" s="4"/>
      <c r="J1252" s="4"/>
    </row>
    <row r="1253" spans="1:10">
      <c r="A1253" s="1">
        <v>1253</v>
      </c>
      <c r="B1253" s="1" t="s">
        <v>1453</v>
      </c>
      <c r="C1253" s="9">
        <v>45855</v>
      </c>
      <c r="D1253" s="1" t="s">
        <v>39</v>
      </c>
      <c r="E1253" s="1">
        <v>91900</v>
      </c>
      <c r="F1253" s="4">
        <f t="shared" si="15"/>
        <v>8403.361344537816</v>
      </c>
      <c r="G1253" s="4">
        <f t="shared" si="13"/>
        <v>1596.6386554621849</v>
      </c>
      <c r="H1253" s="4">
        <v>10000</v>
      </c>
      <c r="I1253" s="4"/>
      <c r="J1253" s="4"/>
    </row>
    <row r="1254" spans="1:10">
      <c r="A1254" s="1">
        <v>1254</v>
      </c>
      <c r="B1254" s="1" t="s">
        <v>1454</v>
      </c>
      <c r="C1254" s="9">
        <v>45855</v>
      </c>
      <c r="D1254" s="1" t="s">
        <v>39</v>
      </c>
      <c r="E1254" s="1">
        <v>91901</v>
      </c>
      <c r="F1254" s="4">
        <f t="shared" si="15"/>
        <v>44932.773109243702</v>
      </c>
      <c r="G1254" s="4">
        <f t="shared" si="13"/>
        <v>8537.226890756303</v>
      </c>
      <c r="H1254" s="4">
        <v>53470</v>
      </c>
      <c r="I1254" s="4"/>
      <c r="J1254" s="4"/>
    </row>
    <row r="1255" spans="1:10">
      <c r="A1255" s="1">
        <v>1255</v>
      </c>
      <c r="B1255" s="1" t="s">
        <v>966</v>
      </c>
      <c r="C1255" s="9">
        <v>45857</v>
      </c>
      <c r="D1255" s="1" t="s">
        <v>39</v>
      </c>
      <c r="E1255" s="1">
        <v>91902</v>
      </c>
      <c r="F1255" s="4">
        <f t="shared" si="15"/>
        <v>27731.092436974792</v>
      </c>
      <c r="G1255" s="4">
        <f t="shared" si="13"/>
        <v>5268.9075630252109</v>
      </c>
      <c r="H1255" s="4">
        <v>33000</v>
      </c>
      <c r="I1255" s="4"/>
      <c r="J1255" s="4"/>
    </row>
    <row r="1256" spans="1:10">
      <c r="A1256" s="1">
        <v>1256</v>
      </c>
      <c r="B1256" s="1" t="s">
        <v>1455</v>
      </c>
      <c r="C1256" s="9">
        <v>45858</v>
      </c>
      <c r="D1256" s="1" t="s">
        <v>39</v>
      </c>
      <c r="E1256" s="1">
        <v>91903</v>
      </c>
      <c r="F1256" s="4">
        <f t="shared" si="15"/>
        <v>27731.092436974792</v>
      </c>
      <c r="G1256" s="4">
        <f t="shared" si="13"/>
        <v>5268.9075630252109</v>
      </c>
      <c r="H1256" s="4">
        <v>33000</v>
      </c>
      <c r="I1256" s="4"/>
      <c r="J1256" s="4"/>
    </row>
    <row r="1257" spans="1:10">
      <c r="A1257" s="1">
        <v>1257</v>
      </c>
      <c r="B1257" s="1" t="s">
        <v>1456</v>
      </c>
      <c r="C1257" s="9">
        <v>45859</v>
      </c>
      <c r="D1257" s="1" t="s">
        <v>39</v>
      </c>
      <c r="E1257" s="1">
        <v>91904</v>
      </c>
      <c r="F1257" s="4">
        <f t="shared" si="15"/>
        <v>21848.73949579832</v>
      </c>
      <c r="G1257" s="4">
        <f t="shared" si="13"/>
        <v>4151.2605042016812</v>
      </c>
      <c r="H1257" s="4">
        <v>26000</v>
      </c>
      <c r="I1257" s="4"/>
      <c r="J1257" s="4"/>
    </row>
    <row r="1258" spans="1:10">
      <c r="A1258" s="1">
        <v>1258</v>
      </c>
      <c r="B1258" s="1" t="s">
        <v>1457</v>
      </c>
      <c r="C1258" s="9">
        <v>45859</v>
      </c>
      <c r="D1258" s="1" t="s">
        <v>39</v>
      </c>
      <c r="E1258" s="1">
        <v>91905</v>
      </c>
      <c r="F1258" s="4">
        <f t="shared" si="15"/>
        <v>33613.445378151264</v>
      </c>
      <c r="G1258" s="4">
        <f t="shared" si="13"/>
        <v>6386.5546218487398</v>
      </c>
      <c r="H1258" s="4">
        <v>40000</v>
      </c>
      <c r="I1258" s="4"/>
      <c r="J1258" s="4"/>
    </row>
    <row r="1259" spans="1:10">
      <c r="A1259" s="1">
        <v>1259</v>
      </c>
      <c r="B1259" s="1" t="s">
        <v>1458</v>
      </c>
      <c r="C1259" s="9">
        <v>45860</v>
      </c>
      <c r="D1259" s="1" t="s">
        <v>39</v>
      </c>
      <c r="E1259" s="1">
        <v>91906</v>
      </c>
      <c r="F1259" s="4">
        <f t="shared" si="15"/>
        <v>11764.705882352942</v>
      </c>
      <c r="G1259" s="4">
        <f t="shared" si="13"/>
        <v>2235.294117647059</v>
      </c>
      <c r="H1259" s="4">
        <v>14000</v>
      </c>
      <c r="I1259" s="4"/>
      <c r="J1259" s="4"/>
    </row>
    <row r="1260" spans="1:10">
      <c r="A1260" s="1">
        <v>1260</v>
      </c>
      <c r="B1260" s="1" t="s">
        <v>1459</v>
      </c>
      <c r="C1260" s="9">
        <v>45861</v>
      </c>
      <c r="D1260" s="1" t="s">
        <v>39</v>
      </c>
      <c r="E1260" s="1">
        <v>91907</v>
      </c>
      <c r="F1260" s="4">
        <f t="shared" si="15"/>
        <v>106218.48739495799</v>
      </c>
      <c r="G1260" s="4">
        <f t="shared" si="13"/>
        <v>20181.512605042019</v>
      </c>
      <c r="H1260" s="4">
        <v>126400</v>
      </c>
      <c r="I1260" s="4"/>
      <c r="J1260" s="4"/>
    </row>
    <row r="1261" spans="1:10">
      <c r="A1261" s="1">
        <v>1261</v>
      </c>
      <c r="B1261" s="1" t="s">
        <v>1460</v>
      </c>
      <c r="C1261" s="9">
        <v>45861</v>
      </c>
      <c r="D1261" s="1" t="s">
        <v>39</v>
      </c>
      <c r="E1261" s="1">
        <v>91908</v>
      </c>
      <c r="F1261" s="4">
        <f t="shared" si="15"/>
        <v>38655.462184873948</v>
      </c>
      <c r="G1261" s="4">
        <f t="shared" si="13"/>
        <v>7344.5378151260502</v>
      </c>
      <c r="H1261" s="4">
        <v>46000</v>
      </c>
      <c r="I1261" s="4"/>
      <c r="J1261" s="4"/>
    </row>
    <row r="1262" spans="1:10">
      <c r="A1262" s="1">
        <v>1262</v>
      </c>
      <c r="B1262" s="1" t="s">
        <v>1461</v>
      </c>
      <c r="C1262" s="9">
        <v>45862</v>
      </c>
      <c r="D1262" s="1" t="s">
        <v>39</v>
      </c>
      <c r="E1262" s="1">
        <v>91909</v>
      </c>
      <c r="F1262" s="4">
        <f t="shared" si="15"/>
        <v>25210.084033613446</v>
      </c>
      <c r="G1262" s="4">
        <f t="shared" si="13"/>
        <v>4789.9159663865548</v>
      </c>
      <c r="H1262" s="4">
        <v>30000</v>
      </c>
      <c r="I1262" s="4"/>
      <c r="J1262" s="4"/>
    </row>
    <row r="1263" spans="1:10">
      <c r="A1263" s="1">
        <v>1263</v>
      </c>
      <c r="B1263" s="1" t="s">
        <v>1462</v>
      </c>
      <c r="C1263" s="9">
        <v>45864</v>
      </c>
      <c r="D1263" s="1" t="s">
        <v>39</v>
      </c>
      <c r="E1263" s="1">
        <v>91910</v>
      </c>
      <c r="F1263" s="4">
        <f t="shared" si="15"/>
        <v>40336.134453781517</v>
      </c>
      <c r="G1263" s="4">
        <f t="shared" si="13"/>
        <v>7663.8655462184879</v>
      </c>
      <c r="H1263" s="4">
        <v>48000</v>
      </c>
      <c r="I1263" s="4"/>
      <c r="J1263" s="4"/>
    </row>
    <row r="1264" spans="1:10">
      <c r="A1264" s="1">
        <v>1264</v>
      </c>
      <c r="B1264" s="1" t="s">
        <v>1463</v>
      </c>
      <c r="C1264" s="9">
        <v>45866</v>
      </c>
      <c r="D1264" s="1" t="s">
        <v>39</v>
      </c>
      <c r="E1264" s="1">
        <v>91911</v>
      </c>
      <c r="F1264" s="4">
        <f t="shared" si="15"/>
        <v>11344.53781512605</v>
      </c>
      <c r="G1264" s="4">
        <f t="shared" si="13"/>
        <v>2155.4621848739494</v>
      </c>
      <c r="H1264" s="4">
        <v>13500</v>
      </c>
      <c r="I1264" s="4"/>
      <c r="J1264" s="4"/>
    </row>
    <row r="1265" spans="1:10">
      <c r="A1265" s="1">
        <v>1265</v>
      </c>
      <c r="B1265" s="1" t="s">
        <v>1464</v>
      </c>
      <c r="C1265" s="9">
        <v>45866</v>
      </c>
      <c r="D1265" s="1" t="s">
        <v>12</v>
      </c>
      <c r="E1265" s="1">
        <v>51</v>
      </c>
      <c r="F1265" s="4">
        <f t="shared" si="15"/>
        <v>52941.176470588238</v>
      </c>
      <c r="G1265" s="4">
        <f t="shared" si="13"/>
        <v>10058.823529411766</v>
      </c>
      <c r="H1265" s="4">
        <v>63000</v>
      </c>
      <c r="I1265" s="4"/>
      <c r="J1265" s="4"/>
    </row>
    <row r="1266" spans="1:10">
      <c r="A1266" s="1">
        <v>1266</v>
      </c>
      <c r="B1266" s="1" t="s">
        <v>1465</v>
      </c>
      <c r="C1266" s="9">
        <v>45868</v>
      </c>
      <c r="D1266" s="1" t="s">
        <v>39</v>
      </c>
      <c r="E1266" s="1">
        <v>91912</v>
      </c>
      <c r="F1266" s="4">
        <f t="shared" si="15"/>
        <v>8403.361344537816</v>
      </c>
      <c r="G1266" s="4">
        <f t="shared" si="13"/>
        <v>1596.6386554621849</v>
      </c>
      <c r="H1266" s="4">
        <v>10000</v>
      </c>
      <c r="I1266" s="4"/>
      <c r="J1266" s="4"/>
    </row>
    <row r="1267" spans="1:10">
      <c r="A1267" s="1">
        <v>1267</v>
      </c>
      <c r="B1267" s="1" t="s">
        <v>1466</v>
      </c>
      <c r="C1267" s="9">
        <v>45868</v>
      </c>
      <c r="D1267" s="1" t="s">
        <v>39</v>
      </c>
      <c r="E1267" s="1">
        <v>91913</v>
      </c>
      <c r="F1267" s="4">
        <f t="shared" si="15"/>
        <v>37815.126050420171</v>
      </c>
      <c r="G1267" s="4">
        <f t="shared" si="13"/>
        <v>7184.8739495798327</v>
      </c>
      <c r="H1267" s="4">
        <v>45000</v>
      </c>
      <c r="I1267" s="4"/>
      <c r="J1267" s="4"/>
    </row>
    <row r="1268" spans="1:10">
      <c r="A1268" s="1">
        <v>1268</v>
      </c>
      <c r="B1268" s="1" t="s">
        <v>1467</v>
      </c>
      <c r="C1268" s="9">
        <v>45869</v>
      </c>
      <c r="D1268" s="1" t="s">
        <v>39</v>
      </c>
      <c r="E1268" s="1">
        <v>91914</v>
      </c>
      <c r="F1268" s="4">
        <f t="shared" si="15"/>
        <v>16806.722689075632</v>
      </c>
      <c r="G1268" s="4">
        <f t="shared" si="13"/>
        <v>3193.2773109243699</v>
      </c>
      <c r="H1268" s="4">
        <v>20000</v>
      </c>
      <c r="I1268" s="4"/>
      <c r="J1268" s="4"/>
    </row>
    <row r="1269" spans="1:10">
      <c r="A1269" s="1">
        <v>1269</v>
      </c>
      <c r="B1269" s="1" t="s">
        <v>1468</v>
      </c>
      <c r="C1269" s="9">
        <v>45871</v>
      </c>
      <c r="D1269" s="1" t="s">
        <v>39</v>
      </c>
      <c r="E1269" s="1">
        <v>91915</v>
      </c>
      <c r="F1269" s="4">
        <f t="shared" si="15"/>
        <v>25210.084033613446</v>
      </c>
      <c r="G1269" s="4">
        <f t="shared" si="13"/>
        <v>4789.9159663865548</v>
      </c>
      <c r="H1269" s="4">
        <v>30000</v>
      </c>
      <c r="I1269" s="4"/>
      <c r="J1269" s="4"/>
    </row>
    <row r="1270" spans="1:10">
      <c r="A1270" s="1">
        <v>1270</v>
      </c>
      <c r="B1270" s="1" t="s">
        <v>1455</v>
      </c>
      <c r="C1270" s="9">
        <v>45873</v>
      </c>
      <c r="D1270" s="1" t="s">
        <v>39</v>
      </c>
      <c r="E1270" s="1">
        <v>91916</v>
      </c>
      <c r="F1270" s="4">
        <f t="shared" si="15"/>
        <v>29411.764705882353</v>
      </c>
      <c r="G1270" s="4">
        <f t="shared" si="13"/>
        <v>5588.2352941176468</v>
      </c>
      <c r="H1270" s="4">
        <v>35000</v>
      </c>
      <c r="I1270" s="4"/>
      <c r="J1270" s="4"/>
    </row>
    <row r="1271" spans="1:10">
      <c r="A1271" s="1">
        <v>1271</v>
      </c>
      <c r="B1271" s="1" t="s">
        <v>1469</v>
      </c>
      <c r="C1271" s="9">
        <v>45874</v>
      </c>
      <c r="D1271" s="1" t="s">
        <v>39</v>
      </c>
      <c r="E1271" s="1">
        <v>91917</v>
      </c>
      <c r="F1271" s="4">
        <f t="shared" si="15"/>
        <v>42857.142857142862</v>
      </c>
      <c r="G1271" s="4">
        <f t="shared" si="13"/>
        <v>8142.857142857144</v>
      </c>
      <c r="H1271" s="4">
        <v>51000</v>
      </c>
      <c r="I1271" s="4"/>
      <c r="J1271" s="4"/>
    </row>
    <row r="1272" spans="1:10">
      <c r="A1272" s="1">
        <v>1272</v>
      </c>
      <c r="B1272" s="1" t="s">
        <v>1236</v>
      </c>
      <c r="C1272" s="9">
        <v>45874</v>
      </c>
      <c r="D1272" s="1" t="s">
        <v>39</v>
      </c>
      <c r="E1272" s="1">
        <v>91918</v>
      </c>
      <c r="F1272" s="4">
        <f t="shared" si="15"/>
        <v>21008.403361344539</v>
      </c>
      <c r="G1272" s="4">
        <f t="shared" si="13"/>
        <v>3991.5966386554624</v>
      </c>
      <c r="H1272" s="4">
        <v>25000</v>
      </c>
      <c r="I1272" s="4"/>
      <c r="J1272" s="4"/>
    </row>
    <row r="1273" spans="1:10">
      <c r="A1273" s="1">
        <v>1273</v>
      </c>
      <c r="B1273" s="1" t="s">
        <v>1470</v>
      </c>
      <c r="C1273" s="9">
        <v>45875</v>
      </c>
      <c r="D1273" s="1" t="s">
        <v>39</v>
      </c>
      <c r="E1273" s="1">
        <v>91919</v>
      </c>
      <c r="F1273" s="4">
        <f t="shared" si="15"/>
        <v>33613.445378151264</v>
      </c>
      <c r="G1273" s="4">
        <f t="shared" si="13"/>
        <v>6386.5546218487398</v>
      </c>
      <c r="H1273" s="4">
        <v>40000</v>
      </c>
      <c r="I1273" s="4"/>
      <c r="J1273" s="4"/>
    </row>
    <row r="1274" spans="1:10">
      <c r="A1274" s="1">
        <v>1274</v>
      </c>
      <c r="B1274" s="1" t="s">
        <v>1471</v>
      </c>
      <c r="C1274" s="9">
        <v>45876</v>
      </c>
      <c r="D1274" s="1" t="s">
        <v>39</v>
      </c>
      <c r="E1274" s="1">
        <v>91920</v>
      </c>
      <c r="F1274" s="4">
        <f t="shared" si="15"/>
        <v>37815.126050420171</v>
      </c>
      <c r="G1274" s="4">
        <f t="shared" si="13"/>
        <v>7184.8739495798327</v>
      </c>
      <c r="H1274" s="4">
        <v>45000</v>
      </c>
      <c r="I1274" s="4"/>
      <c r="J1274" s="4"/>
    </row>
    <row r="1275" spans="1:10">
      <c r="A1275" s="1">
        <v>1275</v>
      </c>
      <c r="B1275" s="1" t="s">
        <v>1472</v>
      </c>
      <c r="C1275" s="9">
        <v>45878</v>
      </c>
      <c r="D1275" s="1" t="s">
        <v>39</v>
      </c>
      <c r="E1275" s="1">
        <v>91921</v>
      </c>
      <c r="F1275" s="4">
        <f t="shared" si="15"/>
        <v>12596.638655462186</v>
      </c>
      <c r="G1275" s="4">
        <f t="shared" si="13"/>
        <v>2393.3613445378155</v>
      </c>
      <c r="H1275" s="4">
        <v>14990</v>
      </c>
      <c r="I1275" s="4"/>
      <c r="J1275" s="4"/>
    </row>
    <row r="1276" spans="1:10">
      <c r="A1276" s="1">
        <v>1276</v>
      </c>
      <c r="B1276" s="1" t="s">
        <v>1473</v>
      </c>
      <c r="C1276" s="9">
        <v>45878</v>
      </c>
      <c r="D1276" s="1" t="s">
        <v>12</v>
      </c>
      <c r="E1276" s="1">
        <v>52</v>
      </c>
      <c r="F1276" s="4">
        <f t="shared" si="15"/>
        <v>42773.10924369748</v>
      </c>
      <c r="G1276" s="4">
        <f t="shared" si="13"/>
        <v>8126.8907563025214</v>
      </c>
      <c r="H1276" s="4">
        <v>50900</v>
      </c>
      <c r="I1276" s="4"/>
      <c r="J1276" s="4"/>
    </row>
    <row r="1277" spans="1:10">
      <c r="A1277" s="1">
        <v>1277</v>
      </c>
      <c r="B1277" s="1" t="s">
        <v>705</v>
      </c>
      <c r="C1277" s="9">
        <v>45879</v>
      </c>
      <c r="D1277" s="1" t="s">
        <v>39</v>
      </c>
      <c r="E1277" s="1">
        <v>91922</v>
      </c>
      <c r="F1277" s="4">
        <f t="shared" si="15"/>
        <v>31092.436974789918</v>
      </c>
      <c r="G1277" s="4">
        <f t="shared" si="13"/>
        <v>5907.5630252100846</v>
      </c>
      <c r="H1277" s="4">
        <v>37000</v>
      </c>
      <c r="I1277" s="4"/>
      <c r="J1277" s="4"/>
    </row>
    <row r="1278" spans="1:10">
      <c r="A1278" s="1">
        <v>1278</v>
      </c>
      <c r="B1278" s="1" t="s">
        <v>1474</v>
      </c>
      <c r="C1278" s="9">
        <v>45879</v>
      </c>
      <c r="D1278" s="1" t="s">
        <v>39</v>
      </c>
      <c r="E1278" s="1">
        <v>91923</v>
      </c>
      <c r="F1278" s="4">
        <f t="shared" si="15"/>
        <v>2941.1764705882356</v>
      </c>
      <c r="G1278" s="4">
        <f t="shared" si="13"/>
        <v>558.82352941176475</v>
      </c>
      <c r="H1278" s="4">
        <v>3500</v>
      </c>
      <c r="I1278" s="4"/>
      <c r="J1278" s="4"/>
    </row>
    <row r="1279" spans="1:10">
      <c r="A1279" s="1">
        <v>1279</v>
      </c>
      <c r="B1279" s="1" t="s">
        <v>1475</v>
      </c>
      <c r="C1279" s="9">
        <v>45880</v>
      </c>
      <c r="D1279" s="1" t="s">
        <v>39</v>
      </c>
      <c r="E1279" s="1">
        <v>91924</v>
      </c>
      <c r="F1279" s="4">
        <f t="shared" si="15"/>
        <v>4201.680672268908</v>
      </c>
      <c r="G1279" s="4">
        <f t="shared" si="13"/>
        <v>798.31932773109247</v>
      </c>
      <c r="H1279" s="4">
        <v>5000</v>
      </c>
      <c r="I1279" s="4"/>
      <c r="J1279" s="4"/>
    </row>
    <row r="1280" spans="1:10">
      <c r="A1280" s="1">
        <v>1280</v>
      </c>
      <c r="B1280" s="1" t="s">
        <v>1476</v>
      </c>
      <c r="C1280" s="9">
        <v>45880</v>
      </c>
      <c r="D1280" s="1" t="s">
        <v>39</v>
      </c>
      <c r="E1280" s="1">
        <v>91925</v>
      </c>
      <c r="F1280" s="4">
        <f t="shared" si="15"/>
        <v>26470.588235294119</v>
      </c>
      <c r="G1280" s="4">
        <f t="shared" si="13"/>
        <v>5029.4117647058829</v>
      </c>
      <c r="H1280" s="4">
        <v>31500</v>
      </c>
      <c r="I1280" s="4"/>
      <c r="J1280" s="4"/>
    </row>
    <row r="1281" spans="1:10">
      <c r="A1281" s="1">
        <v>1281</v>
      </c>
      <c r="B1281" s="1" t="s">
        <v>1477</v>
      </c>
      <c r="C1281" s="9">
        <v>45882</v>
      </c>
      <c r="D1281" s="1" t="s">
        <v>39</v>
      </c>
      <c r="E1281" s="1">
        <v>91926</v>
      </c>
      <c r="F1281" s="4">
        <f t="shared" si="15"/>
        <v>37815.126050420171</v>
      </c>
      <c r="G1281" s="4">
        <f t="shared" si="13"/>
        <v>7184.8739495798327</v>
      </c>
      <c r="H1281" s="4">
        <v>45000</v>
      </c>
      <c r="I1281" s="4"/>
      <c r="J1281" s="4"/>
    </row>
    <row r="1282" spans="1:10">
      <c r="A1282" s="1">
        <v>1282</v>
      </c>
      <c r="B1282" s="1" t="s">
        <v>1478</v>
      </c>
      <c r="C1282" s="9">
        <v>45883</v>
      </c>
      <c r="D1282" s="1" t="s">
        <v>39</v>
      </c>
      <c r="E1282" s="1">
        <v>91927</v>
      </c>
      <c r="F1282" s="4">
        <f t="shared" si="15"/>
        <v>31512.605042016807</v>
      </c>
      <c r="G1282" s="4">
        <f t="shared" si="13"/>
        <v>5987.3949579831933</v>
      </c>
      <c r="H1282" s="4">
        <v>37500</v>
      </c>
      <c r="I1282" s="4"/>
      <c r="J1282" s="4"/>
    </row>
    <row r="1283" spans="1:10">
      <c r="A1283" s="1">
        <v>1283</v>
      </c>
      <c r="B1283" s="1" t="s">
        <v>1479</v>
      </c>
      <c r="C1283" s="9">
        <v>45888</v>
      </c>
      <c r="D1283" s="1" t="s">
        <v>12</v>
      </c>
      <c r="E1283" s="1">
        <v>53</v>
      </c>
      <c r="F1283" s="4">
        <f t="shared" si="15"/>
        <v>223152.9411764706</v>
      </c>
      <c r="G1283" s="4">
        <f t="shared" si="13"/>
        <v>42399.058823529413</v>
      </c>
      <c r="H1283" s="4">
        <v>265552</v>
      </c>
      <c r="I1283" s="4"/>
      <c r="J1283" s="4"/>
    </row>
    <row r="1284" spans="1:10">
      <c r="A1284" s="1">
        <v>1284</v>
      </c>
      <c r="B1284" s="1" t="s">
        <v>1480</v>
      </c>
      <c r="C1284" s="9">
        <v>45888</v>
      </c>
      <c r="D1284" s="1" t="s">
        <v>12</v>
      </c>
      <c r="E1284" s="1">
        <v>54</v>
      </c>
      <c r="F1284" s="4">
        <f t="shared" si="15"/>
        <v>58320.168067226892</v>
      </c>
      <c r="G1284" s="4">
        <f t="shared" si="13"/>
        <v>11080.83193277311</v>
      </c>
      <c r="H1284" s="4">
        <v>69401</v>
      </c>
      <c r="I1284" s="4"/>
      <c r="J1284" s="4"/>
    </row>
    <row r="1285" spans="1:10">
      <c r="A1285" s="1">
        <v>1285</v>
      </c>
      <c r="B1285" s="1" t="s">
        <v>1481</v>
      </c>
      <c r="C1285" s="9">
        <v>45891</v>
      </c>
      <c r="D1285" s="1" t="s">
        <v>39</v>
      </c>
      <c r="E1285" s="1">
        <v>91928</v>
      </c>
      <c r="F1285" s="4">
        <f t="shared" si="15"/>
        <v>33613.445378151264</v>
      </c>
      <c r="G1285" s="4">
        <f t="shared" si="13"/>
        <v>6386.5546218487398</v>
      </c>
      <c r="H1285" s="4">
        <v>40000</v>
      </c>
      <c r="I1285" s="4"/>
      <c r="J1285" s="4"/>
    </row>
    <row r="1286" spans="1:10">
      <c r="A1286" s="1">
        <v>1286</v>
      </c>
      <c r="B1286" s="1" t="s">
        <v>1482</v>
      </c>
      <c r="C1286" s="9">
        <v>45891</v>
      </c>
      <c r="D1286" s="1" t="s">
        <v>39</v>
      </c>
      <c r="E1286" s="1">
        <v>91929</v>
      </c>
      <c r="F1286" s="4">
        <f t="shared" si="15"/>
        <v>112100.84033613445</v>
      </c>
      <c r="G1286" s="4">
        <f t="shared" si="13"/>
        <v>21299.159663865546</v>
      </c>
      <c r="H1286" s="4">
        <v>133400</v>
      </c>
      <c r="I1286" s="4"/>
      <c r="J1286" s="4"/>
    </row>
    <row r="1287" spans="1:10">
      <c r="A1287" s="1">
        <v>1287</v>
      </c>
      <c r="B1287" s="1" t="s">
        <v>1483</v>
      </c>
      <c r="C1287" s="9">
        <v>45891</v>
      </c>
      <c r="D1287" s="1" t="s">
        <v>39</v>
      </c>
      <c r="E1287" s="1">
        <v>91930</v>
      </c>
      <c r="F1287" s="4">
        <f t="shared" si="15"/>
        <v>45378.151260504201</v>
      </c>
      <c r="G1287" s="4">
        <f t="shared" si="13"/>
        <v>8621.8487394957974</v>
      </c>
      <c r="H1287" s="4">
        <v>54000</v>
      </c>
      <c r="I1287" s="4"/>
      <c r="J1287" s="4"/>
    </row>
    <row r="1288" spans="1:10">
      <c r="A1288" s="1">
        <v>1288</v>
      </c>
      <c r="B1288" s="1" t="s">
        <v>1484</v>
      </c>
      <c r="C1288" s="9">
        <v>45892</v>
      </c>
      <c r="D1288" s="1" t="s">
        <v>12</v>
      </c>
      <c r="E1288" s="1">
        <v>55</v>
      </c>
      <c r="F1288" s="4">
        <f t="shared" si="15"/>
        <v>42857.142857142862</v>
      </c>
      <c r="G1288" s="4">
        <f t="shared" si="13"/>
        <v>8142.857142857144</v>
      </c>
      <c r="H1288" s="4">
        <v>51000</v>
      </c>
      <c r="I1288" s="4"/>
      <c r="J1288" s="4"/>
    </row>
    <row r="1289" spans="1:10">
      <c r="A1289" s="1">
        <v>1289</v>
      </c>
      <c r="B1289" s="1" t="s">
        <v>1485</v>
      </c>
      <c r="C1289" s="9">
        <v>45892</v>
      </c>
      <c r="D1289" s="1" t="s">
        <v>39</v>
      </c>
      <c r="E1289" s="1">
        <v>91931</v>
      </c>
      <c r="F1289" s="4">
        <f t="shared" si="15"/>
        <v>8403.361344537816</v>
      </c>
      <c r="G1289" s="4">
        <f t="shared" si="13"/>
        <v>1596.6386554621849</v>
      </c>
      <c r="H1289" s="4">
        <v>10000</v>
      </c>
      <c r="I1289" s="4"/>
      <c r="J1289" s="4"/>
    </row>
    <row r="1290" spans="1:10">
      <c r="A1290" s="1">
        <v>1290</v>
      </c>
      <c r="B1290" s="1" t="s">
        <v>1486</v>
      </c>
      <c r="C1290" s="9">
        <v>45895</v>
      </c>
      <c r="D1290" s="1" t="s">
        <v>39</v>
      </c>
      <c r="E1290" s="1">
        <v>91932</v>
      </c>
      <c r="F1290" s="4">
        <f t="shared" si="15"/>
        <v>43697.478991596639</v>
      </c>
      <c r="G1290" s="4">
        <f t="shared" si="13"/>
        <v>8302.5210084033624</v>
      </c>
      <c r="H1290" s="4">
        <v>52000</v>
      </c>
      <c r="I1290" s="4"/>
      <c r="J1290" s="4"/>
    </row>
    <row r="1291" spans="1:10">
      <c r="A1291" s="1">
        <v>1291</v>
      </c>
      <c r="B1291" s="1" t="s">
        <v>1487</v>
      </c>
      <c r="C1291" s="9">
        <v>45898</v>
      </c>
      <c r="D1291" s="1" t="s">
        <v>39</v>
      </c>
      <c r="E1291" s="1">
        <v>91933</v>
      </c>
      <c r="F1291" s="4">
        <f t="shared" si="15"/>
        <v>355462.18487394962</v>
      </c>
      <c r="G1291" s="4">
        <f t="shared" si="13"/>
        <v>67537.815126050424</v>
      </c>
      <c r="H1291" s="4">
        <v>423000</v>
      </c>
      <c r="I1291" s="4"/>
      <c r="J1291" s="4"/>
    </row>
    <row r="1292" spans="1:10">
      <c r="A1292" s="1">
        <v>1292</v>
      </c>
      <c r="B1292" s="1" t="s">
        <v>1488</v>
      </c>
      <c r="C1292" s="9">
        <v>45899</v>
      </c>
      <c r="D1292" s="1" t="s">
        <v>39</v>
      </c>
      <c r="E1292" s="1">
        <v>91934</v>
      </c>
      <c r="F1292" s="4">
        <f t="shared" si="15"/>
        <v>24369.747899159665</v>
      </c>
      <c r="G1292" s="4">
        <f t="shared" si="13"/>
        <v>4630.2521008403364</v>
      </c>
      <c r="H1292" s="4">
        <v>29000</v>
      </c>
      <c r="I1292" s="4"/>
      <c r="J1292" s="4"/>
    </row>
    <row r="1293" spans="1:10">
      <c r="A1293" s="1">
        <v>1293</v>
      </c>
      <c r="B1293" s="1" t="s">
        <v>1489</v>
      </c>
      <c r="C1293" s="9">
        <v>45902</v>
      </c>
      <c r="D1293" s="1" t="s">
        <v>39</v>
      </c>
      <c r="E1293" s="1">
        <v>91935</v>
      </c>
      <c r="F1293" s="4">
        <f t="shared" si="15"/>
        <v>29411.764705882353</v>
      </c>
      <c r="G1293" s="4">
        <f t="shared" si="13"/>
        <v>5588.2352941176468</v>
      </c>
      <c r="H1293" s="4">
        <v>35000</v>
      </c>
      <c r="I1293" s="4"/>
      <c r="J1293" s="4"/>
    </row>
    <row r="1294" spans="1:10">
      <c r="A1294" s="1">
        <v>1294</v>
      </c>
      <c r="B1294" s="1" t="s">
        <v>1490</v>
      </c>
      <c r="C1294" s="9">
        <v>45902</v>
      </c>
      <c r="D1294" s="1" t="s">
        <v>39</v>
      </c>
      <c r="E1294" s="1">
        <v>91936</v>
      </c>
      <c r="F1294" s="4">
        <f t="shared" si="15"/>
        <v>117647.05882352941</v>
      </c>
      <c r="G1294" s="4">
        <f t="shared" si="13"/>
        <v>22352.941176470587</v>
      </c>
      <c r="H1294" s="4">
        <v>140000</v>
      </c>
      <c r="I1294" s="4"/>
      <c r="J1294" s="4"/>
    </row>
    <row r="1295" spans="1:10">
      <c r="A1295" s="1">
        <v>1295</v>
      </c>
      <c r="B1295" s="1" t="s">
        <v>1491</v>
      </c>
      <c r="C1295" s="9">
        <v>45902</v>
      </c>
      <c r="D1295" s="1" t="s">
        <v>39</v>
      </c>
      <c r="E1295" s="1">
        <v>91937</v>
      </c>
      <c r="F1295" s="4">
        <f t="shared" si="15"/>
        <v>25210.084033613446</v>
      </c>
      <c r="G1295" s="4">
        <f t="shared" si="13"/>
        <v>4789.9159663865548</v>
      </c>
      <c r="H1295" s="4">
        <v>30000</v>
      </c>
      <c r="I1295" s="4"/>
      <c r="J1295" s="4"/>
    </row>
    <row r="1296" spans="1:10">
      <c r="A1296" s="1">
        <v>1296</v>
      </c>
      <c r="B1296" s="1" t="s">
        <v>1492</v>
      </c>
      <c r="C1296" s="9">
        <v>45904</v>
      </c>
      <c r="D1296" s="1" t="s">
        <v>39</v>
      </c>
      <c r="E1296" s="1">
        <v>91938</v>
      </c>
      <c r="F1296" s="4">
        <f t="shared" si="15"/>
        <v>42436.97478991597</v>
      </c>
      <c r="G1296" s="4">
        <f t="shared" si="13"/>
        <v>8063.0252100840344</v>
      </c>
      <c r="H1296" s="4">
        <v>50500</v>
      </c>
      <c r="I1296" s="4"/>
      <c r="J1296" s="4"/>
    </row>
    <row r="1297" spans="1:10">
      <c r="A1297" s="1">
        <v>1297</v>
      </c>
      <c r="B1297" s="1" t="s">
        <v>1493</v>
      </c>
      <c r="C1297" s="9">
        <v>45904</v>
      </c>
      <c r="D1297" s="1" t="s">
        <v>39</v>
      </c>
      <c r="E1297" s="1">
        <v>91939</v>
      </c>
      <c r="F1297" s="4">
        <f t="shared" si="15"/>
        <v>41176.470588235294</v>
      </c>
      <c r="G1297" s="4">
        <f t="shared" si="13"/>
        <v>7823.5294117647063</v>
      </c>
      <c r="H1297" s="4">
        <v>49000</v>
      </c>
      <c r="I1297" s="4"/>
      <c r="J1297" s="4"/>
    </row>
    <row r="1298" spans="1:10">
      <c r="A1298" s="1">
        <v>1298</v>
      </c>
      <c r="B1298" s="1" t="s">
        <v>1494</v>
      </c>
      <c r="C1298" s="9">
        <v>45904</v>
      </c>
      <c r="D1298" s="1" t="s">
        <v>39</v>
      </c>
      <c r="E1298" s="1">
        <v>91940</v>
      </c>
      <c r="F1298" s="4">
        <f t="shared" si="15"/>
        <v>50420.168067226892</v>
      </c>
      <c r="G1298" s="4">
        <f t="shared" si="13"/>
        <v>9579.8319327731097</v>
      </c>
      <c r="H1298" s="4">
        <v>60000</v>
      </c>
      <c r="I1298" s="4"/>
      <c r="J1298" s="4"/>
    </row>
    <row r="1299" spans="1:10">
      <c r="A1299" s="1">
        <v>1299</v>
      </c>
      <c r="B1299" s="1" t="s">
        <v>1495</v>
      </c>
      <c r="C1299" s="9">
        <v>45906</v>
      </c>
      <c r="D1299" s="1" t="s">
        <v>39</v>
      </c>
      <c r="E1299" s="1">
        <v>91941</v>
      </c>
      <c r="F1299" s="4">
        <f t="shared" si="15"/>
        <v>36134.45378151261</v>
      </c>
      <c r="G1299" s="4">
        <f t="shared" si="13"/>
        <v>6865.5462184873959</v>
      </c>
      <c r="H1299" s="4">
        <v>43000</v>
      </c>
      <c r="I1299" s="4"/>
      <c r="J1299" s="4"/>
    </row>
    <row r="1300" spans="1:10">
      <c r="A1300" s="1">
        <v>1300</v>
      </c>
      <c r="B1300" s="1" t="s">
        <v>1496</v>
      </c>
      <c r="C1300" s="9">
        <v>45906</v>
      </c>
      <c r="D1300" s="1" t="s">
        <v>39</v>
      </c>
      <c r="E1300" s="1">
        <v>91942</v>
      </c>
      <c r="F1300" s="4">
        <f t="shared" si="15"/>
        <v>35714.285714285717</v>
      </c>
      <c r="G1300" s="4">
        <f t="shared" si="13"/>
        <v>6785.7142857142862</v>
      </c>
      <c r="H1300" s="4">
        <v>42500</v>
      </c>
      <c r="I1300" s="4"/>
      <c r="J1300" s="4"/>
    </row>
    <row r="1301" spans="1:10">
      <c r="A1301" s="1">
        <v>1301</v>
      </c>
      <c r="B1301" s="1" t="s">
        <v>1294</v>
      </c>
      <c r="C1301" s="9">
        <v>45907</v>
      </c>
      <c r="D1301" s="1" t="s">
        <v>39</v>
      </c>
      <c r="E1301" s="1">
        <v>91943</v>
      </c>
      <c r="F1301" s="4">
        <f t="shared" si="15"/>
        <v>29411.764705882353</v>
      </c>
      <c r="G1301" s="4">
        <f t="shared" si="13"/>
        <v>5588.2352941176468</v>
      </c>
      <c r="H1301" s="4">
        <v>35000</v>
      </c>
      <c r="I1301" s="4"/>
      <c r="J1301" s="4"/>
    </row>
    <row r="1302" spans="1:10">
      <c r="A1302" s="1">
        <v>1302</v>
      </c>
      <c r="B1302" s="1" t="s">
        <v>1497</v>
      </c>
      <c r="C1302" s="9">
        <v>45908</v>
      </c>
      <c r="D1302" s="1" t="s">
        <v>39</v>
      </c>
      <c r="E1302" s="1">
        <v>91944</v>
      </c>
      <c r="F1302" s="4">
        <f t="shared" si="15"/>
        <v>8403.361344537816</v>
      </c>
      <c r="G1302" s="4">
        <f t="shared" si="13"/>
        <v>1596.6386554621849</v>
      </c>
      <c r="H1302" s="4">
        <v>10000</v>
      </c>
      <c r="I1302" s="4"/>
      <c r="J1302" s="4"/>
    </row>
    <row r="1303" spans="1:10">
      <c r="A1303" s="1">
        <v>1303</v>
      </c>
      <c r="B1303" s="1" t="s">
        <v>1498</v>
      </c>
      <c r="C1303" s="9">
        <v>45908</v>
      </c>
      <c r="D1303" s="1" t="s">
        <v>39</v>
      </c>
      <c r="E1303" s="1">
        <v>91945</v>
      </c>
      <c r="F1303" s="4">
        <f t="shared" si="15"/>
        <v>33613.445378151264</v>
      </c>
      <c r="G1303" s="4">
        <f t="shared" si="13"/>
        <v>6386.5546218487398</v>
      </c>
      <c r="H1303" s="4">
        <v>40000</v>
      </c>
      <c r="I1303" s="4"/>
      <c r="J1303" s="4"/>
    </row>
    <row r="1304" spans="1:10">
      <c r="A1304" s="1">
        <v>1304</v>
      </c>
      <c r="B1304" s="1" t="s">
        <v>1361</v>
      </c>
      <c r="C1304" s="9">
        <v>45909</v>
      </c>
      <c r="D1304" s="1" t="s">
        <v>39</v>
      </c>
      <c r="E1304" s="1">
        <v>91946</v>
      </c>
      <c r="F1304" s="4">
        <f t="shared" si="15"/>
        <v>29411.764705882353</v>
      </c>
      <c r="G1304" s="4">
        <f t="shared" si="13"/>
        <v>5588.2352941176468</v>
      </c>
      <c r="H1304" s="4">
        <v>35000</v>
      </c>
      <c r="I1304" s="4"/>
      <c r="J1304" s="4"/>
    </row>
    <row r="1305" spans="1:10">
      <c r="A1305" s="1">
        <v>1305</v>
      </c>
      <c r="B1305" s="1" t="s">
        <v>1499</v>
      </c>
      <c r="C1305" s="9">
        <v>45909</v>
      </c>
      <c r="D1305" s="1" t="s">
        <v>39</v>
      </c>
      <c r="E1305" s="1">
        <v>91947</v>
      </c>
      <c r="F1305" s="4">
        <f t="shared" si="15"/>
        <v>135798.31932773109</v>
      </c>
      <c r="G1305" s="4">
        <f t="shared" si="13"/>
        <v>25801.680672268907</v>
      </c>
      <c r="H1305" s="4">
        <v>161600</v>
      </c>
      <c r="I1305" s="4"/>
      <c r="J1305" s="4"/>
    </row>
    <row r="1306" spans="1:10">
      <c r="A1306" s="1">
        <v>1306</v>
      </c>
      <c r="B1306" s="1" t="s">
        <v>1500</v>
      </c>
      <c r="C1306" s="9">
        <v>45909</v>
      </c>
      <c r="D1306" s="1" t="s">
        <v>39</v>
      </c>
      <c r="E1306" s="1">
        <v>91948</v>
      </c>
      <c r="F1306" s="4">
        <f t="shared" si="15"/>
        <v>65126.050420168067</v>
      </c>
      <c r="G1306" s="4">
        <f t="shared" si="13"/>
        <v>12373.949579831933</v>
      </c>
      <c r="H1306" s="4">
        <v>77500</v>
      </c>
      <c r="I1306" s="4"/>
      <c r="J1306" s="4"/>
    </row>
    <row r="1307" spans="1:10">
      <c r="A1307" s="1">
        <v>1307</v>
      </c>
      <c r="B1307" s="1" t="s">
        <v>1501</v>
      </c>
      <c r="C1307" s="9">
        <v>45909</v>
      </c>
      <c r="D1307" s="1" t="s">
        <v>39</v>
      </c>
      <c r="E1307" s="1">
        <v>91949</v>
      </c>
      <c r="F1307" s="4">
        <f t="shared" si="15"/>
        <v>86218.487394957992</v>
      </c>
      <c r="G1307" s="4">
        <f t="shared" si="13"/>
        <v>16381.512605042019</v>
      </c>
      <c r="H1307" s="4">
        <v>102600</v>
      </c>
      <c r="I1307" s="4"/>
      <c r="J1307" s="4"/>
    </row>
    <row r="1308" spans="1:10">
      <c r="A1308" s="1">
        <v>1308</v>
      </c>
      <c r="B1308" s="1" t="s">
        <v>1502</v>
      </c>
      <c r="C1308" s="9">
        <v>45912</v>
      </c>
      <c r="D1308" s="1" t="s">
        <v>39</v>
      </c>
      <c r="E1308" s="1">
        <v>91950</v>
      </c>
      <c r="F1308" s="4">
        <f t="shared" si="15"/>
        <v>109243.6974789916</v>
      </c>
      <c r="G1308" s="4">
        <f t="shared" si="13"/>
        <v>20756.302521008405</v>
      </c>
      <c r="H1308" s="4">
        <v>130000</v>
      </c>
      <c r="I1308" s="4"/>
      <c r="J1308" s="4"/>
    </row>
    <row r="1309" spans="1:10">
      <c r="A1309" s="1">
        <v>1309</v>
      </c>
      <c r="B1309" s="1" t="s">
        <v>1503</v>
      </c>
      <c r="C1309" s="9">
        <v>45912</v>
      </c>
      <c r="D1309" s="1" t="s">
        <v>39</v>
      </c>
      <c r="E1309" s="1">
        <v>91951</v>
      </c>
      <c r="F1309" s="4">
        <f t="shared" si="15"/>
        <v>34453.781512605041</v>
      </c>
      <c r="G1309" s="4">
        <f t="shared" si="13"/>
        <v>6546.2184873949582</v>
      </c>
      <c r="H1309" s="4">
        <v>41000</v>
      </c>
      <c r="I1309" s="4"/>
      <c r="J1309" s="4"/>
    </row>
    <row r="1310" spans="1:10">
      <c r="A1310" s="1">
        <v>1310</v>
      </c>
      <c r="B1310" s="1" t="s">
        <v>1504</v>
      </c>
      <c r="C1310" s="9">
        <v>45913</v>
      </c>
      <c r="D1310" s="1" t="s">
        <v>39</v>
      </c>
      <c r="E1310" s="1">
        <v>91952</v>
      </c>
      <c r="F1310" s="4">
        <f t="shared" si="15"/>
        <v>35294.117647058825</v>
      </c>
      <c r="G1310" s="4">
        <f t="shared" si="13"/>
        <v>6705.8823529411766</v>
      </c>
      <c r="H1310" s="4">
        <v>42000</v>
      </c>
      <c r="I1310" s="4"/>
      <c r="J1310" s="4"/>
    </row>
    <row r="1311" spans="1:10">
      <c r="A1311" s="1">
        <v>1311</v>
      </c>
      <c r="B1311" s="1" t="s">
        <v>1505</v>
      </c>
      <c r="C1311" s="9">
        <v>45914</v>
      </c>
      <c r="D1311" s="1" t="s">
        <v>39</v>
      </c>
      <c r="E1311" s="1">
        <v>91953</v>
      </c>
      <c r="F1311" s="4">
        <f t="shared" si="15"/>
        <v>29411.764705882353</v>
      </c>
      <c r="G1311" s="4">
        <f t="shared" si="13"/>
        <v>5588.2352941176468</v>
      </c>
      <c r="H1311" s="4">
        <v>35000</v>
      </c>
      <c r="I1311" s="4"/>
      <c r="J1311" s="4"/>
    </row>
    <row r="1312" spans="1:10">
      <c r="A1312" s="1">
        <v>1312</v>
      </c>
      <c r="B1312" s="1" t="s">
        <v>1506</v>
      </c>
      <c r="C1312" s="9">
        <v>45915</v>
      </c>
      <c r="D1312" s="1" t="s">
        <v>39</v>
      </c>
      <c r="E1312" s="1">
        <v>91954</v>
      </c>
      <c r="F1312" s="4">
        <f t="shared" si="15"/>
        <v>40421.008403361346</v>
      </c>
      <c r="G1312" s="4">
        <f t="shared" si="13"/>
        <v>7679.9915966386561</v>
      </c>
      <c r="H1312" s="4">
        <v>48101</v>
      </c>
      <c r="I1312" s="4"/>
      <c r="J1312" s="4"/>
    </row>
    <row r="1313" spans="1:10">
      <c r="A1313" s="1">
        <v>1313</v>
      </c>
      <c r="B1313" s="1" t="s">
        <v>1507</v>
      </c>
      <c r="C1313" s="9">
        <v>45916</v>
      </c>
      <c r="D1313" s="1" t="s">
        <v>39</v>
      </c>
      <c r="E1313" s="1">
        <v>91955</v>
      </c>
      <c r="F1313" s="4">
        <f t="shared" si="15"/>
        <v>4201.680672268908</v>
      </c>
      <c r="G1313" s="4">
        <f t="shared" si="13"/>
        <v>798.31932773109247</v>
      </c>
      <c r="H1313" s="4">
        <v>5000</v>
      </c>
      <c r="I1313" s="4"/>
      <c r="J1313" s="4"/>
    </row>
    <row r="1314" spans="1:10">
      <c r="A1314" s="1">
        <v>1314</v>
      </c>
      <c r="B1314" s="1" t="s">
        <v>1508</v>
      </c>
      <c r="C1314" s="9">
        <v>45917</v>
      </c>
      <c r="D1314" s="1" t="s">
        <v>39</v>
      </c>
      <c r="E1314" s="1">
        <v>91956</v>
      </c>
      <c r="F1314" s="4">
        <f t="shared" si="15"/>
        <v>8403.361344537816</v>
      </c>
      <c r="G1314" s="4">
        <f t="shared" si="13"/>
        <v>1596.6386554621849</v>
      </c>
      <c r="H1314" s="4">
        <v>10000</v>
      </c>
      <c r="I1314" s="4"/>
      <c r="J1314" s="4"/>
    </row>
    <row r="1315" spans="1:10">
      <c r="A1315" s="1">
        <v>1315</v>
      </c>
      <c r="B1315" s="1" t="s">
        <v>1509</v>
      </c>
      <c r="C1315" s="9">
        <v>45919</v>
      </c>
      <c r="D1315" s="1" t="s">
        <v>39</v>
      </c>
      <c r="E1315" s="1">
        <v>91957</v>
      </c>
      <c r="F1315" s="4">
        <f t="shared" si="15"/>
        <v>33781.512605042015</v>
      </c>
      <c r="G1315" s="4">
        <f t="shared" si="13"/>
        <v>6418.4873949579833</v>
      </c>
      <c r="H1315" s="4">
        <v>40200</v>
      </c>
      <c r="I1315" s="4"/>
      <c r="J1315" s="4"/>
    </row>
    <row r="1316" spans="1:10">
      <c r="A1316" s="1">
        <v>1316</v>
      </c>
      <c r="B1316" s="1" t="s">
        <v>1510</v>
      </c>
      <c r="C1316" s="9">
        <v>45921</v>
      </c>
      <c r="D1316" s="1" t="s">
        <v>39</v>
      </c>
      <c r="E1316" s="1">
        <v>91958</v>
      </c>
      <c r="F1316" s="4">
        <f t="shared" si="15"/>
        <v>39495.798319327732</v>
      </c>
      <c r="G1316" s="4">
        <f t="shared" si="13"/>
        <v>7504.2016806722695</v>
      </c>
      <c r="H1316" s="4">
        <v>47000</v>
      </c>
      <c r="I1316" s="4"/>
      <c r="J1316" s="4"/>
    </row>
    <row r="1317" spans="1:10">
      <c r="A1317" s="1">
        <v>1317</v>
      </c>
      <c r="B1317" s="1" t="s">
        <v>1511</v>
      </c>
      <c r="C1317" s="9">
        <v>45921</v>
      </c>
      <c r="D1317" s="1" t="s">
        <v>39</v>
      </c>
      <c r="E1317" s="1">
        <v>91959</v>
      </c>
      <c r="F1317" s="4">
        <f t="shared" si="15"/>
        <v>57142.857142857145</v>
      </c>
      <c r="G1317" s="4">
        <f t="shared" si="13"/>
        <v>10857.142857142857</v>
      </c>
      <c r="H1317" s="4">
        <v>68000</v>
      </c>
      <c r="I1317" s="4"/>
      <c r="J1317" s="4"/>
    </row>
    <row r="1318" spans="1:10">
      <c r="A1318" s="1">
        <v>1318</v>
      </c>
      <c r="B1318" s="1" t="s">
        <v>1512</v>
      </c>
      <c r="C1318" s="9">
        <v>45922</v>
      </c>
      <c r="D1318" s="1" t="s">
        <v>39</v>
      </c>
      <c r="E1318" s="1">
        <v>91960</v>
      </c>
      <c r="F1318" s="4">
        <f t="shared" si="15"/>
        <v>40336.134453781517</v>
      </c>
      <c r="G1318" s="4">
        <f t="shared" si="13"/>
        <v>7663.8655462184879</v>
      </c>
      <c r="H1318" s="4">
        <v>48000</v>
      </c>
      <c r="I1318" s="4"/>
      <c r="J1318" s="4"/>
    </row>
    <row r="1319" spans="1:10">
      <c r="A1319" s="1">
        <v>1319</v>
      </c>
      <c r="B1319" s="1" t="s">
        <v>1513</v>
      </c>
      <c r="C1319" s="9">
        <v>45922</v>
      </c>
      <c r="D1319" s="1" t="s">
        <v>39</v>
      </c>
      <c r="E1319" s="1">
        <v>91961</v>
      </c>
      <c r="F1319" s="4">
        <f t="shared" si="15"/>
        <v>36134.45378151261</v>
      </c>
      <c r="G1319" s="4">
        <f t="shared" si="13"/>
        <v>6865.5462184873959</v>
      </c>
      <c r="H1319" s="4">
        <v>43000</v>
      </c>
      <c r="I1319" s="4"/>
      <c r="J1319" s="4"/>
    </row>
    <row r="1320" spans="1:10">
      <c r="A1320" s="1">
        <v>1320</v>
      </c>
      <c r="B1320" s="1" t="s">
        <v>1514</v>
      </c>
      <c r="C1320" s="9">
        <v>45924</v>
      </c>
      <c r="D1320" s="1" t="s">
        <v>39</v>
      </c>
      <c r="E1320" s="1">
        <v>91962</v>
      </c>
      <c r="F1320" s="4">
        <f t="shared" si="15"/>
        <v>29411.764705882353</v>
      </c>
      <c r="G1320" s="4">
        <f t="shared" si="13"/>
        <v>5588.2352941176468</v>
      </c>
      <c r="H1320" s="4">
        <v>35000</v>
      </c>
      <c r="I1320" s="4"/>
      <c r="J1320" s="4"/>
    </row>
    <row r="1321" spans="1:10">
      <c r="A1321" s="1">
        <v>1321</v>
      </c>
      <c r="B1321" s="1" t="s">
        <v>1445</v>
      </c>
      <c r="C1321" s="9">
        <v>45924</v>
      </c>
      <c r="D1321" s="1" t="s">
        <v>39</v>
      </c>
      <c r="E1321" s="1">
        <v>91963</v>
      </c>
      <c r="F1321" s="4">
        <f t="shared" si="15"/>
        <v>31092.436974789918</v>
      </c>
      <c r="G1321" s="4">
        <f t="shared" si="13"/>
        <v>5907.5630252100846</v>
      </c>
      <c r="H1321" s="4">
        <v>37000</v>
      </c>
      <c r="I1321" s="4"/>
      <c r="J1321" s="4"/>
    </row>
    <row r="1322" spans="1:10">
      <c r="A1322" s="1">
        <v>1322</v>
      </c>
      <c r="B1322" s="1" t="s">
        <v>1515</v>
      </c>
      <c r="C1322" s="9">
        <v>45925</v>
      </c>
      <c r="D1322" s="1" t="s">
        <v>39</v>
      </c>
      <c r="E1322" s="1">
        <v>91964</v>
      </c>
      <c r="F1322" s="4">
        <f t="shared" si="15"/>
        <v>46218.487394957985</v>
      </c>
      <c r="G1322" s="4">
        <f t="shared" si="13"/>
        <v>8781.5126050420167</v>
      </c>
      <c r="H1322" s="4">
        <v>55000</v>
      </c>
      <c r="I1322" s="4"/>
      <c r="J1322" s="4"/>
    </row>
    <row r="1323" spans="1:10">
      <c r="A1323" s="1">
        <v>1323</v>
      </c>
      <c r="B1323" s="1" t="s">
        <v>1516</v>
      </c>
      <c r="C1323" s="9">
        <v>45926</v>
      </c>
      <c r="D1323" s="1" t="s">
        <v>39</v>
      </c>
      <c r="E1323" s="1">
        <v>91965</v>
      </c>
      <c r="F1323" s="4">
        <f t="shared" si="15"/>
        <v>12605.042016806723</v>
      </c>
      <c r="G1323" s="4">
        <f t="shared" si="13"/>
        <v>2394.9579831932774</v>
      </c>
      <c r="H1323" s="4">
        <v>15000</v>
      </c>
      <c r="I1323" s="4"/>
      <c r="J1323" s="4"/>
    </row>
    <row r="1324" spans="1:10">
      <c r="A1324" s="1">
        <v>1324</v>
      </c>
      <c r="B1324" s="1" t="s">
        <v>1517</v>
      </c>
      <c r="C1324" s="9">
        <v>45926</v>
      </c>
      <c r="D1324" s="1" t="s">
        <v>39</v>
      </c>
      <c r="E1324" s="1">
        <v>91966</v>
      </c>
      <c r="F1324" s="4">
        <f t="shared" si="15"/>
        <v>6722.6890756302528</v>
      </c>
      <c r="G1324" s="4">
        <f t="shared" si="13"/>
        <v>1277.3109243697481</v>
      </c>
      <c r="H1324" s="4">
        <v>8000</v>
      </c>
      <c r="I1324" s="4"/>
      <c r="J1324" s="4"/>
    </row>
    <row r="1325" spans="1:10">
      <c r="A1325" s="1">
        <v>1325</v>
      </c>
      <c r="B1325" s="1" t="s">
        <v>1518</v>
      </c>
      <c r="C1325" s="9">
        <v>45929</v>
      </c>
      <c r="D1325" s="1" t="s">
        <v>39</v>
      </c>
      <c r="E1325" s="1">
        <v>91967</v>
      </c>
      <c r="F1325" s="4">
        <f t="shared" si="15"/>
        <v>16806.722689075632</v>
      </c>
      <c r="G1325" s="4">
        <f t="shared" si="13"/>
        <v>3193.2773109243699</v>
      </c>
      <c r="H1325" s="4">
        <v>20000</v>
      </c>
      <c r="I1325" s="4"/>
      <c r="J1325" s="4"/>
    </row>
    <row r="1326" spans="1:10">
      <c r="A1326" s="1">
        <v>1326</v>
      </c>
      <c r="B1326" s="1" t="s">
        <v>1519</v>
      </c>
      <c r="C1326" s="9">
        <v>45932</v>
      </c>
      <c r="D1326" s="1" t="s">
        <v>39</v>
      </c>
      <c r="E1326" s="1">
        <v>91968</v>
      </c>
      <c r="F1326" s="4">
        <f t="shared" si="15"/>
        <v>31092.436974789918</v>
      </c>
      <c r="G1326" s="4">
        <f t="shared" si="13"/>
        <v>5907.5630252100846</v>
      </c>
      <c r="H1326" s="4">
        <v>37000</v>
      </c>
      <c r="I1326" s="4"/>
      <c r="J1326" s="4"/>
    </row>
    <row r="1327" spans="1:10">
      <c r="A1327" s="1">
        <v>1327</v>
      </c>
      <c r="B1327" s="1" t="s">
        <v>1520</v>
      </c>
      <c r="C1327" s="9">
        <v>45933</v>
      </c>
      <c r="D1327" s="1" t="s">
        <v>39</v>
      </c>
      <c r="E1327" s="1">
        <v>91969</v>
      </c>
      <c r="F1327" s="4">
        <f t="shared" si="15"/>
        <v>45378.151260504201</v>
      </c>
      <c r="G1327" s="4">
        <f t="shared" si="13"/>
        <v>8621.8487394957974</v>
      </c>
      <c r="H1327" s="4">
        <v>54000</v>
      </c>
      <c r="I1327" s="4"/>
      <c r="J1327" s="4"/>
    </row>
    <row r="1328" spans="1:10">
      <c r="A1328" s="1">
        <v>1328</v>
      </c>
      <c r="B1328" s="1" t="s">
        <v>1521</v>
      </c>
      <c r="C1328" s="9">
        <v>45933</v>
      </c>
      <c r="D1328" s="1" t="s">
        <v>39</v>
      </c>
      <c r="E1328" s="1">
        <v>91970</v>
      </c>
      <c r="F1328" s="4">
        <f t="shared" si="15"/>
        <v>39495.798319327732</v>
      </c>
      <c r="G1328" s="4">
        <f t="shared" si="13"/>
        <v>7504.2016806722695</v>
      </c>
      <c r="H1328" s="4">
        <v>47000</v>
      </c>
      <c r="I1328" s="4"/>
      <c r="J1328" s="4"/>
    </row>
    <row r="1329" spans="1:10">
      <c r="A1329" s="1">
        <v>1329</v>
      </c>
      <c r="B1329" s="1" t="s">
        <v>1522</v>
      </c>
      <c r="C1329" s="9">
        <v>45935</v>
      </c>
      <c r="D1329" s="1" t="s">
        <v>39</v>
      </c>
      <c r="E1329" s="1">
        <v>91971</v>
      </c>
      <c r="F1329" s="4">
        <f t="shared" si="15"/>
        <v>56890.756302521011</v>
      </c>
      <c r="G1329" s="4">
        <f t="shared" si="13"/>
        <v>10809.243697478993</v>
      </c>
      <c r="H1329" s="4">
        <v>67700</v>
      </c>
      <c r="I1329" s="4"/>
      <c r="J1329" s="4"/>
    </row>
    <row r="1330" spans="1:10">
      <c r="A1330" s="1">
        <v>1330</v>
      </c>
      <c r="B1330" s="1" t="s">
        <v>1523</v>
      </c>
      <c r="C1330" s="9">
        <v>45936</v>
      </c>
      <c r="D1330" s="1" t="s">
        <v>39</v>
      </c>
      <c r="E1330" s="1">
        <v>91973</v>
      </c>
      <c r="F1330" s="4">
        <f t="shared" si="15"/>
        <v>29411.764705882353</v>
      </c>
      <c r="G1330" s="4">
        <f t="shared" si="13"/>
        <v>5588.2352941176468</v>
      </c>
      <c r="H1330" s="4">
        <v>35000</v>
      </c>
      <c r="I1330" s="4"/>
      <c r="J1330" s="4"/>
    </row>
    <row r="1331" spans="1:10">
      <c r="A1331" s="1">
        <v>1331</v>
      </c>
      <c r="B1331" s="1" t="s">
        <v>1524</v>
      </c>
      <c r="C1331" s="9">
        <v>45936</v>
      </c>
      <c r="D1331" s="1" t="s">
        <v>39</v>
      </c>
      <c r="E1331" s="1">
        <v>91972</v>
      </c>
      <c r="F1331" s="4">
        <f t="shared" si="15"/>
        <v>41176.470588235294</v>
      </c>
      <c r="G1331" s="4">
        <f t="shared" si="13"/>
        <v>7823.5294117647063</v>
      </c>
      <c r="H1331" s="4">
        <v>49000</v>
      </c>
      <c r="I1331" s="4"/>
      <c r="J1331" s="4"/>
    </row>
    <row r="1332" spans="1:10">
      <c r="A1332" s="1">
        <v>1332</v>
      </c>
      <c r="B1332" s="1" t="s">
        <v>1525</v>
      </c>
      <c r="C1332" s="9">
        <v>45937</v>
      </c>
      <c r="D1332" s="1" t="s">
        <v>39</v>
      </c>
      <c r="E1332" s="1">
        <v>91974</v>
      </c>
      <c r="F1332" s="4">
        <f t="shared" si="15"/>
        <v>60084.033613445383</v>
      </c>
      <c r="G1332" s="4">
        <f t="shared" si="13"/>
        <v>11415.966386554623</v>
      </c>
      <c r="H1332" s="4">
        <v>71500</v>
      </c>
      <c r="I1332" s="4"/>
      <c r="J1332" s="4"/>
    </row>
    <row r="1333" spans="1:10">
      <c r="A1333" s="1">
        <v>1333</v>
      </c>
      <c r="B1333" s="1" t="s">
        <v>1526</v>
      </c>
      <c r="C1333" s="9">
        <v>45937</v>
      </c>
      <c r="D1333" s="1" t="s">
        <v>39</v>
      </c>
      <c r="E1333" s="1">
        <v>91975</v>
      </c>
      <c r="F1333" s="4">
        <f t="shared" si="15"/>
        <v>46218.487394957985</v>
      </c>
      <c r="G1333" s="4">
        <f t="shared" si="13"/>
        <v>8781.5126050420167</v>
      </c>
      <c r="H1333" s="4">
        <v>55000</v>
      </c>
      <c r="I1333" s="4"/>
      <c r="J1333" s="4"/>
    </row>
    <row r="1334" spans="1:10">
      <c r="A1334" s="1">
        <v>1334</v>
      </c>
      <c r="B1334" s="1" t="s">
        <v>1527</v>
      </c>
      <c r="C1334" s="9">
        <v>45937</v>
      </c>
      <c r="D1334" s="1" t="s">
        <v>12</v>
      </c>
      <c r="E1334" s="1">
        <v>58</v>
      </c>
      <c r="F1334" s="4">
        <f t="shared" si="15"/>
        <v>29411.764705882353</v>
      </c>
      <c r="G1334" s="4">
        <f t="shared" si="13"/>
        <v>5588.2352941176468</v>
      </c>
      <c r="H1334" s="4">
        <v>35000</v>
      </c>
      <c r="I1334" s="4"/>
      <c r="J1334" s="4"/>
    </row>
    <row r="1335" spans="1:10">
      <c r="A1335" s="1">
        <v>1335</v>
      </c>
      <c r="B1335" s="1" t="s">
        <v>1528</v>
      </c>
      <c r="C1335" s="9">
        <v>45926</v>
      </c>
      <c r="D1335" s="1" t="s">
        <v>12</v>
      </c>
      <c r="E1335" s="1">
        <v>56</v>
      </c>
      <c r="F1335" s="4">
        <f t="shared" si="15"/>
        <v>84033.613445378156</v>
      </c>
      <c r="G1335" s="4">
        <f t="shared" si="13"/>
        <v>15966.386554621849</v>
      </c>
      <c r="H1335" s="4">
        <v>100000</v>
      </c>
      <c r="I1335" s="4">
        <v>41534.5</v>
      </c>
      <c r="J1335" s="4">
        <f t="shared" ref="J1335:J1366" si="16">H1335-I1335</f>
        <v>58465.5</v>
      </c>
    </row>
    <row r="1336" spans="1:10">
      <c r="A1336" s="1">
        <v>1336</v>
      </c>
      <c r="B1336" s="1" t="s">
        <v>1529</v>
      </c>
      <c r="C1336" s="9">
        <v>45932</v>
      </c>
      <c r="D1336" s="1" t="s">
        <v>12</v>
      </c>
      <c r="E1336" s="1">
        <v>57</v>
      </c>
      <c r="F1336" s="4">
        <f t="shared" si="15"/>
        <v>42016.806722689078</v>
      </c>
      <c r="G1336" s="4">
        <f t="shared" si="13"/>
        <v>7983.1932773109247</v>
      </c>
      <c r="H1336" s="4">
        <v>50000</v>
      </c>
      <c r="I1336" s="4">
        <v>36556.800000000003</v>
      </c>
      <c r="J1336" s="4">
        <f t="shared" si="16"/>
        <v>13443.199999999997</v>
      </c>
    </row>
    <row r="1337" spans="1:10">
      <c r="A1337" s="1">
        <v>1337</v>
      </c>
      <c r="B1337" s="1" t="s">
        <v>1530</v>
      </c>
      <c r="C1337" s="9">
        <v>45937</v>
      </c>
      <c r="D1337" s="1" t="s">
        <v>12</v>
      </c>
      <c r="E1337" s="1">
        <v>59</v>
      </c>
      <c r="F1337" s="4">
        <f t="shared" si="15"/>
        <v>25210.084033613446</v>
      </c>
      <c r="G1337" s="4">
        <f t="shared" si="13"/>
        <v>4789.9159663865548</v>
      </c>
      <c r="H1337" s="4">
        <v>30000</v>
      </c>
      <c r="I1337" s="4">
        <v>18048</v>
      </c>
      <c r="J1337" s="4">
        <f t="shared" si="16"/>
        <v>11952</v>
      </c>
    </row>
    <row r="1338" spans="1:10">
      <c r="A1338" s="1">
        <v>1338</v>
      </c>
      <c r="B1338" s="1" t="s">
        <v>1531</v>
      </c>
      <c r="C1338" s="9">
        <v>45943</v>
      </c>
      <c r="D1338" s="1" t="s">
        <v>39</v>
      </c>
      <c r="E1338" s="1">
        <v>91976</v>
      </c>
      <c r="F1338" s="4">
        <f t="shared" si="15"/>
        <v>29411.764705882353</v>
      </c>
      <c r="G1338" s="4">
        <f t="shared" si="13"/>
        <v>5588.2352941176468</v>
      </c>
      <c r="H1338" s="4">
        <v>35000</v>
      </c>
      <c r="I1338" s="4">
        <v>24689.205000000002</v>
      </c>
      <c r="J1338" s="4">
        <f t="shared" si="16"/>
        <v>10310.794999999998</v>
      </c>
    </row>
    <row r="1339" spans="1:10">
      <c r="A1339" s="1">
        <v>1339</v>
      </c>
      <c r="B1339" s="1" t="s">
        <v>1532</v>
      </c>
      <c r="C1339" s="9">
        <v>45945</v>
      </c>
      <c r="D1339" s="1" t="s">
        <v>12</v>
      </c>
      <c r="E1339" s="1">
        <v>60</v>
      </c>
      <c r="F1339" s="4">
        <f t="shared" si="15"/>
        <v>119831.93277310925</v>
      </c>
      <c r="G1339" s="4">
        <f t="shared" si="13"/>
        <v>22768.067226890758</v>
      </c>
      <c r="H1339" s="4">
        <v>142600</v>
      </c>
      <c r="I1339" s="4">
        <v>88315.194000000003</v>
      </c>
      <c r="J1339" s="4">
        <f t="shared" si="16"/>
        <v>54284.805999999997</v>
      </c>
    </row>
    <row r="1340" spans="1:10">
      <c r="A1340" s="1">
        <v>1340</v>
      </c>
      <c r="B1340" s="1" t="s">
        <v>1533</v>
      </c>
      <c r="C1340" s="9">
        <v>45946</v>
      </c>
      <c r="D1340" s="1" t="s">
        <v>39</v>
      </c>
      <c r="E1340" s="1">
        <v>91977</v>
      </c>
      <c r="F1340" s="4">
        <f t="shared" si="15"/>
        <v>37815.126050420171</v>
      </c>
      <c r="G1340" s="4">
        <f t="shared" si="13"/>
        <v>7184.8739495798327</v>
      </c>
      <c r="H1340" s="4">
        <v>45000</v>
      </c>
      <c r="I1340" s="4">
        <v>26909.64</v>
      </c>
      <c r="J1340" s="4">
        <f t="shared" si="16"/>
        <v>18090.36</v>
      </c>
    </row>
    <row r="1341" spans="1:10">
      <c r="A1341" s="1">
        <v>1341</v>
      </c>
      <c r="B1341" s="1" t="s">
        <v>1534</v>
      </c>
      <c r="C1341" s="9">
        <v>45948</v>
      </c>
      <c r="D1341" s="1" t="s">
        <v>39</v>
      </c>
      <c r="E1341" s="1">
        <v>91978</v>
      </c>
      <c r="F1341" s="4">
        <f t="shared" si="15"/>
        <v>52100.840336134454</v>
      </c>
      <c r="G1341" s="4">
        <f t="shared" si="13"/>
        <v>9899.1596638655465</v>
      </c>
      <c r="H1341" s="4">
        <v>62000</v>
      </c>
      <c r="I1341" s="4">
        <v>45152.455000000002</v>
      </c>
      <c r="J1341" s="4">
        <f t="shared" si="16"/>
        <v>16847.544999999998</v>
      </c>
    </row>
    <row r="1342" spans="1:10">
      <c r="A1342" s="1">
        <v>1342</v>
      </c>
      <c r="B1342" s="1" t="s">
        <v>1535</v>
      </c>
      <c r="C1342" s="9">
        <v>45948</v>
      </c>
      <c r="D1342" s="1" t="s">
        <v>39</v>
      </c>
      <c r="E1342" s="1">
        <v>91979</v>
      </c>
      <c r="F1342" s="4">
        <f t="shared" si="15"/>
        <v>6722.6890756302528</v>
      </c>
      <c r="G1342" s="4">
        <f t="shared" si="13"/>
        <v>1277.3109243697481</v>
      </c>
      <c r="H1342" s="4">
        <v>8000</v>
      </c>
      <c r="I1342" s="4">
        <v>3000</v>
      </c>
      <c r="J1342" s="4">
        <f t="shared" si="16"/>
        <v>5000</v>
      </c>
    </row>
    <row r="1343" spans="1:10">
      <c r="A1343" s="1">
        <v>1343</v>
      </c>
      <c r="B1343" s="1" t="s">
        <v>1536</v>
      </c>
      <c r="C1343" s="9">
        <v>45948</v>
      </c>
      <c r="D1343" s="1" t="s">
        <v>39</v>
      </c>
      <c r="E1343" s="1">
        <v>91980</v>
      </c>
      <c r="F1343" s="4">
        <f t="shared" si="15"/>
        <v>42016.806722689078</v>
      </c>
      <c r="G1343" s="4">
        <f t="shared" si="13"/>
        <v>7983.1932773109247</v>
      </c>
      <c r="H1343" s="4">
        <v>50000</v>
      </c>
      <c r="I1343" s="4">
        <v>26800</v>
      </c>
      <c r="J1343" s="4">
        <f t="shared" si="16"/>
        <v>23200</v>
      </c>
    </row>
    <row r="1344" spans="1:10">
      <c r="A1344" s="1">
        <v>1344</v>
      </c>
      <c r="B1344" s="1" t="s">
        <v>1537</v>
      </c>
      <c r="C1344" s="9">
        <v>45948</v>
      </c>
      <c r="D1344" s="1" t="s">
        <v>39</v>
      </c>
      <c r="E1344" s="1">
        <v>91981</v>
      </c>
      <c r="F1344" s="4">
        <f t="shared" si="15"/>
        <v>11764.705882352942</v>
      </c>
      <c r="G1344" s="4">
        <f t="shared" si="13"/>
        <v>2235.294117647059</v>
      </c>
      <c r="H1344" s="4">
        <v>14000</v>
      </c>
      <c r="I1344" s="4">
        <v>7080.5</v>
      </c>
      <c r="J1344" s="4">
        <f t="shared" si="16"/>
        <v>6919.5</v>
      </c>
    </row>
    <row r="1345" spans="1:10">
      <c r="A1345" s="1">
        <v>1345</v>
      </c>
      <c r="B1345" s="1" t="s">
        <v>1538</v>
      </c>
      <c r="C1345" s="9">
        <v>45950</v>
      </c>
      <c r="D1345" s="1" t="s">
        <v>39</v>
      </c>
      <c r="E1345" s="1">
        <v>91982</v>
      </c>
      <c r="F1345" s="4">
        <f t="shared" si="15"/>
        <v>26596.638655462186</v>
      </c>
      <c r="G1345" s="4">
        <f t="shared" si="13"/>
        <v>5053.3613445378151</v>
      </c>
      <c r="H1345" s="4">
        <v>31650</v>
      </c>
      <c r="I1345" s="4">
        <v>31300</v>
      </c>
      <c r="J1345" s="4">
        <f t="shared" si="16"/>
        <v>350</v>
      </c>
    </row>
    <row r="1346" spans="1:10">
      <c r="A1346" s="1">
        <v>1346</v>
      </c>
      <c r="B1346" s="1" t="s">
        <v>1539</v>
      </c>
      <c r="C1346" s="9">
        <v>45950</v>
      </c>
      <c r="D1346" s="1" t="s">
        <v>39</v>
      </c>
      <c r="E1346" s="1">
        <v>91983</v>
      </c>
      <c r="F1346" s="4">
        <f t="shared" si="15"/>
        <v>22016.806722689078</v>
      </c>
      <c r="G1346" s="4">
        <f t="shared" si="13"/>
        <v>4183.1932773109247</v>
      </c>
      <c r="H1346" s="4">
        <v>26200</v>
      </c>
      <c r="I1346" s="4">
        <v>24549.11</v>
      </c>
      <c r="J1346" s="4">
        <f t="shared" si="16"/>
        <v>1650.8899999999994</v>
      </c>
    </row>
    <row r="1347" spans="1:10">
      <c r="A1347" s="1">
        <v>1347</v>
      </c>
      <c r="B1347" s="1" t="s">
        <v>1540</v>
      </c>
      <c r="C1347" s="3">
        <v>45951</v>
      </c>
      <c r="D1347" s="1" t="s">
        <v>39</v>
      </c>
      <c r="E1347" s="1">
        <v>91984</v>
      </c>
      <c r="F1347" s="4">
        <f t="shared" si="15"/>
        <v>8067.226890756303</v>
      </c>
      <c r="G1347" s="4">
        <f t="shared" si="13"/>
        <v>1532.7731092436975</v>
      </c>
      <c r="H1347" s="4">
        <v>9600</v>
      </c>
      <c r="I1347" s="4">
        <v>4885.5450000000001</v>
      </c>
      <c r="J1347" s="4">
        <f t="shared" si="16"/>
        <v>4714.4549999999999</v>
      </c>
    </row>
    <row r="1348" spans="1:10">
      <c r="A1348" s="1">
        <v>1348</v>
      </c>
      <c r="B1348" s="1" t="s">
        <v>1541</v>
      </c>
      <c r="C1348" s="9">
        <v>45956</v>
      </c>
      <c r="D1348" s="1" t="s">
        <v>39</v>
      </c>
      <c r="E1348" s="1">
        <v>91986</v>
      </c>
      <c r="F1348" s="4">
        <f t="shared" si="15"/>
        <v>46218.487394957985</v>
      </c>
      <c r="G1348" s="4">
        <f t="shared" si="13"/>
        <v>8781.5126050420167</v>
      </c>
      <c r="H1348" s="4">
        <v>55000</v>
      </c>
      <c r="I1348" s="4">
        <v>54185.55</v>
      </c>
      <c r="J1348" s="4">
        <f t="shared" si="16"/>
        <v>814.44999999999709</v>
      </c>
    </row>
    <row r="1349" spans="1:10">
      <c r="A1349" s="1">
        <v>1349</v>
      </c>
      <c r="B1349" s="1" t="s">
        <v>1542</v>
      </c>
      <c r="C1349" s="9">
        <v>45956</v>
      </c>
      <c r="D1349" s="1" t="s">
        <v>39</v>
      </c>
      <c r="E1349" s="1">
        <v>91985</v>
      </c>
      <c r="F1349" s="4">
        <f t="shared" si="15"/>
        <v>92773.109243697487</v>
      </c>
      <c r="G1349" s="4">
        <f t="shared" si="13"/>
        <v>17626.890756302524</v>
      </c>
      <c r="H1349" s="4">
        <v>110400</v>
      </c>
      <c r="I1349" s="4">
        <v>72724.210000000006</v>
      </c>
      <c r="J1349" s="4">
        <f t="shared" si="16"/>
        <v>37675.789999999994</v>
      </c>
    </row>
    <row r="1350" spans="1:10">
      <c r="A1350" s="1">
        <v>1350</v>
      </c>
      <c r="B1350" s="1" t="s">
        <v>1543</v>
      </c>
      <c r="C1350" s="9">
        <v>45957</v>
      </c>
      <c r="D1350" s="1" t="s">
        <v>12</v>
      </c>
      <c r="E1350" s="1">
        <v>61</v>
      </c>
      <c r="F1350" s="4">
        <f t="shared" si="15"/>
        <v>61345.378151260506</v>
      </c>
      <c r="G1350" s="4">
        <f t="shared" si="13"/>
        <v>11655.621848739496</v>
      </c>
      <c r="H1350" s="4">
        <v>73001</v>
      </c>
      <c r="I1350" s="4">
        <v>38750.36</v>
      </c>
      <c r="J1350" s="4">
        <f t="shared" si="16"/>
        <v>34250.639999999999</v>
      </c>
    </row>
    <row r="1351" spans="1:10">
      <c r="A1351" s="1">
        <v>1351</v>
      </c>
      <c r="B1351" s="1" t="s">
        <v>1544</v>
      </c>
      <c r="C1351" s="9">
        <v>45959</v>
      </c>
      <c r="D1351" s="1" t="s">
        <v>39</v>
      </c>
      <c r="E1351" s="1">
        <v>91987</v>
      </c>
      <c r="F1351" s="4">
        <f t="shared" si="15"/>
        <v>37815.126050420171</v>
      </c>
      <c r="G1351" s="4">
        <f t="shared" si="13"/>
        <v>7184.8739495798327</v>
      </c>
      <c r="H1351" s="4">
        <v>45000</v>
      </c>
      <c r="I1351" s="4">
        <v>23072.639999999999</v>
      </c>
      <c r="J1351" s="4">
        <f t="shared" si="16"/>
        <v>21927.360000000001</v>
      </c>
    </row>
    <row r="1352" spans="1:10">
      <c r="A1352" s="1">
        <v>1352</v>
      </c>
      <c r="B1352" s="1" t="s">
        <v>937</v>
      </c>
      <c r="C1352" s="9">
        <v>45961</v>
      </c>
      <c r="D1352" s="1" t="s">
        <v>39</v>
      </c>
      <c r="E1352" s="1">
        <v>91988</v>
      </c>
      <c r="F1352" s="4">
        <f t="shared" si="15"/>
        <v>29411.764705882353</v>
      </c>
      <c r="G1352" s="4">
        <f t="shared" si="13"/>
        <v>5588.2352941176468</v>
      </c>
      <c r="H1352" s="4">
        <v>35000</v>
      </c>
      <c r="I1352" s="4">
        <v>17033.64</v>
      </c>
      <c r="J1352" s="4">
        <f t="shared" si="16"/>
        <v>17966.36</v>
      </c>
    </row>
    <row r="1353" spans="1:10">
      <c r="A1353" s="1">
        <v>1353</v>
      </c>
      <c r="B1353" s="1" t="s">
        <v>1545</v>
      </c>
      <c r="C1353" s="9">
        <v>45961</v>
      </c>
      <c r="D1353" s="1" t="s">
        <v>39</v>
      </c>
      <c r="E1353" s="1">
        <v>91989</v>
      </c>
      <c r="F1353" s="4">
        <f t="shared" si="15"/>
        <v>21008.403361344539</v>
      </c>
      <c r="G1353" s="4">
        <f t="shared" si="13"/>
        <v>3991.5966386554624</v>
      </c>
      <c r="H1353" s="4">
        <v>25000</v>
      </c>
      <c r="I1353" s="4"/>
      <c r="J1353" s="4">
        <f t="shared" si="16"/>
        <v>25000</v>
      </c>
    </row>
    <row r="1354" spans="1:10">
      <c r="A1354" s="1">
        <v>1354</v>
      </c>
      <c r="B1354" s="1" t="s">
        <v>1546</v>
      </c>
      <c r="C1354" s="9">
        <v>45962</v>
      </c>
      <c r="D1354" s="1" t="s">
        <v>39</v>
      </c>
      <c r="E1354" s="1">
        <v>91990</v>
      </c>
      <c r="F1354" s="4">
        <f t="shared" si="15"/>
        <v>37815.126050420171</v>
      </c>
      <c r="G1354" s="4">
        <f t="shared" si="13"/>
        <v>7184.8739495798327</v>
      </c>
      <c r="H1354" s="4">
        <v>45000</v>
      </c>
      <c r="I1354" s="4">
        <v>35236</v>
      </c>
      <c r="J1354" s="4">
        <f t="shared" si="16"/>
        <v>9764</v>
      </c>
    </row>
    <row r="1355" spans="1:10">
      <c r="A1355" s="1">
        <v>1355</v>
      </c>
      <c r="B1355" s="1" t="s">
        <v>1547</v>
      </c>
      <c r="C1355" s="9">
        <v>45962</v>
      </c>
      <c r="D1355" s="1" t="s">
        <v>39</v>
      </c>
      <c r="E1355" s="1">
        <v>91991</v>
      </c>
      <c r="F1355" s="4">
        <f t="shared" si="15"/>
        <v>42016.806722689078</v>
      </c>
      <c r="G1355" s="4">
        <f t="shared" si="13"/>
        <v>7983.1932773109247</v>
      </c>
      <c r="H1355" s="4">
        <v>50000</v>
      </c>
      <c r="I1355" s="4">
        <v>29535.37</v>
      </c>
      <c r="J1355" s="4">
        <f t="shared" si="16"/>
        <v>20464.63</v>
      </c>
    </row>
    <row r="1356" spans="1:10">
      <c r="A1356" s="1">
        <v>1356</v>
      </c>
      <c r="B1356" s="1" t="s">
        <v>1548</v>
      </c>
      <c r="C1356" s="9">
        <v>45964</v>
      </c>
      <c r="D1356" s="1" t="s">
        <v>39</v>
      </c>
      <c r="E1356" s="1">
        <v>91992</v>
      </c>
      <c r="F1356" s="4">
        <f t="shared" si="15"/>
        <v>61764.705882352944</v>
      </c>
      <c r="G1356" s="4">
        <f t="shared" si="13"/>
        <v>11735.294117647059</v>
      </c>
      <c r="H1356" s="4">
        <v>73500</v>
      </c>
      <c r="I1356" s="4">
        <v>56732.06</v>
      </c>
      <c r="J1356" s="4">
        <f t="shared" si="16"/>
        <v>16767.940000000002</v>
      </c>
    </row>
    <row r="1357" spans="1:10">
      <c r="A1357" s="1">
        <v>1357</v>
      </c>
      <c r="B1357" s="1" t="s">
        <v>1549</v>
      </c>
      <c r="C1357" s="9">
        <v>45964</v>
      </c>
      <c r="D1357" s="1" t="s">
        <v>39</v>
      </c>
      <c r="E1357" s="1">
        <v>91993</v>
      </c>
      <c r="F1357" s="4">
        <f t="shared" si="15"/>
        <v>5042.0168067226896</v>
      </c>
      <c r="G1357" s="4">
        <f t="shared" si="13"/>
        <v>957.98319327731099</v>
      </c>
      <c r="H1357" s="4">
        <v>6000</v>
      </c>
      <c r="I1357" s="4">
        <v>2882.42</v>
      </c>
      <c r="J1357" s="4">
        <f t="shared" si="16"/>
        <v>3117.58</v>
      </c>
    </row>
    <row r="1358" spans="1:10">
      <c r="A1358" s="1">
        <v>1358</v>
      </c>
      <c r="B1358" s="1" t="s">
        <v>1550</v>
      </c>
      <c r="C1358" s="9">
        <v>45967</v>
      </c>
      <c r="D1358" s="1" t="s">
        <v>39</v>
      </c>
      <c r="E1358" s="1">
        <v>91994</v>
      </c>
      <c r="F1358" s="4">
        <f t="shared" si="15"/>
        <v>57731.092436974795</v>
      </c>
      <c r="G1358" s="4">
        <f t="shared" si="13"/>
        <v>10968.907563025212</v>
      </c>
      <c r="H1358" s="4">
        <v>68700</v>
      </c>
      <c r="I1358" s="4">
        <v>35243.61</v>
      </c>
      <c r="J1358" s="4">
        <f t="shared" si="16"/>
        <v>33456.39</v>
      </c>
    </row>
    <row r="1359" spans="1:10">
      <c r="A1359" s="1">
        <v>1359</v>
      </c>
      <c r="B1359" s="1" t="s">
        <v>1551</v>
      </c>
      <c r="C1359" s="9">
        <v>45967</v>
      </c>
      <c r="D1359" s="1" t="s">
        <v>39</v>
      </c>
      <c r="E1359" s="1">
        <v>91995</v>
      </c>
      <c r="F1359" s="4">
        <f t="shared" si="15"/>
        <v>153781.51260504202</v>
      </c>
      <c r="G1359" s="4">
        <f t="shared" si="13"/>
        <v>29218.487394957985</v>
      </c>
      <c r="H1359" s="4">
        <v>183000</v>
      </c>
      <c r="I1359" s="4">
        <v>119719.77</v>
      </c>
      <c r="J1359" s="4">
        <f t="shared" si="16"/>
        <v>63280.229999999996</v>
      </c>
    </row>
    <row r="1360" spans="1:10">
      <c r="A1360" s="1">
        <v>1360</v>
      </c>
      <c r="B1360" s="1" t="s">
        <v>1552</v>
      </c>
      <c r="C1360" s="9">
        <v>45968</v>
      </c>
      <c r="D1360" s="1" t="s">
        <v>39</v>
      </c>
      <c r="E1360" s="1">
        <v>91996</v>
      </c>
      <c r="F1360" s="4">
        <f t="shared" si="15"/>
        <v>40336.134453781517</v>
      </c>
      <c r="G1360" s="4">
        <f t="shared" si="13"/>
        <v>7663.8655462184879</v>
      </c>
      <c r="H1360" s="4">
        <v>48000</v>
      </c>
      <c r="I1360" s="4">
        <v>25244.66</v>
      </c>
      <c r="J1360" s="4">
        <f t="shared" si="16"/>
        <v>22755.34</v>
      </c>
    </row>
    <row r="1361" spans="1:10">
      <c r="A1361" s="1">
        <v>1361</v>
      </c>
      <c r="B1361" s="1" t="s">
        <v>1553</v>
      </c>
      <c r="C1361" s="9">
        <v>45970</v>
      </c>
      <c r="D1361" s="1" t="s">
        <v>39</v>
      </c>
      <c r="E1361" s="1">
        <v>91997</v>
      </c>
      <c r="F1361" s="4">
        <f t="shared" si="15"/>
        <v>40336.134453781517</v>
      </c>
      <c r="G1361" s="4">
        <f t="shared" si="13"/>
        <v>7663.8655462184879</v>
      </c>
      <c r="H1361" s="4">
        <v>48000</v>
      </c>
      <c r="I1361" s="4">
        <v>26459.279999999999</v>
      </c>
      <c r="J1361" s="4">
        <f t="shared" si="16"/>
        <v>21540.720000000001</v>
      </c>
    </row>
    <row r="1362" spans="1:10">
      <c r="A1362" s="1">
        <v>1362</v>
      </c>
      <c r="B1362" s="1" t="s">
        <v>1554</v>
      </c>
      <c r="C1362" s="9">
        <v>45971</v>
      </c>
      <c r="D1362" s="1" t="s">
        <v>39</v>
      </c>
      <c r="E1362" s="1">
        <v>91998</v>
      </c>
      <c r="F1362" s="4">
        <f t="shared" si="15"/>
        <v>37815.126050420171</v>
      </c>
      <c r="G1362" s="4">
        <f t="shared" si="13"/>
        <v>7184.8739495798327</v>
      </c>
      <c r="H1362" s="4">
        <v>45000</v>
      </c>
      <c r="I1362" s="4">
        <v>29550.68</v>
      </c>
      <c r="J1362" s="4">
        <f t="shared" si="16"/>
        <v>15449.32</v>
      </c>
    </row>
    <row r="1363" spans="1:10">
      <c r="A1363" s="1">
        <v>1363</v>
      </c>
      <c r="B1363" s="1" t="s">
        <v>1555</v>
      </c>
      <c r="C1363" s="9">
        <v>45972</v>
      </c>
      <c r="D1363" s="1" t="s">
        <v>12</v>
      </c>
      <c r="E1363" s="1">
        <v>62</v>
      </c>
      <c r="F1363" s="4">
        <f t="shared" si="15"/>
        <v>58320.168067226892</v>
      </c>
      <c r="G1363" s="4">
        <f t="shared" si="13"/>
        <v>11080.83193277311</v>
      </c>
      <c r="H1363" s="4">
        <v>69401</v>
      </c>
      <c r="I1363" s="4">
        <v>47708.480000000003</v>
      </c>
      <c r="J1363" s="4">
        <f t="shared" si="16"/>
        <v>21692.519999999997</v>
      </c>
    </row>
    <row r="1364" spans="1:10">
      <c r="A1364" s="1">
        <v>1364</v>
      </c>
      <c r="B1364" s="1" t="s">
        <v>1556</v>
      </c>
      <c r="C1364" s="9">
        <v>45973</v>
      </c>
      <c r="D1364" s="1" t="s">
        <v>39</v>
      </c>
      <c r="E1364" s="1">
        <v>91999</v>
      </c>
      <c r="F1364" s="4">
        <f t="shared" si="15"/>
        <v>46218.487394957985</v>
      </c>
      <c r="G1364" s="4">
        <f t="shared" si="13"/>
        <v>8781.5126050420167</v>
      </c>
      <c r="H1364" s="4">
        <v>55000</v>
      </c>
      <c r="I1364" s="4">
        <v>44689.21</v>
      </c>
      <c r="J1364" s="4">
        <f t="shared" si="16"/>
        <v>10310.790000000001</v>
      </c>
    </row>
    <row r="1365" spans="1:10">
      <c r="A1365" s="1">
        <v>1365</v>
      </c>
      <c r="B1365" s="1" t="s">
        <v>1557</v>
      </c>
      <c r="C1365" s="9">
        <v>45973</v>
      </c>
      <c r="D1365" s="1" t="s">
        <v>39</v>
      </c>
      <c r="E1365" s="1">
        <v>92000</v>
      </c>
      <c r="F1365" s="4">
        <f t="shared" si="15"/>
        <v>46218.487394957985</v>
      </c>
      <c r="G1365" s="4">
        <f t="shared" si="13"/>
        <v>8781.5126050420167</v>
      </c>
      <c r="H1365" s="4">
        <v>55000</v>
      </c>
      <c r="I1365" s="4">
        <v>40899.599999999999</v>
      </c>
      <c r="J1365" s="4">
        <f t="shared" si="16"/>
        <v>14100.400000000001</v>
      </c>
    </row>
    <row r="1366" spans="1:10">
      <c r="A1366" s="1">
        <v>1366</v>
      </c>
      <c r="B1366" s="1" t="s">
        <v>928</v>
      </c>
      <c r="C1366" s="9">
        <v>45973</v>
      </c>
      <c r="D1366" s="1" t="s">
        <v>39</v>
      </c>
      <c r="E1366" s="1">
        <v>92001</v>
      </c>
      <c r="F1366" s="4">
        <f t="shared" si="15"/>
        <v>25210.084033613446</v>
      </c>
      <c r="G1366" s="4">
        <f t="shared" si="13"/>
        <v>4789.9159663865548</v>
      </c>
      <c r="H1366" s="4">
        <v>30000</v>
      </c>
      <c r="I1366" s="4">
        <v>23899.96</v>
      </c>
      <c r="J1366" s="4">
        <f t="shared" si="16"/>
        <v>6100.0400000000009</v>
      </c>
    </row>
    <row r="1367" spans="1:10">
      <c r="A1367" s="1">
        <v>1367</v>
      </c>
      <c r="B1367" s="1" t="s">
        <v>1558</v>
      </c>
      <c r="C1367" s="9">
        <v>45974</v>
      </c>
      <c r="D1367" s="1" t="s">
        <v>39</v>
      </c>
      <c r="E1367" s="1">
        <v>92002</v>
      </c>
      <c r="F1367" s="4">
        <f t="shared" si="15"/>
        <v>54033.613445378156</v>
      </c>
      <c r="G1367" s="4">
        <f t="shared" si="13"/>
        <v>10266.386554621849</v>
      </c>
      <c r="H1367" s="4">
        <v>64300</v>
      </c>
      <c r="I1367" s="4"/>
      <c r="J1367" s="4">
        <f t="shared" ref="J1367:J1398" si="17">H1367-I1367</f>
        <v>64300</v>
      </c>
    </row>
    <row r="1368" spans="1:10">
      <c r="A1368" s="1">
        <v>1368</v>
      </c>
      <c r="B1368" s="1" t="s">
        <v>1559</v>
      </c>
      <c r="C1368" s="9">
        <v>45976</v>
      </c>
      <c r="D1368" s="1" t="s">
        <v>39</v>
      </c>
      <c r="E1368" s="1">
        <v>92003</v>
      </c>
      <c r="F1368" s="4">
        <f t="shared" si="15"/>
        <v>55378.151260504201</v>
      </c>
      <c r="G1368" s="4">
        <f t="shared" si="13"/>
        <v>10521.848739495797</v>
      </c>
      <c r="H1368" s="4">
        <v>65900</v>
      </c>
      <c r="I1368" s="4">
        <v>48130.75</v>
      </c>
      <c r="J1368" s="4">
        <f t="shared" si="17"/>
        <v>17769.25</v>
      </c>
    </row>
    <row r="1369" spans="1:10">
      <c r="A1369" s="1">
        <v>1369</v>
      </c>
      <c r="B1369" s="1" t="s">
        <v>1560</v>
      </c>
      <c r="C1369" s="9">
        <v>45976</v>
      </c>
      <c r="D1369" s="1" t="s">
        <v>39</v>
      </c>
      <c r="E1369" s="1">
        <v>92004</v>
      </c>
      <c r="F1369" s="4">
        <f t="shared" si="15"/>
        <v>8403.361344537816</v>
      </c>
      <c r="G1369" s="4">
        <f t="shared" si="13"/>
        <v>1596.6386554621849</v>
      </c>
      <c r="H1369" s="4">
        <v>10000</v>
      </c>
      <c r="I1369" s="4">
        <v>6850</v>
      </c>
      <c r="J1369" s="4">
        <f t="shared" si="17"/>
        <v>3150</v>
      </c>
    </row>
    <row r="1370" spans="1:10">
      <c r="A1370" s="1">
        <v>1370</v>
      </c>
      <c r="B1370" s="1" t="s">
        <v>1561</v>
      </c>
      <c r="C1370" s="9">
        <v>45977</v>
      </c>
      <c r="D1370" s="1" t="s">
        <v>39</v>
      </c>
      <c r="E1370" s="1">
        <v>92005</v>
      </c>
      <c r="F1370" s="4">
        <f t="shared" si="15"/>
        <v>54873.949579831933</v>
      </c>
      <c r="G1370" s="4">
        <f t="shared" si="13"/>
        <v>10426.050420168067</v>
      </c>
      <c r="H1370" s="4">
        <v>65300</v>
      </c>
      <c r="I1370" s="4">
        <v>34827.96</v>
      </c>
      <c r="J1370" s="4">
        <f t="shared" si="17"/>
        <v>30472.04</v>
      </c>
    </row>
    <row r="1371" spans="1:10">
      <c r="A1371" s="1">
        <v>1371</v>
      </c>
      <c r="B1371" s="1" t="s">
        <v>1562</v>
      </c>
      <c r="C1371" s="9">
        <v>45979</v>
      </c>
      <c r="D1371" s="1" t="s">
        <v>39</v>
      </c>
      <c r="E1371" s="1">
        <v>92006</v>
      </c>
      <c r="F1371" s="4">
        <f t="shared" si="15"/>
        <v>65126.050420168067</v>
      </c>
      <c r="G1371" s="4">
        <f t="shared" si="13"/>
        <v>12373.949579831933</v>
      </c>
      <c r="H1371" s="4">
        <v>77500</v>
      </c>
      <c r="I1371" s="4">
        <v>55710.22</v>
      </c>
      <c r="J1371" s="4">
        <f t="shared" si="17"/>
        <v>21789.78</v>
      </c>
    </row>
    <row r="1372" spans="1:10">
      <c r="A1372" s="1">
        <v>1372</v>
      </c>
      <c r="B1372" s="1" t="s">
        <v>1224</v>
      </c>
      <c r="C1372" s="9">
        <v>45983</v>
      </c>
      <c r="D1372" s="1" t="s">
        <v>39</v>
      </c>
      <c r="E1372" s="1">
        <v>92007</v>
      </c>
      <c r="F1372" s="4">
        <f t="shared" si="15"/>
        <v>29411.764705882353</v>
      </c>
      <c r="G1372" s="4">
        <f t="shared" si="13"/>
        <v>5588.2352941176468</v>
      </c>
      <c r="H1372" s="4">
        <v>35000</v>
      </c>
      <c r="I1372" s="4">
        <v>25589.165000000001</v>
      </c>
      <c r="J1372" s="4">
        <f t="shared" si="17"/>
        <v>9410.8349999999991</v>
      </c>
    </row>
    <row r="1373" spans="1:10">
      <c r="A1373" s="1">
        <v>1373</v>
      </c>
      <c r="B1373" s="1" t="s">
        <v>1563</v>
      </c>
      <c r="C1373" s="9">
        <v>45983</v>
      </c>
      <c r="D1373" s="1" t="s">
        <v>39</v>
      </c>
      <c r="E1373" s="1">
        <v>92008</v>
      </c>
      <c r="F1373" s="4">
        <f t="shared" si="15"/>
        <v>29342.857142857145</v>
      </c>
      <c r="G1373" s="4">
        <f t="shared" si="13"/>
        <v>5575.1428571428578</v>
      </c>
      <c r="H1373" s="4">
        <v>34918</v>
      </c>
      <c r="I1373" s="4">
        <v>15501.51</v>
      </c>
      <c r="J1373" s="4">
        <f t="shared" si="17"/>
        <v>19416.489999999998</v>
      </c>
    </row>
    <row r="1374" spans="1:10">
      <c r="A1374" s="1">
        <v>1374</v>
      </c>
      <c r="B1374" s="1" t="s">
        <v>1564</v>
      </c>
      <c r="C1374" s="9">
        <v>45983</v>
      </c>
      <c r="D1374" s="1" t="s">
        <v>39</v>
      </c>
      <c r="E1374" s="1">
        <v>92009</v>
      </c>
      <c r="F1374" s="4">
        <f t="shared" si="15"/>
        <v>70336.134453781517</v>
      </c>
      <c r="G1374" s="4">
        <f t="shared" si="13"/>
        <v>13363.865546218489</v>
      </c>
      <c r="H1374" s="4">
        <v>83700</v>
      </c>
      <c r="I1374" s="4">
        <v>54410.608</v>
      </c>
      <c r="J1374" s="4">
        <f t="shared" si="17"/>
        <v>29289.392</v>
      </c>
    </row>
    <row r="1375" spans="1:10">
      <c r="A1375" s="1">
        <v>1375</v>
      </c>
      <c r="B1375" s="1" t="s">
        <v>1565</v>
      </c>
      <c r="C1375" s="9">
        <v>45983</v>
      </c>
      <c r="D1375" s="1" t="s">
        <v>39</v>
      </c>
      <c r="E1375" s="1">
        <v>92010</v>
      </c>
      <c r="F1375" s="4">
        <f t="shared" si="15"/>
        <v>52100.840336134454</v>
      </c>
      <c r="G1375" s="4">
        <f t="shared" si="13"/>
        <v>9899.1596638655465</v>
      </c>
      <c r="H1375" s="4">
        <v>62000</v>
      </c>
      <c r="I1375" s="4">
        <v>33021.97</v>
      </c>
      <c r="J1375" s="4">
        <f t="shared" si="17"/>
        <v>28978.03</v>
      </c>
    </row>
    <row r="1376" spans="1:10">
      <c r="A1376" s="1">
        <v>1376</v>
      </c>
      <c r="B1376" s="1" t="s">
        <v>1566</v>
      </c>
      <c r="C1376" s="9">
        <v>45983</v>
      </c>
      <c r="D1376" s="1" t="s">
        <v>39</v>
      </c>
      <c r="E1376" s="1">
        <v>92011</v>
      </c>
      <c r="F1376" s="4">
        <f t="shared" si="15"/>
        <v>12605.042016806723</v>
      </c>
      <c r="G1376" s="4">
        <f t="shared" si="13"/>
        <v>2394.9579831932774</v>
      </c>
      <c r="H1376" s="4">
        <v>15000</v>
      </c>
      <c r="I1376" s="4">
        <v>10900</v>
      </c>
      <c r="J1376" s="4">
        <f t="shared" si="17"/>
        <v>4100</v>
      </c>
    </row>
    <row r="1377" spans="1:10">
      <c r="A1377" s="1">
        <v>1377</v>
      </c>
      <c r="B1377" s="1" t="s">
        <v>1567</v>
      </c>
      <c r="C1377" s="9">
        <v>45983</v>
      </c>
      <c r="D1377" s="1" t="s">
        <v>39</v>
      </c>
      <c r="E1377" s="1">
        <v>92012</v>
      </c>
      <c r="F1377" s="4">
        <f t="shared" si="15"/>
        <v>75462.184873949576</v>
      </c>
      <c r="G1377" s="4">
        <f t="shared" si="13"/>
        <v>14337.81512605042</v>
      </c>
      <c r="H1377" s="4">
        <v>89800</v>
      </c>
      <c r="I1377" s="4">
        <v>56119.18</v>
      </c>
      <c r="J1377" s="4">
        <f t="shared" si="17"/>
        <v>33680.82</v>
      </c>
    </row>
    <row r="1378" spans="1:10">
      <c r="A1378" s="1">
        <v>1378</v>
      </c>
      <c r="B1378" s="1" t="s">
        <v>1568</v>
      </c>
      <c r="C1378" s="9">
        <v>45983</v>
      </c>
      <c r="D1378" s="1" t="s">
        <v>39</v>
      </c>
      <c r="E1378" s="1">
        <v>92013</v>
      </c>
      <c r="F1378" s="4">
        <f t="shared" si="15"/>
        <v>63025.210084033613</v>
      </c>
      <c r="G1378" s="4">
        <f t="shared" si="13"/>
        <v>11974.789915966387</v>
      </c>
      <c r="H1378" s="4">
        <v>75000</v>
      </c>
      <c r="I1378" s="4">
        <v>50000</v>
      </c>
      <c r="J1378" s="4">
        <f t="shared" si="17"/>
        <v>25000</v>
      </c>
    </row>
    <row r="1379" spans="1:10">
      <c r="A1379" s="1">
        <v>1379</v>
      </c>
      <c r="B1379" s="1" t="s">
        <v>1569</v>
      </c>
      <c r="C1379" s="9">
        <v>45986</v>
      </c>
      <c r="D1379" s="1" t="s">
        <v>39</v>
      </c>
      <c r="E1379" s="1">
        <v>92014</v>
      </c>
      <c r="F1379" s="4">
        <f t="shared" si="15"/>
        <v>58823.529411764706</v>
      </c>
      <c r="G1379" s="4">
        <f t="shared" si="13"/>
        <v>11176.470588235294</v>
      </c>
      <c r="H1379" s="4">
        <v>70000</v>
      </c>
      <c r="I1379" s="4">
        <v>42053.41</v>
      </c>
      <c r="J1379" s="4">
        <f t="shared" si="17"/>
        <v>27946.589999999997</v>
      </c>
    </row>
    <row r="1380" spans="1:10">
      <c r="A1380" s="1">
        <v>1380</v>
      </c>
      <c r="B1380" s="1" t="s">
        <v>1570</v>
      </c>
      <c r="C1380" s="9">
        <v>45987</v>
      </c>
      <c r="D1380" s="1" t="s">
        <v>39</v>
      </c>
      <c r="E1380" s="1">
        <v>92015</v>
      </c>
      <c r="F1380" s="4">
        <f t="shared" si="15"/>
        <v>49655.462184873955</v>
      </c>
      <c r="G1380" s="4">
        <f t="shared" si="13"/>
        <v>9434.537815126052</v>
      </c>
      <c r="H1380" s="4">
        <v>59090</v>
      </c>
      <c r="I1380" s="4">
        <v>39508</v>
      </c>
      <c r="J1380" s="4">
        <f t="shared" si="17"/>
        <v>19582</v>
      </c>
    </row>
    <row r="1381" spans="1:10">
      <c r="A1381" s="1">
        <v>1381</v>
      </c>
      <c r="B1381" s="1" t="s">
        <v>1571</v>
      </c>
      <c r="C1381" s="9">
        <v>45989</v>
      </c>
      <c r="D1381" s="1" t="s">
        <v>39</v>
      </c>
      <c r="E1381" s="1">
        <v>92016</v>
      </c>
      <c r="F1381" s="4">
        <f t="shared" si="15"/>
        <v>39495.798319327732</v>
      </c>
      <c r="G1381" s="4">
        <f t="shared" si="13"/>
        <v>7504.2016806722695</v>
      </c>
      <c r="H1381" s="4">
        <v>47000</v>
      </c>
      <c r="I1381" s="4">
        <v>26812.49</v>
      </c>
      <c r="J1381" s="4">
        <f t="shared" si="17"/>
        <v>20187.509999999998</v>
      </c>
    </row>
    <row r="1382" spans="1:10">
      <c r="A1382" s="1">
        <v>1382</v>
      </c>
      <c r="B1382" s="1" t="s">
        <v>1572</v>
      </c>
      <c r="C1382" s="9">
        <v>45993</v>
      </c>
      <c r="D1382" s="1" t="s">
        <v>39</v>
      </c>
      <c r="E1382" s="1">
        <v>92017</v>
      </c>
      <c r="F1382" s="4">
        <f t="shared" si="15"/>
        <v>13445.378151260506</v>
      </c>
      <c r="G1382" s="4">
        <f t="shared" si="13"/>
        <v>2554.6218487394963</v>
      </c>
      <c r="H1382" s="4">
        <v>16000</v>
      </c>
      <c r="I1382" s="4">
        <v>9603.66</v>
      </c>
      <c r="J1382" s="4">
        <f t="shared" si="17"/>
        <v>6396.34</v>
      </c>
    </row>
    <row r="1383" spans="1:10">
      <c r="A1383" s="1">
        <v>1383</v>
      </c>
      <c r="B1383" s="1" t="s">
        <v>1573</v>
      </c>
      <c r="C1383" s="9">
        <v>45993</v>
      </c>
      <c r="D1383" s="1" t="s">
        <v>39</v>
      </c>
      <c r="E1383" s="1">
        <v>92018</v>
      </c>
      <c r="F1383" s="4">
        <f t="shared" si="15"/>
        <v>36134.45378151261</v>
      </c>
      <c r="G1383" s="4">
        <f t="shared" si="13"/>
        <v>6865.5462184873959</v>
      </c>
      <c r="H1383" s="4">
        <v>43000</v>
      </c>
      <c r="I1383" s="4">
        <v>22279.78</v>
      </c>
      <c r="J1383" s="4">
        <f t="shared" si="17"/>
        <v>20720.22</v>
      </c>
    </row>
    <row r="1384" spans="1:10">
      <c r="A1384" s="1">
        <v>1384</v>
      </c>
      <c r="B1384" s="1" t="s">
        <v>937</v>
      </c>
      <c r="C1384" s="9">
        <v>45995</v>
      </c>
      <c r="D1384" s="1" t="s">
        <v>39</v>
      </c>
      <c r="E1384" s="1">
        <v>92019</v>
      </c>
      <c r="F1384" s="4">
        <f t="shared" si="15"/>
        <v>29411.764705882353</v>
      </c>
      <c r="G1384" s="4">
        <f t="shared" si="13"/>
        <v>5588.2352941176468</v>
      </c>
      <c r="H1384" s="4">
        <v>35000</v>
      </c>
      <c r="I1384" s="4">
        <v>20270.036</v>
      </c>
      <c r="J1384" s="4">
        <f t="shared" si="17"/>
        <v>14729.964</v>
      </c>
    </row>
    <row r="1385" spans="1:10">
      <c r="A1385" s="1">
        <v>1385</v>
      </c>
      <c r="B1385" s="1" t="s">
        <v>1574</v>
      </c>
      <c r="C1385" s="9">
        <v>45996</v>
      </c>
      <c r="D1385" s="1" t="s">
        <v>39</v>
      </c>
      <c r="E1385" s="1">
        <v>92020</v>
      </c>
      <c r="F1385" s="4">
        <f t="shared" si="15"/>
        <v>31092.436974789918</v>
      </c>
      <c r="G1385" s="4">
        <f t="shared" si="13"/>
        <v>5907.5630252100846</v>
      </c>
      <c r="H1385" s="4">
        <v>37000</v>
      </c>
      <c r="I1385" s="4">
        <v>19386.89</v>
      </c>
      <c r="J1385" s="4">
        <f t="shared" si="17"/>
        <v>17613.11</v>
      </c>
    </row>
    <row r="1386" spans="1:10">
      <c r="A1386" s="1">
        <v>1386</v>
      </c>
      <c r="B1386" s="1" t="s">
        <v>928</v>
      </c>
      <c r="C1386" s="9">
        <v>45996</v>
      </c>
      <c r="D1386" s="1" t="s">
        <v>39</v>
      </c>
      <c r="E1386" s="1">
        <v>92021</v>
      </c>
      <c r="F1386" s="4">
        <f t="shared" si="15"/>
        <v>25210.084033613446</v>
      </c>
      <c r="G1386" s="4">
        <f t="shared" si="13"/>
        <v>4789.9159663865548</v>
      </c>
      <c r="H1386" s="4">
        <v>30000</v>
      </c>
      <c r="I1386" s="4">
        <v>23000</v>
      </c>
      <c r="J1386" s="4">
        <f t="shared" si="17"/>
        <v>7000</v>
      </c>
    </row>
    <row r="1387" spans="1:10">
      <c r="A1387" s="1">
        <v>1387</v>
      </c>
      <c r="B1387" s="1" t="s">
        <v>1575</v>
      </c>
      <c r="C1387" s="9">
        <v>46000</v>
      </c>
      <c r="D1387" s="1" t="s">
        <v>39</v>
      </c>
      <c r="E1387" s="1">
        <v>92022</v>
      </c>
      <c r="F1387" s="4">
        <f t="shared" si="15"/>
        <v>82352.941176470587</v>
      </c>
      <c r="G1387" s="4">
        <f t="shared" si="13"/>
        <v>15647.058823529413</v>
      </c>
      <c r="H1387" s="4">
        <v>98000</v>
      </c>
      <c r="I1387" s="4">
        <v>46602.78</v>
      </c>
      <c r="J1387" s="4">
        <f t="shared" si="17"/>
        <v>51397.22</v>
      </c>
    </row>
    <row r="1388" spans="1:10">
      <c r="A1388" s="1">
        <v>1388</v>
      </c>
      <c r="B1388" s="1" t="s">
        <v>1576</v>
      </c>
      <c r="C1388" s="9">
        <v>46000</v>
      </c>
      <c r="D1388" s="1" t="s">
        <v>39</v>
      </c>
      <c r="E1388" s="1">
        <v>92023</v>
      </c>
      <c r="F1388" s="4">
        <f t="shared" si="15"/>
        <v>38226.89075630252</v>
      </c>
      <c r="G1388" s="4">
        <f t="shared" si="13"/>
        <v>7263.1092436974786</v>
      </c>
      <c r="H1388" s="4">
        <v>45490</v>
      </c>
      <c r="I1388" s="4">
        <v>22612.38</v>
      </c>
      <c r="J1388" s="4">
        <f t="shared" si="17"/>
        <v>22877.62</v>
      </c>
    </row>
    <row r="1389" spans="1:10">
      <c r="A1389" s="1">
        <v>1389</v>
      </c>
      <c r="B1389" s="1" t="s">
        <v>1577</v>
      </c>
      <c r="C1389" s="9">
        <v>46000</v>
      </c>
      <c r="D1389" s="1" t="s">
        <v>39</v>
      </c>
      <c r="E1389" s="1">
        <v>92024</v>
      </c>
      <c r="F1389" s="4">
        <f t="shared" si="15"/>
        <v>5042.0168067226896</v>
      </c>
      <c r="G1389" s="4">
        <f t="shared" si="13"/>
        <v>957.98319327731099</v>
      </c>
      <c r="H1389" s="4">
        <v>6000</v>
      </c>
      <c r="I1389" s="4">
        <v>2994.04</v>
      </c>
      <c r="J1389" s="4">
        <f t="shared" si="17"/>
        <v>3005.96</v>
      </c>
    </row>
    <row r="1390" spans="1:10">
      <c r="A1390" s="1">
        <v>1390</v>
      </c>
      <c r="B1390" s="1" t="s">
        <v>1578</v>
      </c>
      <c r="C1390" s="9">
        <v>46000</v>
      </c>
      <c r="D1390" s="1" t="s">
        <v>12</v>
      </c>
      <c r="E1390" s="1">
        <v>63</v>
      </c>
      <c r="F1390" s="4">
        <f t="shared" si="15"/>
        <v>127731.0924369748</v>
      </c>
      <c r="G1390" s="4">
        <f t="shared" si="13"/>
        <v>24268.907563025212</v>
      </c>
      <c r="H1390" s="4">
        <v>152000</v>
      </c>
      <c r="I1390" s="4">
        <v>72209.5</v>
      </c>
      <c r="J1390" s="4">
        <f t="shared" si="17"/>
        <v>79790.5</v>
      </c>
    </row>
    <row r="1391" spans="1:10">
      <c r="A1391" s="1">
        <v>1391</v>
      </c>
      <c r="B1391" s="1" t="s">
        <v>1579</v>
      </c>
      <c r="C1391" s="9">
        <v>46000</v>
      </c>
      <c r="D1391" s="1" t="s">
        <v>39</v>
      </c>
      <c r="E1391" s="1">
        <v>92025</v>
      </c>
      <c r="F1391" s="4">
        <f t="shared" si="15"/>
        <v>49663.865546218491</v>
      </c>
      <c r="G1391" s="4">
        <f t="shared" si="13"/>
        <v>9436.134453781513</v>
      </c>
      <c r="H1391" s="4">
        <v>59100</v>
      </c>
      <c r="I1391" s="4">
        <v>36248.14</v>
      </c>
      <c r="J1391" s="4">
        <f t="shared" si="17"/>
        <v>22851.86</v>
      </c>
    </row>
    <row r="1392" spans="1:10">
      <c r="A1392" s="1">
        <v>1392</v>
      </c>
      <c r="B1392" s="1" t="s">
        <v>1580</v>
      </c>
      <c r="C1392" s="9">
        <v>46001</v>
      </c>
      <c r="D1392" s="1" t="s">
        <v>39</v>
      </c>
      <c r="E1392" s="1">
        <v>92026</v>
      </c>
      <c r="F1392" s="4">
        <f t="shared" si="15"/>
        <v>61344.537815126052</v>
      </c>
      <c r="G1392" s="4">
        <f t="shared" si="13"/>
        <v>11655.46218487395</v>
      </c>
      <c r="H1392" s="4">
        <v>73000</v>
      </c>
      <c r="I1392" s="4">
        <v>46993</v>
      </c>
      <c r="J1392" s="4">
        <f t="shared" si="17"/>
        <v>26007</v>
      </c>
    </row>
    <row r="1393" spans="1:10">
      <c r="A1393" s="1">
        <v>1393</v>
      </c>
      <c r="B1393" s="1" t="s">
        <v>1581</v>
      </c>
      <c r="C1393" s="9">
        <v>46001</v>
      </c>
      <c r="D1393" s="1" t="s">
        <v>12</v>
      </c>
      <c r="E1393" s="1">
        <v>64</v>
      </c>
      <c r="F1393" s="4">
        <f t="shared" si="15"/>
        <v>65547.058823529413</v>
      </c>
      <c r="G1393" s="4">
        <f t="shared" si="13"/>
        <v>12453.941176470589</v>
      </c>
      <c r="H1393" s="4">
        <v>78001</v>
      </c>
      <c r="I1393" s="4">
        <v>40256.800000000003</v>
      </c>
      <c r="J1393" s="4">
        <f t="shared" si="17"/>
        <v>37744.199999999997</v>
      </c>
    </row>
    <row r="1394" spans="1:10">
      <c r="A1394" s="1">
        <v>1394</v>
      </c>
      <c r="B1394" s="1" t="s">
        <v>1582</v>
      </c>
      <c r="C1394" s="9">
        <v>46001</v>
      </c>
      <c r="D1394" s="1" t="s">
        <v>12</v>
      </c>
      <c r="E1394" s="1">
        <v>65</v>
      </c>
      <c r="F1394" s="4">
        <f t="shared" si="15"/>
        <v>65126.050420168067</v>
      </c>
      <c r="G1394" s="4">
        <f t="shared" si="13"/>
        <v>12373.949579831933</v>
      </c>
      <c r="H1394" s="4">
        <v>77500</v>
      </c>
      <c r="I1394" s="4">
        <v>46018.97</v>
      </c>
      <c r="J1394" s="4">
        <f t="shared" si="17"/>
        <v>31481.03</v>
      </c>
    </row>
    <row r="1395" spans="1:10">
      <c r="A1395" s="1">
        <v>1395</v>
      </c>
      <c r="B1395" s="1" t="s">
        <v>1583</v>
      </c>
      <c r="C1395" s="9">
        <v>46001</v>
      </c>
      <c r="D1395" s="1" t="s">
        <v>39</v>
      </c>
      <c r="E1395" s="1">
        <v>92027</v>
      </c>
      <c r="F1395" s="4">
        <f t="shared" si="15"/>
        <v>12605.042016806723</v>
      </c>
      <c r="G1395" s="4">
        <f t="shared" si="13"/>
        <v>2394.9579831932774</v>
      </c>
      <c r="H1395" s="4">
        <v>15000</v>
      </c>
      <c r="I1395" s="4">
        <v>6893.5</v>
      </c>
      <c r="J1395" s="4">
        <f t="shared" si="17"/>
        <v>8106.5</v>
      </c>
    </row>
    <row r="1396" spans="1:10">
      <c r="A1396" s="1">
        <v>1396</v>
      </c>
      <c r="B1396" s="1" t="s">
        <v>1584</v>
      </c>
      <c r="C1396" s="9">
        <v>46001</v>
      </c>
      <c r="D1396" s="1" t="s">
        <v>39</v>
      </c>
      <c r="E1396" s="1">
        <v>92028</v>
      </c>
      <c r="F1396" s="4">
        <f t="shared" si="15"/>
        <v>2521.0084033613448</v>
      </c>
      <c r="G1396" s="4">
        <f t="shared" si="13"/>
        <v>478.99159663865549</v>
      </c>
      <c r="H1396" s="4">
        <v>3000</v>
      </c>
      <c r="I1396" s="4">
        <v>2072</v>
      </c>
      <c r="J1396" s="4">
        <f t="shared" si="17"/>
        <v>928</v>
      </c>
    </row>
    <row r="1397" spans="1:10">
      <c r="A1397" s="1">
        <v>1397</v>
      </c>
      <c r="B1397" s="1" t="s">
        <v>1585</v>
      </c>
      <c r="C1397" s="9">
        <v>46001</v>
      </c>
      <c r="D1397" s="1" t="s">
        <v>39</v>
      </c>
      <c r="E1397" s="1">
        <v>92029</v>
      </c>
      <c r="F1397" s="4">
        <f t="shared" si="15"/>
        <v>42016.806722689078</v>
      </c>
      <c r="G1397" s="4">
        <f t="shared" si="13"/>
        <v>7983.1932773109247</v>
      </c>
      <c r="H1397" s="4">
        <v>50000</v>
      </c>
      <c r="I1397" s="4">
        <v>35153.26</v>
      </c>
      <c r="J1397" s="4">
        <f t="shared" si="17"/>
        <v>14846.739999999998</v>
      </c>
    </row>
    <row r="1398" spans="1:10">
      <c r="A1398" s="1">
        <v>1398</v>
      </c>
      <c r="B1398" s="1" t="s">
        <v>1533</v>
      </c>
      <c r="C1398" s="9">
        <v>46001</v>
      </c>
      <c r="D1398" s="1" t="s">
        <v>39</v>
      </c>
      <c r="E1398" s="1">
        <v>92030</v>
      </c>
      <c r="F1398" s="4">
        <f t="shared" si="15"/>
        <v>37815.126050420171</v>
      </c>
      <c r="G1398" s="4">
        <f t="shared" si="13"/>
        <v>7184.8739495798327</v>
      </c>
      <c r="H1398" s="4">
        <v>45000</v>
      </c>
      <c r="I1398" s="4">
        <v>27128.13</v>
      </c>
      <c r="J1398" s="4">
        <f t="shared" si="17"/>
        <v>17871.87</v>
      </c>
    </row>
    <row r="1399" spans="1:10">
      <c r="A1399" s="1">
        <v>1399</v>
      </c>
      <c r="B1399" s="1" t="s">
        <v>1586</v>
      </c>
      <c r="C1399" s="9">
        <v>46001</v>
      </c>
      <c r="D1399" s="1" t="s">
        <v>39</v>
      </c>
      <c r="E1399" s="1">
        <v>92031</v>
      </c>
      <c r="F1399" s="4">
        <f t="shared" si="15"/>
        <v>21008.403361344539</v>
      </c>
      <c r="G1399" s="4">
        <f t="shared" si="13"/>
        <v>3991.5966386554624</v>
      </c>
      <c r="H1399" s="4">
        <v>25000</v>
      </c>
      <c r="I1399" s="4">
        <v>11935.7</v>
      </c>
      <c r="J1399" s="4">
        <f t="shared" ref="J1399:J1430" si="18">H1399-I1399</f>
        <v>13064.3</v>
      </c>
    </row>
    <row r="1400" spans="1:10">
      <c r="A1400" s="1">
        <v>1400</v>
      </c>
      <c r="B1400" s="1" t="s">
        <v>1587</v>
      </c>
      <c r="C1400" s="9">
        <v>46002</v>
      </c>
      <c r="D1400" s="1" t="s">
        <v>39</v>
      </c>
      <c r="E1400" s="1">
        <v>92032</v>
      </c>
      <c r="F1400" s="4">
        <f t="shared" si="15"/>
        <v>67226.890756302528</v>
      </c>
      <c r="G1400" s="4">
        <f t="shared" si="13"/>
        <v>12773.10924369748</v>
      </c>
      <c r="H1400" s="4">
        <v>80000</v>
      </c>
      <c r="I1400" s="4">
        <v>44245.39</v>
      </c>
      <c r="J1400" s="4">
        <f t="shared" si="18"/>
        <v>35754.61</v>
      </c>
    </row>
    <row r="1401" spans="1:10">
      <c r="A1401" s="1">
        <v>1401</v>
      </c>
      <c r="B1401" s="1" t="s">
        <v>1588</v>
      </c>
      <c r="C1401" s="9">
        <v>46002</v>
      </c>
      <c r="D1401" s="1" t="s">
        <v>39</v>
      </c>
      <c r="E1401" s="1">
        <v>92033</v>
      </c>
      <c r="F1401" s="4">
        <f t="shared" si="15"/>
        <v>5462.1848739495799</v>
      </c>
      <c r="G1401" s="4">
        <f t="shared" si="13"/>
        <v>1037.8151260504203</v>
      </c>
      <c r="H1401" s="4">
        <v>6500</v>
      </c>
      <c r="I1401" s="4">
        <v>3004.1550000000002</v>
      </c>
      <c r="J1401" s="4">
        <f t="shared" si="18"/>
        <v>3495.8449999999998</v>
      </c>
    </row>
    <row r="1402" spans="1:10">
      <c r="A1402" s="1">
        <v>1402</v>
      </c>
      <c r="B1402" s="1" t="s">
        <v>1589</v>
      </c>
      <c r="C1402" s="9">
        <v>46004</v>
      </c>
      <c r="D1402" s="1" t="s">
        <v>12</v>
      </c>
      <c r="E1402" s="1">
        <v>66</v>
      </c>
      <c r="F1402" s="4">
        <f t="shared" si="15"/>
        <v>79831.932773109249</v>
      </c>
      <c r="G1402" s="4">
        <f t="shared" si="13"/>
        <v>15168.067226890758</v>
      </c>
      <c r="H1402" s="4">
        <v>95000</v>
      </c>
      <c r="I1402" s="4">
        <v>69000</v>
      </c>
      <c r="J1402" s="4">
        <f t="shared" si="18"/>
        <v>26000</v>
      </c>
    </row>
    <row r="1403" spans="1:10">
      <c r="A1403" s="1">
        <v>1403</v>
      </c>
      <c r="B1403" s="1" t="s">
        <v>1590</v>
      </c>
      <c r="C1403" s="9">
        <v>46004</v>
      </c>
      <c r="D1403" s="1" t="s">
        <v>39</v>
      </c>
      <c r="E1403" s="1">
        <v>92034</v>
      </c>
      <c r="F1403" s="4">
        <f t="shared" si="15"/>
        <v>21008.403361344539</v>
      </c>
      <c r="G1403" s="4">
        <f t="shared" si="13"/>
        <v>3991.5966386554624</v>
      </c>
      <c r="H1403" s="4">
        <v>25000</v>
      </c>
      <c r="I1403" s="4">
        <v>15600</v>
      </c>
      <c r="J1403" s="4">
        <f t="shared" si="18"/>
        <v>9400</v>
      </c>
    </row>
    <row r="1404" spans="1:10">
      <c r="A1404" s="1">
        <v>1404</v>
      </c>
      <c r="B1404" s="1" t="s">
        <v>1531</v>
      </c>
      <c r="C1404" s="9">
        <v>46005</v>
      </c>
      <c r="D1404" s="1" t="s">
        <v>39</v>
      </c>
      <c r="E1404" s="1">
        <v>92035</v>
      </c>
      <c r="F1404" s="4">
        <f t="shared" si="15"/>
        <v>29411.764705882353</v>
      </c>
      <c r="G1404" s="4">
        <f t="shared" si="13"/>
        <v>5588.2352941176468</v>
      </c>
      <c r="H1404" s="4">
        <v>35000</v>
      </c>
      <c r="I1404" s="4">
        <v>24689.21</v>
      </c>
      <c r="J1404" s="4">
        <f t="shared" si="18"/>
        <v>10310.790000000001</v>
      </c>
    </row>
    <row r="1405" spans="1:10">
      <c r="A1405" s="1">
        <v>1405</v>
      </c>
      <c r="B1405" s="1" t="s">
        <v>1591</v>
      </c>
      <c r="C1405" s="9">
        <v>46005</v>
      </c>
      <c r="D1405" s="1" t="s">
        <v>39</v>
      </c>
      <c r="E1405" s="1">
        <v>92036</v>
      </c>
      <c r="F1405" s="4">
        <f t="shared" si="15"/>
        <v>36134.45378151261</v>
      </c>
      <c r="G1405" s="4">
        <f t="shared" si="13"/>
        <v>6865.5462184873959</v>
      </c>
      <c r="H1405" s="4">
        <v>43000</v>
      </c>
      <c r="I1405" s="4">
        <v>22606.43</v>
      </c>
      <c r="J1405" s="4">
        <f t="shared" si="18"/>
        <v>20393.57</v>
      </c>
    </row>
    <row r="1406" spans="1:10">
      <c r="A1406" s="1">
        <v>1406</v>
      </c>
      <c r="B1406" s="1" t="s">
        <v>1592</v>
      </c>
      <c r="C1406" s="9">
        <v>46005</v>
      </c>
      <c r="D1406" s="1" t="s">
        <v>39</v>
      </c>
      <c r="E1406" s="1">
        <v>92037</v>
      </c>
      <c r="F1406" s="4">
        <f t="shared" si="15"/>
        <v>4201.680672268908</v>
      </c>
      <c r="G1406" s="4">
        <f t="shared" si="13"/>
        <v>798.31932773109247</v>
      </c>
      <c r="H1406" s="4">
        <v>5000</v>
      </c>
      <c r="I1406" s="4">
        <v>2650.13</v>
      </c>
      <c r="J1406" s="4">
        <f t="shared" si="18"/>
        <v>2349.87</v>
      </c>
    </row>
    <row r="1407" spans="1:10">
      <c r="A1407" s="1">
        <v>1407</v>
      </c>
      <c r="B1407" s="1" t="s">
        <v>1593</v>
      </c>
      <c r="C1407" s="9">
        <v>46007</v>
      </c>
      <c r="D1407" s="1" t="s">
        <v>39</v>
      </c>
      <c r="E1407" s="1">
        <v>92038</v>
      </c>
      <c r="F1407" s="4">
        <f t="shared" si="15"/>
        <v>69495.798319327732</v>
      </c>
      <c r="G1407" s="4">
        <f t="shared" si="13"/>
        <v>13204.20168067227</v>
      </c>
      <c r="H1407" s="4">
        <v>82700</v>
      </c>
      <c r="I1407" s="4">
        <v>54622</v>
      </c>
      <c r="J1407" s="4">
        <f t="shared" si="18"/>
        <v>28078</v>
      </c>
    </row>
    <row r="1408" spans="1:10">
      <c r="A1408" s="1">
        <v>1408</v>
      </c>
      <c r="B1408" s="1" t="s">
        <v>1465</v>
      </c>
      <c r="C1408" s="9">
        <v>46007</v>
      </c>
      <c r="D1408" s="1" t="s">
        <v>39</v>
      </c>
      <c r="E1408" s="1">
        <v>92039</v>
      </c>
      <c r="F1408" s="4">
        <f t="shared" si="15"/>
        <v>8403.361344537816</v>
      </c>
      <c r="G1408" s="4">
        <f t="shared" si="13"/>
        <v>1596.6386554621849</v>
      </c>
      <c r="H1408" s="4">
        <v>10000</v>
      </c>
      <c r="I1408" s="4">
        <v>5158.6499999999996</v>
      </c>
      <c r="J1408" s="4">
        <f t="shared" si="18"/>
        <v>4841.3500000000004</v>
      </c>
    </row>
    <row r="1409" spans="1:10">
      <c r="A1409" s="1">
        <v>1409</v>
      </c>
      <c r="B1409" s="1" t="s">
        <v>1594</v>
      </c>
      <c r="C1409" s="9">
        <v>46015</v>
      </c>
      <c r="D1409" s="1" t="s">
        <v>12</v>
      </c>
      <c r="E1409" s="1">
        <v>67</v>
      </c>
      <c r="F1409" s="4">
        <f t="shared" si="15"/>
        <v>62016.806722689078</v>
      </c>
      <c r="G1409" s="4">
        <f t="shared" si="13"/>
        <v>11783.193277310926</v>
      </c>
      <c r="H1409" s="4">
        <v>73800</v>
      </c>
      <c r="I1409" s="4">
        <v>44900</v>
      </c>
      <c r="J1409" s="4">
        <f t="shared" si="18"/>
        <v>28900</v>
      </c>
    </row>
    <row r="1410" spans="1:10">
      <c r="A1410" s="1">
        <v>1410</v>
      </c>
      <c r="B1410" s="1" t="s">
        <v>1595</v>
      </c>
      <c r="C1410" s="9">
        <v>46018</v>
      </c>
      <c r="D1410" s="1" t="s">
        <v>39</v>
      </c>
      <c r="E1410" s="1">
        <v>92040</v>
      </c>
      <c r="F1410" s="4">
        <f t="shared" si="15"/>
        <v>29411.764705882353</v>
      </c>
      <c r="G1410" s="4">
        <f t="shared" si="13"/>
        <v>5588.2352941176468</v>
      </c>
      <c r="H1410" s="4">
        <v>35000</v>
      </c>
      <c r="I1410" s="4">
        <v>24992.65</v>
      </c>
      <c r="J1410" s="4">
        <f t="shared" si="18"/>
        <v>10007.349999999999</v>
      </c>
    </row>
    <row r="1411" spans="1:10">
      <c r="A1411" s="1">
        <v>1411</v>
      </c>
      <c r="B1411" s="1" t="s">
        <v>1596</v>
      </c>
      <c r="C1411" s="9">
        <v>46018</v>
      </c>
      <c r="D1411" s="1" t="s">
        <v>39</v>
      </c>
      <c r="E1411" s="1">
        <v>92041</v>
      </c>
      <c r="F1411" s="4">
        <f t="shared" si="15"/>
        <v>25210.084033613446</v>
      </c>
      <c r="G1411" s="4">
        <f t="shared" si="13"/>
        <v>4789.9159663865548</v>
      </c>
      <c r="H1411" s="4">
        <v>30000</v>
      </c>
      <c r="I1411" s="4">
        <v>17056</v>
      </c>
      <c r="J1411" s="4">
        <f t="shared" si="18"/>
        <v>12944</v>
      </c>
    </row>
    <row r="1412" spans="1:10">
      <c r="A1412" s="1">
        <v>1412</v>
      </c>
      <c r="B1412" s="1" t="s">
        <v>1597</v>
      </c>
      <c r="C1412" s="9">
        <v>46019</v>
      </c>
      <c r="D1412" s="1" t="s">
        <v>39</v>
      </c>
      <c r="E1412" s="1">
        <v>92042</v>
      </c>
      <c r="F1412" s="4">
        <f t="shared" si="15"/>
        <v>100840.33613445378</v>
      </c>
      <c r="G1412" s="4">
        <f t="shared" si="13"/>
        <v>19159.663865546219</v>
      </c>
      <c r="H1412" s="4">
        <v>120000</v>
      </c>
      <c r="I1412" s="4">
        <v>87651.07</v>
      </c>
      <c r="J1412" s="4">
        <f t="shared" si="18"/>
        <v>32348.929999999993</v>
      </c>
    </row>
    <row r="1413" spans="1:10">
      <c r="A1413" s="1">
        <v>1413</v>
      </c>
      <c r="B1413" s="1" t="s">
        <v>1598</v>
      </c>
      <c r="C1413" s="9">
        <v>46021</v>
      </c>
      <c r="D1413" s="1" t="s">
        <v>39</v>
      </c>
      <c r="E1413" s="1">
        <v>92043</v>
      </c>
      <c r="F1413" s="4">
        <f t="shared" si="15"/>
        <v>7983.1932773109247</v>
      </c>
      <c r="G1413" s="4">
        <f t="shared" si="13"/>
        <v>1516.8067226890757</v>
      </c>
      <c r="H1413" s="4">
        <v>9500</v>
      </c>
      <c r="I1413" s="4">
        <v>6537.86</v>
      </c>
      <c r="J1413" s="4">
        <f t="shared" si="18"/>
        <v>2962.1400000000003</v>
      </c>
    </row>
    <row r="1414" spans="1:10">
      <c r="A1414" s="1">
        <v>1414</v>
      </c>
      <c r="B1414" s="1" t="s">
        <v>1599</v>
      </c>
      <c r="C1414" s="9">
        <v>46022</v>
      </c>
      <c r="D1414" s="1" t="s">
        <v>39</v>
      </c>
      <c r="E1414" s="1">
        <v>92044</v>
      </c>
      <c r="F1414" s="4">
        <f t="shared" si="15"/>
        <v>35462.184873949584</v>
      </c>
      <c r="G1414" s="4">
        <f t="shared" si="13"/>
        <v>6737.815126050421</v>
      </c>
      <c r="H1414" s="4">
        <v>42200</v>
      </c>
      <c r="I1414" s="4">
        <v>22414.244999999999</v>
      </c>
      <c r="J1414" s="4">
        <f t="shared" si="18"/>
        <v>19785.755000000001</v>
      </c>
    </row>
    <row r="1415" spans="1:10">
      <c r="A1415" s="1">
        <v>1415</v>
      </c>
      <c r="B1415" s="1" t="s">
        <v>1600</v>
      </c>
      <c r="C1415" s="9">
        <v>46022</v>
      </c>
      <c r="D1415" s="1" t="s">
        <v>39</v>
      </c>
      <c r="E1415" s="1">
        <v>92045</v>
      </c>
      <c r="F1415" s="4">
        <f t="shared" si="15"/>
        <v>47478.991596638654</v>
      </c>
      <c r="G1415" s="4">
        <f t="shared" si="13"/>
        <v>9021.0084033613439</v>
      </c>
      <c r="H1415" s="4">
        <v>56500</v>
      </c>
      <c r="I1415" s="4">
        <v>34905.67</v>
      </c>
      <c r="J1415" s="4">
        <f t="shared" si="18"/>
        <v>21594.33</v>
      </c>
    </row>
    <row r="1416" spans="1:10">
      <c r="A1416" s="1">
        <v>1416</v>
      </c>
      <c r="B1416" s="1" t="s">
        <v>1601</v>
      </c>
      <c r="C1416" s="9">
        <v>46024</v>
      </c>
      <c r="D1416" s="1" t="s">
        <v>39</v>
      </c>
      <c r="E1416" s="1">
        <v>92046</v>
      </c>
      <c r="F1416" s="4">
        <f t="shared" si="15"/>
        <v>35966.386554621851</v>
      </c>
      <c r="G1416" s="4">
        <f t="shared" si="13"/>
        <v>6833.6134453781515</v>
      </c>
      <c r="H1416" s="4">
        <v>42800</v>
      </c>
      <c r="I1416" s="4">
        <v>22798.615000000002</v>
      </c>
      <c r="J1416" s="4">
        <f t="shared" si="18"/>
        <v>20001.384999999998</v>
      </c>
    </row>
    <row r="1417" spans="1:10">
      <c r="A1417" s="1">
        <v>1417</v>
      </c>
      <c r="B1417" s="1" t="s">
        <v>1602</v>
      </c>
      <c r="C1417" s="9">
        <v>46024</v>
      </c>
      <c r="D1417" s="1" t="s">
        <v>39</v>
      </c>
      <c r="E1417" s="1">
        <v>92047</v>
      </c>
      <c r="F1417" s="4">
        <f t="shared" si="15"/>
        <v>43025.210084033613</v>
      </c>
      <c r="G1417" s="4">
        <f t="shared" si="13"/>
        <v>8174.7899159663866</v>
      </c>
      <c r="H1417" s="4">
        <v>51200</v>
      </c>
      <c r="I1417" s="4">
        <v>24940.77</v>
      </c>
      <c r="J1417" s="4">
        <f t="shared" si="18"/>
        <v>26259.23</v>
      </c>
    </row>
    <row r="1418" spans="1:10">
      <c r="A1418" s="1">
        <v>1418</v>
      </c>
      <c r="B1418" s="1" t="s">
        <v>1603</v>
      </c>
      <c r="C1418" s="9">
        <v>46027</v>
      </c>
      <c r="D1418" s="1" t="s">
        <v>39</v>
      </c>
      <c r="E1418" s="1">
        <v>92048</v>
      </c>
      <c r="F1418" s="4">
        <f t="shared" si="15"/>
        <v>58823.529411764706</v>
      </c>
      <c r="G1418" s="4">
        <f t="shared" si="13"/>
        <v>11176.470588235294</v>
      </c>
      <c r="H1418" s="4">
        <v>70000</v>
      </c>
      <c r="I1418" s="4">
        <v>59900</v>
      </c>
      <c r="J1418" s="4">
        <f t="shared" si="18"/>
        <v>10100</v>
      </c>
    </row>
    <row r="1419" spans="1:10">
      <c r="A1419" s="1">
        <v>1419</v>
      </c>
      <c r="B1419" s="1" t="s">
        <v>1604</v>
      </c>
      <c r="C1419" s="9">
        <v>46032</v>
      </c>
      <c r="D1419" s="1" t="s">
        <v>39</v>
      </c>
      <c r="E1419" s="1">
        <v>92049</v>
      </c>
      <c r="F1419" s="4">
        <f t="shared" si="15"/>
        <v>35294.117647058825</v>
      </c>
      <c r="G1419" s="4">
        <f t="shared" si="13"/>
        <v>6705.8823529411766</v>
      </c>
      <c r="H1419" s="4">
        <v>42000</v>
      </c>
      <c r="I1419" s="4">
        <v>22414.25</v>
      </c>
      <c r="J1419" s="4">
        <f t="shared" si="18"/>
        <v>19585.75</v>
      </c>
    </row>
    <row r="1420" spans="1:10">
      <c r="A1420" s="1">
        <v>1420</v>
      </c>
      <c r="B1420" s="1" t="s">
        <v>1605</v>
      </c>
      <c r="C1420" s="9">
        <v>46033</v>
      </c>
      <c r="D1420" s="1" t="s">
        <v>39</v>
      </c>
      <c r="E1420" s="1">
        <v>92050</v>
      </c>
      <c r="F1420" s="4">
        <f t="shared" si="15"/>
        <v>35294.117647058825</v>
      </c>
      <c r="G1420" s="4">
        <f t="shared" si="13"/>
        <v>6705.8823529411766</v>
      </c>
      <c r="H1420" s="4">
        <v>42000</v>
      </c>
      <c r="I1420" s="4">
        <v>25170.027999999998</v>
      </c>
      <c r="J1420" s="4">
        <f t="shared" si="18"/>
        <v>16829.972000000002</v>
      </c>
    </row>
    <row r="1421" spans="1:10">
      <c r="A1421" s="1">
        <v>1421</v>
      </c>
      <c r="B1421" s="1" t="s">
        <v>1606</v>
      </c>
      <c r="C1421" s="9">
        <v>46033</v>
      </c>
      <c r="D1421" s="1" t="s">
        <v>39</v>
      </c>
      <c r="E1421" s="1">
        <v>92051</v>
      </c>
      <c r="F1421" s="4">
        <f t="shared" si="15"/>
        <v>41176.470588235294</v>
      </c>
      <c r="G1421" s="4">
        <f t="shared" si="13"/>
        <v>7823.5294117647063</v>
      </c>
      <c r="H1421" s="4">
        <v>49000</v>
      </c>
      <c r="I1421" s="4">
        <v>24626.455000000002</v>
      </c>
      <c r="J1421" s="4">
        <f t="shared" si="18"/>
        <v>24373.544999999998</v>
      </c>
    </row>
    <row r="1422" spans="1:10">
      <c r="A1422" s="1">
        <v>1422</v>
      </c>
      <c r="B1422" s="1" t="s">
        <v>1607</v>
      </c>
      <c r="C1422" s="9">
        <v>46033</v>
      </c>
      <c r="D1422" s="1" t="s">
        <v>39</v>
      </c>
      <c r="E1422" s="1">
        <v>92052</v>
      </c>
      <c r="F1422" s="4">
        <f t="shared" si="15"/>
        <v>50420.168067226892</v>
      </c>
      <c r="G1422" s="4">
        <f t="shared" si="13"/>
        <v>9579.8319327731097</v>
      </c>
      <c r="H1422" s="4">
        <v>60000</v>
      </c>
      <c r="I1422" s="4">
        <v>33838.125999999997</v>
      </c>
      <c r="J1422" s="4">
        <f t="shared" si="18"/>
        <v>26161.874000000003</v>
      </c>
    </row>
    <row r="1423" spans="1:10">
      <c r="A1423" s="1">
        <v>1423</v>
      </c>
      <c r="B1423" s="1" t="s">
        <v>1608</v>
      </c>
      <c r="C1423" s="9">
        <v>46035</v>
      </c>
      <c r="D1423" s="1" t="s">
        <v>39</v>
      </c>
      <c r="E1423" s="1">
        <v>92053</v>
      </c>
      <c r="F1423" s="4">
        <f t="shared" si="15"/>
        <v>18470.588235294119</v>
      </c>
      <c r="G1423" s="4">
        <f t="shared" si="13"/>
        <v>3509.4117647058824</v>
      </c>
      <c r="H1423" s="4">
        <v>21980</v>
      </c>
      <c r="I1423" s="4">
        <v>14385.45</v>
      </c>
      <c r="J1423" s="4">
        <f t="shared" si="18"/>
        <v>7594.5499999999993</v>
      </c>
    </row>
    <row r="1424" spans="1:10">
      <c r="A1424" s="1">
        <v>1424</v>
      </c>
      <c r="B1424" s="1" t="s">
        <v>1609</v>
      </c>
      <c r="C1424" s="9">
        <v>46035</v>
      </c>
      <c r="D1424" s="1" t="s">
        <v>39</v>
      </c>
      <c r="E1424" s="1">
        <v>92054</v>
      </c>
      <c r="F1424" s="4">
        <f t="shared" si="15"/>
        <v>98319.327731092446</v>
      </c>
      <c r="G1424" s="4">
        <f t="shared" si="13"/>
        <v>18680.672268907565</v>
      </c>
      <c r="H1424" s="4">
        <v>117000</v>
      </c>
      <c r="I1424" s="4">
        <v>90000.11</v>
      </c>
      <c r="J1424" s="4">
        <f t="shared" si="18"/>
        <v>26999.89</v>
      </c>
    </row>
    <row r="1425" spans="1:10">
      <c r="A1425" s="1">
        <v>1425</v>
      </c>
      <c r="B1425" s="1" t="s">
        <v>1610</v>
      </c>
      <c r="C1425" s="9">
        <v>46035</v>
      </c>
      <c r="D1425" s="1" t="s">
        <v>39</v>
      </c>
      <c r="E1425" s="1">
        <v>92055</v>
      </c>
      <c r="F1425" s="4">
        <f t="shared" si="15"/>
        <v>67226.890756302528</v>
      </c>
      <c r="G1425" s="4">
        <f t="shared" si="13"/>
        <v>12773.10924369748</v>
      </c>
      <c r="H1425" s="4">
        <v>80000</v>
      </c>
      <c r="I1425" s="4">
        <v>52065.474999999999</v>
      </c>
      <c r="J1425" s="4">
        <f t="shared" si="18"/>
        <v>27934.525000000001</v>
      </c>
    </row>
    <row r="1426" spans="1:10">
      <c r="A1426" s="1">
        <v>1426</v>
      </c>
      <c r="B1426" s="1" t="s">
        <v>1611</v>
      </c>
      <c r="C1426" s="9">
        <v>46036</v>
      </c>
      <c r="D1426" s="1" t="s">
        <v>39</v>
      </c>
      <c r="E1426" s="1">
        <v>92056</v>
      </c>
      <c r="F1426" s="4">
        <f t="shared" si="15"/>
        <v>41176.470588235294</v>
      </c>
      <c r="G1426" s="4">
        <f t="shared" si="13"/>
        <v>7823.5294117647063</v>
      </c>
      <c r="H1426" s="4">
        <v>49000</v>
      </c>
      <c r="I1426" s="4">
        <v>24626.455000000002</v>
      </c>
      <c r="J1426" s="4">
        <f t="shared" si="18"/>
        <v>24373.544999999998</v>
      </c>
    </row>
    <row r="1427" spans="1:10">
      <c r="A1427" s="1">
        <v>1427</v>
      </c>
      <c r="B1427" s="1" t="s">
        <v>1612</v>
      </c>
      <c r="C1427" s="9">
        <v>46036</v>
      </c>
      <c r="D1427" s="1" t="s">
        <v>39</v>
      </c>
      <c r="E1427" s="1">
        <v>92057</v>
      </c>
      <c r="F1427" s="4">
        <f t="shared" si="15"/>
        <v>38235.294117647063</v>
      </c>
      <c r="G1427" s="4">
        <f t="shared" si="13"/>
        <v>7264.7058823529424</v>
      </c>
      <c r="H1427" s="4">
        <v>45500</v>
      </c>
      <c r="I1427" s="4">
        <v>26729.19</v>
      </c>
      <c r="J1427" s="4">
        <f t="shared" si="18"/>
        <v>18770.810000000001</v>
      </c>
    </row>
    <row r="1428" spans="1:10">
      <c r="A1428" s="1">
        <v>1428</v>
      </c>
      <c r="B1428" s="1" t="s">
        <v>1449</v>
      </c>
      <c r="C1428" s="9">
        <v>46039</v>
      </c>
      <c r="D1428" s="1" t="s">
        <v>39</v>
      </c>
      <c r="E1428" s="1">
        <v>92059</v>
      </c>
      <c r="F1428" s="4">
        <f t="shared" si="15"/>
        <v>37563.025210084037</v>
      </c>
      <c r="G1428" s="4">
        <f t="shared" si="13"/>
        <v>7136.9747899159674</v>
      </c>
      <c r="H1428" s="4">
        <v>44700</v>
      </c>
      <c r="I1428" s="4">
        <v>22141.74</v>
      </c>
      <c r="J1428" s="4">
        <f t="shared" si="18"/>
        <v>22558.26</v>
      </c>
    </row>
    <row r="1429" spans="1:10">
      <c r="A1429" s="1">
        <v>1429</v>
      </c>
      <c r="B1429" s="1" t="s">
        <v>1613</v>
      </c>
      <c r="C1429" s="9">
        <v>46039</v>
      </c>
      <c r="D1429" s="1" t="s">
        <v>39</v>
      </c>
      <c r="E1429" s="1">
        <v>92058</v>
      </c>
      <c r="F1429" s="4">
        <f t="shared" si="15"/>
        <v>25210.084033613446</v>
      </c>
      <c r="G1429" s="4">
        <f t="shared" si="13"/>
        <v>4789.9159663865548</v>
      </c>
      <c r="H1429" s="4">
        <v>30000</v>
      </c>
      <c r="I1429" s="4">
        <v>13570.35</v>
      </c>
      <c r="J1429" s="4">
        <f t="shared" si="18"/>
        <v>16429.650000000001</v>
      </c>
    </row>
    <row r="1430" spans="1:10">
      <c r="A1430" s="1">
        <v>1430</v>
      </c>
      <c r="B1430" s="1" t="s">
        <v>1614</v>
      </c>
      <c r="C1430" s="9">
        <v>46039</v>
      </c>
      <c r="D1430" s="1" t="s">
        <v>39</v>
      </c>
      <c r="E1430" s="1">
        <v>92060</v>
      </c>
      <c r="F1430" s="4">
        <f t="shared" si="15"/>
        <v>35042.016806722691</v>
      </c>
      <c r="G1430" s="4">
        <f t="shared" si="13"/>
        <v>6657.9831932773113</v>
      </c>
      <c r="H1430" s="4">
        <v>41700</v>
      </c>
      <c r="I1430" s="4">
        <v>22394.19</v>
      </c>
      <c r="J1430" s="4">
        <f t="shared" si="18"/>
        <v>19305.810000000001</v>
      </c>
    </row>
    <row r="1431" spans="1:10">
      <c r="A1431" s="1">
        <v>1431</v>
      </c>
      <c r="B1431" s="1" t="s">
        <v>1615</v>
      </c>
      <c r="C1431" s="9">
        <v>46044</v>
      </c>
      <c r="D1431" s="1" t="s">
        <v>39</v>
      </c>
      <c r="E1431" s="1">
        <v>92061</v>
      </c>
      <c r="F1431" s="4">
        <f t="shared" si="15"/>
        <v>44537.815126050424</v>
      </c>
      <c r="G1431" s="4">
        <f t="shared" si="13"/>
        <v>8462.1848739495799</v>
      </c>
      <c r="H1431" s="4">
        <v>53000</v>
      </c>
      <c r="I1431" s="4">
        <v>28627.21</v>
      </c>
      <c r="J1431" s="4">
        <f t="shared" ref="J1431:J1451" si="19">H1431-I1431</f>
        <v>24372.79</v>
      </c>
    </row>
    <row r="1432" spans="1:10">
      <c r="A1432" s="1">
        <v>1432</v>
      </c>
      <c r="B1432" s="1" t="s">
        <v>1616</v>
      </c>
      <c r="C1432" s="9">
        <v>46044</v>
      </c>
      <c r="D1432" s="1" t="s">
        <v>12</v>
      </c>
      <c r="E1432" s="1">
        <v>68</v>
      </c>
      <c r="F1432" s="4">
        <f t="shared" si="15"/>
        <v>29411.764705882353</v>
      </c>
      <c r="G1432" s="4">
        <f t="shared" si="13"/>
        <v>5588.2352941176468</v>
      </c>
      <c r="H1432" s="4">
        <v>35000</v>
      </c>
      <c r="I1432" s="4">
        <v>30000</v>
      </c>
      <c r="J1432" s="4">
        <f t="shared" si="19"/>
        <v>5000</v>
      </c>
    </row>
    <row r="1433" spans="1:10">
      <c r="A1433" s="1">
        <v>1433</v>
      </c>
      <c r="B1433" s="1" t="s">
        <v>1617</v>
      </c>
      <c r="C1433" s="9">
        <v>46045</v>
      </c>
      <c r="D1433" s="1" t="s">
        <v>39</v>
      </c>
      <c r="E1433" s="1">
        <v>92062</v>
      </c>
      <c r="F1433" s="4">
        <f t="shared" si="15"/>
        <v>16806.722689075632</v>
      </c>
      <c r="G1433" s="4">
        <f t="shared" si="13"/>
        <v>3193.2773109243699</v>
      </c>
      <c r="H1433" s="4">
        <v>20000</v>
      </c>
      <c r="I1433" s="4">
        <v>13009.33</v>
      </c>
      <c r="J1433" s="4">
        <f t="shared" si="19"/>
        <v>6990.67</v>
      </c>
    </row>
    <row r="1434" spans="1:10">
      <c r="A1434" s="1">
        <v>1434</v>
      </c>
      <c r="B1434" s="1" t="s">
        <v>1618</v>
      </c>
      <c r="C1434" s="9">
        <v>46046</v>
      </c>
      <c r="D1434" s="1" t="s">
        <v>39</v>
      </c>
      <c r="E1434" s="1">
        <v>92063</v>
      </c>
      <c r="F1434" s="4">
        <f t="shared" si="15"/>
        <v>91368.907563025219</v>
      </c>
      <c r="G1434" s="4">
        <f t="shared" si="13"/>
        <v>17360.092436974792</v>
      </c>
      <c r="H1434" s="4">
        <v>108729</v>
      </c>
      <c r="I1434" s="4">
        <v>86114.45</v>
      </c>
      <c r="J1434" s="4">
        <f t="shared" si="19"/>
        <v>22614.550000000003</v>
      </c>
    </row>
    <row r="1435" spans="1:10">
      <c r="A1435" s="1">
        <v>1435</v>
      </c>
      <c r="B1435" s="1" t="s">
        <v>1619</v>
      </c>
      <c r="C1435" s="9">
        <v>46048</v>
      </c>
      <c r="D1435" s="1" t="s">
        <v>12</v>
      </c>
      <c r="E1435" s="1">
        <v>69</v>
      </c>
      <c r="F1435" s="4">
        <f t="shared" si="15"/>
        <v>193696.63865546219</v>
      </c>
      <c r="G1435" s="4">
        <f t="shared" si="13"/>
        <v>36802.361344537814</v>
      </c>
      <c r="H1435" s="4">
        <v>230499</v>
      </c>
      <c r="I1435" s="4">
        <v>132749.26</v>
      </c>
      <c r="J1435" s="4">
        <f t="shared" si="19"/>
        <v>97749.739999999991</v>
      </c>
    </row>
    <row r="1436" spans="1:10">
      <c r="A1436" s="1">
        <v>1436</v>
      </c>
      <c r="B1436" s="1" t="s">
        <v>1620</v>
      </c>
      <c r="C1436" s="9">
        <v>46051</v>
      </c>
      <c r="D1436" s="1" t="s">
        <v>39</v>
      </c>
      <c r="E1436" s="1">
        <v>92064</v>
      </c>
      <c r="F1436" s="4">
        <f t="shared" si="15"/>
        <v>60924.36974789916</v>
      </c>
      <c r="G1436" s="4">
        <f t="shared" si="13"/>
        <v>11575.63025210084</v>
      </c>
      <c r="H1436" s="4">
        <v>72500</v>
      </c>
      <c r="I1436" s="4">
        <v>49502.81</v>
      </c>
      <c r="J1436" s="4">
        <f t="shared" si="19"/>
        <v>22997.190000000002</v>
      </c>
    </row>
    <row r="1437" spans="1:10">
      <c r="A1437" s="1">
        <v>1437</v>
      </c>
      <c r="B1437" s="1" t="s">
        <v>1621</v>
      </c>
      <c r="C1437" s="9">
        <v>46051</v>
      </c>
      <c r="D1437" s="1" t="s">
        <v>12</v>
      </c>
      <c r="E1437" s="1">
        <v>70</v>
      </c>
      <c r="F1437" s="4">
        <f t="shared" si="15"/>
        <v>40336.134453781517</v>
      </c>
      <c r="G1437" s="4">
        <f t="shared" si="13"/>
        <v>7663.8655462184879</v>
      </c>
      <c r="H1437" s="4">
        <v>48000</v>
      </c>
      <c r="I1437" s="4">
        <v>24656.799999999999</v>
      </c>
      <c r="J1437" s="4">
        <f t="shared" si="19"/>
        <v>23343.200000000001</v>
      </c>
    </row>
    <row r="1438" spans="1:10">
      <c r="A1438" s="1">
        <v>1438</v>
      </c>
      <c r="B1438" s="1" t="s">
        <v>1622</v>
      </c>
      <c r="C1438" s="9">
        <v>46051</v>
      </c>
      <c r="D1438" s="1" t="s">
        <v>39</v>
      </c>
      <c r="E1438" s="1">
        <v>92065</v>
      </c>
      <c r="F1438" s="4">
        <f t="shared" si="15"/>
        <v>79411.76470588235</v>
      </c>
      <c r="G1438" s="4">
        <f t="shared" si="13"/>
        <v>15088.235294117647</v>
      </c>
      <c r="H1438" s="4">
        <v>94500</v>
      </c>
      <c r="I1438" s="4">
        <v>53122.195</v>
      </c>
      <c r="J1438" s="4">
        <f t="shared" si="19"/>
        <v>41377.805</v>
      </c>
    </row>
    <row r="1439" spans="1:10">
      <c r="A1439" s="1">
        <v>1439</v>
      </c>
      <c r="B1439" s="1" t="s">
        <v>1623</v>
      </c>
      <c r="C1439" s="9">
        <v>46052</v>
      </c>
      <c r="D1439" s="1" t="s">
        <v>39</v>
      </c>
      <c r="E1439" s="1">
        <v>92066</v>
      </c>
      <c r="F1439" s="4">
        <f t="shared" si="15"/>
        <v>15126.050420168069</v>
      </c>
      <c r="G1439" s="4">
        <f t="shared" si="13"/>
        <v>2873.9495798319331</v>
      </c>
      <c r="H1439" s="4">
        <v>18000</v>
      </c>
      <c r="I1439" s="4">
        <v>9729.89</v>
      </c>
      <c r="J1439" s="4">
        <f t="shared" si="19"/>
        <v>8270.11</v>
      </c>
    </row>
    <row r="1440" spans="1:10">
      <c r="A1440" s="1">
        <v>1440</v>
      </c>
      <c r="B1440" s="1" t="s">
        <v>1624</v>
      </c>
      <c r="C1440" s="9">
        <v>46055</v>
      </c>
      <c r="D1440" s="1" t="s">
        <v>39</v>
      </c>
      <c r="E1440" s="1">
        <v>92067</v>
      </c>
      <c r="F1440" s="4">
        <f t="shared" si="15"/>
        <v>71428.571428571435</v>
      </c>
      <c r="G1440" s="4">
        <f t="shared" si="13"/>
        <v>13571.428571428572</v>
      </c>
      <c r="H1440" s="4">
        <v>85000</v>
      </c>
      <c r="I1440" s="4">
        <v>63774.1</v>
      </c>
      <c r="J1440" s="4">
        <f t="shared" si="19"/>
        <v>21225.9</v>
      </c>
    </row>
    <row r="1441" spans="1:10">
      <c r="A1441" s="1">
        <v>1441</v>
      </c>
      <c r="B1441" s="1" t="s">
        <v>1625</v>
      </c>
      <c r="C1441" s="9">
        <v>46056</v>
      </c>
      <c r="D1441" s="1" t="s">
        <v>39</v>
      </c>
      <c r="E1441" s="1">
        <v>92068</v>
      </c>
      <c r="F1441" s="4">
        <f t="shared" si="15"/>
        <v>59663.865546218491</v>
      </c>
      <c r="G1441" s="4">
        <f t="shared" si="13"/>
        <v>11336.134453781513</v>
      </c>
      <c r="H1441" s="4">
        <v>71000</v>
      </c>
      <c r="I1441" s="4">
        <v>55584.39</v>
      </c>
      <c r="J1441" s="4">
        <f t="shared" si="19"/>
        <v>15415.61</v>
      </c>
    </row>
    <row r="1442" spans="1:10">
      <c r="A1442" s="1">
        <v>1442</v>
      </c>
      <c r="B1442" s="1" t="s">
        <v>1626</v>
      </c>
      <c r="C1442" s="9">
        <v>46056</v>
      </c>
      <c r="D1442" s="1" t="s">
        <v>39</v>
      </c>
      <c r="E1442" s="1">
        <v>92069</v>
      </c>
      <c r="F1442" s="4">
        <f t="shared" si="15"/>
        <v>29411.764705882353</v>
      </c>
      <c r="G1442" s="4">
        <f t="shared" si="13"/>
        <v>5588.2352941176468</v>
      </c>
      <c r="H1442" s="4">
        <v>35000</v>
      </c>
      <c r="I1442" s="4">
        <v>24546.73</v>
      </c>
      <c r="J1442" s="4">
        <f t="shared" si="19"/>
        <v>10453.27</v>
      </c>
    </row>
    <row r="1443" spans="1:10">
      <c r="A1443" s="1">
        <v>1443</v>
      </c>
      <c r="B1443" s="1" t="s">
        <v>1627</v>
      </c>
      <c r="C1443" s="9">
        <v>46058</v>
      </c>
      <c r="D1443" s="1" t="s">
        <v>39</v>
      </c>
      <c r="E1443" s="1">
        <v>92070</v>
      </c>
      <c r="F1443" s="4">
        <f t="shared" si="15"/>
        <v>35294.117647058825</v>
      </c>
      <c r="G1443" s="4">
        <f t="shared" si="13"/>
        <v>6705.8823529411766</v>
      </c>
      <c r="H1443" s="4">
        <v>42000</v>
      </c>
      <c r="I1443" s="4">
        <v>22414.25</v>
      </c>
      <c r="J1443" s="4">
        <f t="shared" si="19"/>
        <v>19585.75</v>
      </c>
    </row>
    <row r="1444" spans="1:10">
      <c r="A1444" s="1">
        <v>1444</v>
      </c>
      <c r="B1444" s="1" t="s">
        <v>1628</v>
      </c>
      <c r="C1444" s="9">
        <v>46058</v>
      </c>
      <c r="D1444" s="1" t="s">
        <v>39</v>
      </c>
      <c r="E1444" s="1">
        <v>92071</v>
      </c>
      <c r="F1444" s="4">
        <f t="shared" si="15"/>
        <v>91596.638655462186</v>
      </c>
      <c r="G1444" s="4">
        <f t="shared" si="13"/>
        <v>17403.361344537814</v>
      </c>
      <c r="H1444" s="4">
        <v>109000</v>
      </c>
      <c r="I1444" s="4">
        <v>59520.6</v>
      </c>
      <c r="J1444" s="4">
        <f t="shared" si="19"/>
        <v>49479.4</v>
      </c>
    </row>
    <row r="1445" spans="1:10">
      <c r="A1445" s="1">
        <v>1445</v>
      </c>
      <c r="B1445" s="1" t="s">
        <v>1629</v>
      </c>
      <c r="C1445" s="9">
        <v>46058</v>
      </c>
      <c r="D1445" s="1" t="s">
        <v>39</v>
      </c>
      <c r="E1445" s="1">
        <v>92072</v>
      </c>
      <c r="F1445" s="4">
        <f t="shared" si="15"/>
        <v>82352.941176470587</v>
      </c>
      <c r="G1445" s="4">
        <f t="shared" si="13"/>
        <v>15647.058823529413</v>
      </c>
      <c r="H1445" s="4">
        <v>98000</v>
      </c>
      <c r="I1445" s="4">
        <v>53191.22</v>
      </c>
      <c r="J1445" s="4">
        <f t="shared" si="19"/>
        <v>44808.78</v>
      </c>
    </row>
    <row r="1446" spans="1:10">
      <c r="A1446" s="1">
        <v>1446</v>
      </c>
      <c r="B1446" s="1" t="s">
        <v>1630</v>
      </c>
      <c r="C1446" s="9">
        <v>46058</v>
      </c>
      <c r="D1446" s="1" t="s">
        <v>39</v>
      </c>
      <c r="E1446" s="1">
        <v>92073</v>
      </c>
      <c r="F1446" s="4">
        <f t="shared" si="15"/>
        <v>119050.42016806723</v>
      </c>
      <c r="G1446" s="4">
        <f t="shared" si="13"/>
        <v>22619.579831932773</v>
      </c>
      <c r="H1446" s="4">
        <v>141670</v>
      </c>
      <c r="I1446" s="4">
        <v>102277.928</v>
      </c>
      <c r="J1446" s="4">
        <f t="shared" si="19"/>
        <v>39392.072</v>
      </c>
    </row>
    <row r="1447" spans="1:10">
      <c r="A1447" s="1">
        <v>1447</v>
      </c>
      <c r="B1447" s="1" t="s">
        <v>1631</v>
      </c>
      <c r="C1447" s="9">
        <v>46061</v>
      </c>
      <c r="D1447" s="1" t="s">
        <v>39</v>
      </c>
      <c r="E1447" s="1">
        <v>92074</v>
      </c>
      <c r="F1447" s="4">
        <f t="shared" si="15"/>
        <v>37815.126050420171</v>
      </c>
      <c r="G1447" s="4">
        <f t="shared" si="13"/>
        <v>7184.8739495798327</v>
      </c>
      <c r="H1447" s="4">
        <v>45000</v>
      </c>
      <c r="I1447" s="4">
        <v>27900</v>
      </c>
      <c r="J1447" s="4">
        <f t="shared" si="19"/>
        <v>17100</v>
      </c>
    </row>
    <row r="1448" spans="1:10">
      <c r="A1448" s="1">
        <v>1448</v>
      </c>
      <c r="B1448" s="1" t="s">
        <v>1632</v>
      </c>
      <c r="C1448" s="9">
        <v>46061</v>
      </c>
      <c r="D1448" s="1" t="s">
        <v>39</v>
      </c>
      <c r="E1448" s="1">
        <v>92075</v>
      </c>
      <c r="F1448" s="4">
        <f t="shared" si="15"/>
        <v>58823.529411764706</v>
      </c>
      <c r="G1448" s="4">
        <f t="shared" si="13"/>
        <v>11176.470588235294</v>
      </c>
      <c r="H1448" s="4">
        <v>70000</v>
      </c>
      <c r="I1448" s="4">
        <v>45761.69</v>
      </c>
      <c r="J1448" s="4">
        <f t="shared" si="19"/>
        <v>24238.309999999998</v>
      </c>
    </row>
    <row r="1449" spans="1:10">
      <c r="A1449" s="1">
        <v>1449</v>
      </c>
      <c r="B1449" s="1" t="s">
        <v>1633</v>
      </c>
      <c r="C1449" s="9">
        <v>46063</v>
      </c>
      <c r="D1449" s="1" t="s">
        <v>39</v>
      </c>
      <c r="E1449" s="1">
        <v>92076</v>
      </c>
      <c r="F1449" s="4">
        <f t="shared" si="15"/>
        <v>67226.890756302528</v>
      </c>
      <c r="G1449" s="4">
        <f t="shared" si="13"/>
        <v>12773.10924369748</v>
      </c>
      <c r="H1449" s="4">
        <v>80000</v>
      </c>
      <c r="I1449" s="4">
        <v>67965</v>
      </c>
      <c r="J1449" s="4">
        <f t="shared" si="19"/>
        <v>12035</v>
      </c>
    </row>
    <row r="1450" spans="1:10">
      <c r="A1450" s="1">
        <v>1450</v>
      </c>
      <c r="B1450" s="1" t="s">
        <v>1634</v>
      </c>
      <c r="C1450" s="9">
        <v>46063</v>
      </c>
      <c r="D1450" s="1" t="s">
        <v>39</v>
      </c>
      <c r="E1450" s="1">
        <v>92077</v>
      </c>
      <c r="F1450" s="4">
        <f t="shared" si="15"/>
        <v>42016.806722689078</v>
      </c>
      <c r="G1450" s="4">
        <f t="shared" si="13"/>
        <v>7983.1932773109247</v>
      </c>
      <c r="H1450" s="4">
        <v>50000</v>
      </c>
      <c r="I1450" s="4">
        <v>42165.760000000002</v>
      </c>
      <c r="J1450" s="4">
        <f t="shared" si="19"/>
        <v>7834.239999999998</v>
      </c>
    </row>
    <row r="1451" spans="1:10">
      <c r="A1451" s="1">
        <v>1451</v>
      </c>
      <c r="B1451" s="1" t="s">
        <v>1635</v>
      </c>
      <c r="C1451" s="9">
        <v>46068</v>
      </c>
      <c r="D1451" s="1" t="s">
        <v>39</v>
      </c>
      <c r="E1451" s="1">
        <v>92078</v>
      </c>
      <c r="F1451" s="4">
        <f t="shared" si="15"/>
        <v>52941.176470588238</v>
      </c>
      <c r="G1451" s="4">
        <f t="shared" ref="G1451" si="20">F1451*0.19</f>
        <v>10058.823529411766</v>
      </c>
      <c r="H1451" s="4">
        <v>63000</v>
      </c>
      <c r="I1451" s="4">
        <v>34772.99</v>
      </c>
      <c r="J1451" s="4">
        <f t="shared" si="19"/>
        <v>28227.010000000002</v>
      </c>
    </row>
    <row r="1452" spans="1:10">
      <c r="A1452" s="1"/>
      <c r="C1452" s="9"/>
      <c r="D1452" s="1"/>
      <c r="F1452" s="4"/>
      <c r="G1452" s="4"/>
      <c r="H1452" s="4"/>
      <c r="I1452" s="4"/>
      <c r="J1452" s="4"/>
    </row>
    <row r="1453" spans="1:10">
      <c r="A1453" s="1"/>
      <c r="C1453" s="9"/>
      <c r="D1453" s="1"/>
      <c r="F1453" s="4"/>
      <c r="G1453" s="4"/>
      <c r="H1453" s="4"/>
      <c r="I1453" s="4"/>
      <c r="J1453" s="4"/>
    </row>
    <row r="1454" spans="1:10">
      <c r="A1454" s="1"/>
      <c r="C1454" s="9"/>
      <c r="D1454" s="1"/>
      <c r="F1454" s="4"/>
      <c r="G1454" s="4"/>
      <c r="H1454" s="4"/>
      <c r="I1454" s="4"/>
      <c r="J1454" s="4"/>
    </row>
    <row r="1455" spans="1:10">
      <c r="A1455" s="1"/>
      <c r="C1455" s="9"/>
      <c r="D1455" s="1"/>
      <c r="F1455" s="4"/>
      <c r="G1455" s="4"/>
      <c r="H1455" s="4"/>
      <c r="I1455" s="4"/>
      <c r="J1455" s="4"/>
    </row>
    <row r="1456" spans="1:10">
      <c r="A1456" s="1"/>
      <c r="C1456" s="9"/>
      <c r="D1456" s="1"/>
      <c r="F1456" s="4"/>
      <c r="G1456" s="4"/>
      <c r="H1456" s="4"/>
      <c r="I1456" s="4"/>
      <c r="J1456" s="4"/>
    </row>
    <row r="1457" spans="1:10">
      <c r="A1457" s="1"/>
      <c r="C1457" s="9"/>
      <c r="D1457" s="1"/>
      <c r="F1457" s="4"/>
      <c r="G1457" s="4"/>
      <c r="H1457" s="4"/>
      <c r="I1457" s="4"/>
      <c r="J1457" s="4"/>
    </row>
    <row r="1458" spans="1:10">
      <c r="A1458" s="1"/>
      <c r="C1458" s="9"/>
      <c r="D1458" s="1"/>
      <c r="F1458" s="4"/>
      <c r="G1458" s="4"/>
      <c r="H1458" s="4"/>
      <c r="I1458" s="4"/>
      <c r="J1458" s="4"/>
    </row>
    <row r="1459" spans="1:10">
      <c r="A1459" s="1"/>
      <c r="C1459" s="9"/>
      <c r="D1459" s="1"/>
      <c r="F1459" s="4"/>
      <c r="G1459" s="4"/>
      <c r="H1459" s="4"/>
      <c r="I1459" s="4"/>
      <c r="J1459" s="4"/>
    </row>
    <row r="1460" spans="1:10">
      <c r="A1460" s="1"/>
      <c r="C1460" s="9"/>
      <c r="D1460" s="1"/>
      <c r="F1460" s="4"/>
      <c r="G1460" s="4"/>
      <c r="H1460" s="4"/>
      <c r="I1460" s="4"/>
      <c r="J1460" s="4"/>
    </row>
    <row r="1461" spans="1:10">
      <c r="A1461" s="1"/>
      <c r="C1461" s="9"/>
      <c r="D1461" s="1"/>
      <c r="F1461" s="4"/>
      <c r="G1461" s="4"/>
      <c r="H1461" s="4"/>
      <c r="I1461" s="4"/>
      <c r="J1461" s="4"/>
    </row>
    <row r="1462" spans="1:10">
      <c r="A1462" s="1"/>
      <c r="C1462" s="9"/>
      <c r="D1462" s="1"/>
      <c r="F1462" s="4"/>
      <c r="G1462" s="4"/>
      <c r="H1462" s="4"/>
      <c r="I1462" s="4"/>
      <c r="J1462" s="4"/>
    </row>
    <row r="1463" spans="1:10">
      <c r="A1463" s="1"/>
      <c r="C1463" s="9"/>
      <c r="D1463" s="1"/>
      <c r="F1463" s="4"/>
      <c r="G1463" s="4"/>
      <c r="H1463" s="4"/>
      <c r="I1463" s="4"/>
      <c r="J1463" s="4"/>
    </row>
    <row r="1464" spans="1:10">
      <c r="A1464" s="1"/>
      <c r="C1464" s="9"/>
      <c r="D1464" s="1"/>
      <c r="F1464" s="4"/>
      <c r="G1464" s="4"/>
      <c r="H1464" s="4"/>
      <c r="I1464" s="4"/>
      <c r="J1464" s="4"/>
    </row>
    <row r="1465" spans="1:10">
      <c r="A1465" s="1"/>
      <c r="C1465" s="9"/>
      <c r="D1465" s="1"/>
      <c r="F1465" s="4"/>
      <c r="G1465" s="4"/>
      <c r="H1465" s="4"/>
      <c r="I1465" s="4"/>
      <c r="J1465" s="4"/>
    </row>
    <row r="1466" spans="1:10">
      <c r="A1466" s="1"/>
      <c r="C1466" s="9"/>
      <c r="D1466" s="1"/>
      <c r="F1466" s="4"/>
      <c r="G1466" s="4"/>
      <c r="H1466" s="4"/>
      <c r="I1466" s="4"/>
      <c r="J1466" s="4"/>
    </row>
    <row r="1467" spans="1:10">
      <c r="A1467" s="1"/>
      <c r="C1467" s="9"/>
      <c r="D1467" s="1"/>
      <c r="F1467" s="4"/>
      <c r="G1467" s="4"/>
      <c r="H1467" s="4"/>
      <c r="I1467" s="4"/>
      <c r="J1467" s="4"/>
    </row>
    <row r="1468" spans="1:10">
      <c r="C1468" s="9"/>
      <c r="D1468" s="1"/>
      <c r="F1468" s="4"/>
      <c r="G1468" s="4"/>
      <c r="H1468" s="4"/>
      <c r="I1468" s="4"/>
      <c r="J1468" s="4"/>
    </row>
    <row r="1469" spans="1:10">
      <c r="C1469" s="9"/>
      <c r="D1469" s="1"/>
      <c r="F1469" s="4"/>
      <c r="G1469" s="4"/>
      <c r="H1469" s="4"/>
      <c r="I1469" s="4"/>
      <c r="J1469" s="4"/>
    </row>
    <row r="1470" spans="1:10">
      <c r="C1470" s="9"/>
      <c r="D1470" s="1"/>
      <c r="F1470" s="4"/>
      <c r="G1470" s="4"/>
      <c r="H1470" s="4"/>
      <c r="I1470" s="4"/>
      <c r="J1470" s="4"/>
    </row>
    <row r="1471" spans="1:10">
      <c r="C1471" s="9"/>
      <c r="D1471" s="1"/>
      <c r="F1471" s="4"/>
      <c r="G1471" s="4"/>
      <c r="H1471" s="4"/>
      <c r="I1471" s="4"/>
      <c r="J1471" s="4"/>
    </row>
    <row r="1472" spans="1:10">
      <c r="C1472" s="9"/>
      <c r="D1472" s="1"/>
      <c r="F1472" s="4"/>
      <c r="G1472" s="4"/>
      <c r="H1472" s="4"/>
      <c r="I1472" s="4"/>
      <c r="J1472" s="4"/>
    </row>
    <row r="1473" spans="3:10">
      <c r="C1473" s="9"/>
      <c r="D1473" s="1"/>
      <c r="F1473" s="4"/>
      <c r="G1473" s="4"/>
      <c r="H1473" s="4"/>
      <c r="I1473" s="4"/>
      <c r="J1473" s="4"/>
    </row>
    <row r="1474" spans="3:10">
      <c r="C1474" s="9"/>
      <c r="D1474" s="1"/>
      <c r="F1474" s="4"/>
      <c r="G1474" s="4"/>
      <c r="H1474" s="4"/>
      <c r="I1474" s="4"/>
      <c r="J1474" s="4"/>
    </row>
    <row r="1475" spans="3:10">
      <c r="C1475" s="9"/>
      <c r="D1475" s="1"/>
      <c r="F1475" s="4"/>
      <c r="G1475" s="4"/>
      <c r="H1475" s="4"/>
      <c r="I1475" s="4"/>
      <c r="J1475" s="4"/>
    </row>
    <row r="1476" spans="3:10">
      <c r="C1476" s="9"/>
      <c r="D1476" s="1"/>
      <c r="F1476" s="4"/>
      <c r="G1476" s="4"/>
      <c r="H1476" s="4"/>
      <c r="I1476" s="4"/>
      <c r="J1476" s="4"/>
    </row>
    <row r="1477" spans="3:10">
      <c r="C1477" s="9"/>
      <c r="D1477" s="1"/>
      <c r="F1477" s="4"/>
      <c r="G1477" s="4"/>
      <c r="H1477" s="4"/>
      <c r="I1477" s="4"/>
      <c r="J1477" s="4"/>
    </row>
    <row r="1478" spans="3:10">
      <c r="C1478" s="9"/>
      <c r="D1478" s="1"/>
      <c r="F1478" s="4"/>
      <c r="G1478" s="4"/>
      <c r="H1478" s="4"/>
      <c r="I1478" s="4"/>
      <c r="J1478" s="4"/>
    </row>
    <row r="1479" spans="3:10">
      <c r="C1479" s="9"/>
      <c r="D1479" s="1"/>
      <c r="F1479" s="4"/>
      <c r="G1479" s="4"/>
      <c r="H1479" s="4"/>
      <c r="I1479" s="4"/>
      <c r="J1479" s="4"/>
    </row>
    <row r="1480" spans="3:10">
      <c r="C1480" s="9"/>
      <c r="D1480" s="1"/>
      <c r="F1480" s="4"/>
      <c r="G1480" s="4"/>
      <c r="H1480" s="4"/>
      <c r="I1480" s="4"/>
      <c r="J1480" s="4"/>
    </row>
    <row r="1481" spans="3:10">
      <c r="C1481" s="9"/>
      <c r="D1481" s="1"/>
      <c r="F1481" s="4"/>
      <c r="G1481" s="4"/>
      <c r="H1481" s="4"/>
      <c r="I1481" s="4"/>
      <c r="J1481" s="4"/>
    </row>
    <row r="1482" spans="3:10">
      <c r="C1482" s="9"/>
      <c r="D1482" s="1"/>
      <c r="F1482" s="4"/>
      <c r="G1482" s="4"/>
      <c r="H1482" s="4"/>
      <c r="I1482" s="4"/>
      <c r="J1482" s="4"/>
    </row>
    <row r="1483" spans="3:10">
      <c r="C1483" s="9"/>
      <c r="D1483" s="1"/>
      <c r="F1483" s="4"/>
      <c r="G1483" s="4"/>
      <c r="H1483" s="4"/>
      <c r="I1483" s="4"/>
      <c r="J1483" s="4"/>
    </row>
    <row r="1484" spans="3:10">
      <c r="C1484" s="9"/>
      <c r="D1484" s="1"/>
      <c r="F1484" s="4"/>
      <c r="G1484" s="4"/>
      <c r="H1484" s="4"/>
      <c r="I1484" s="4"/>
      <c r="J1484" s="4"/>
    </row>
    <row r="1485" spans="3:10">
      <c r="C1485" s="9"/>
      <c r="D1485" s="1"/>
      <c r="F1485" s="4"/>
      <c r="G1485" s="4"/>
      <c r="H1485" s="4"/>
      <c r="I1485" s="4"/>
      <c r="J1485" s="4"/>
    </row>
    <row r="1486" spans="3:10">
      <c r="C1486" s="9"/>
      <c r="D1486" s="1"/>
      <c r="F1486" s="4"/>
      <c r="G1486" s="4"/>
      <c r="H1486" s="4"/>
      <c r="I1486" s="4"/>
      <c r="J1486" s="4"/>
    </row>
    <row r="1487" spans="3:10">
      <c r="C1487" s="9"/>
      <c r="D1487" s="1"/>
      <c r="F1487" s="4"/>
      <c r="G1487" s="4"/>
      <c r="H1487" s="4"/>
      <c r="I1487" s="4"/>
      <c r="J1487" s="4"/>
    </row>
    <row r="1488" spans="3:10">
      <c r="C1488" s="9"/>
      <c r="D1488" s="1"/>
      <c r="F1488" s="4"/>
      <c r="G1488" s="4"/>
      <c r="H1488" s="4"/>
      <c r="I1488" s="4"/>
      <c r="J1488" s="4"/>
    </row>
    <row r="1489" spans="3:10">
      <c r="C1489" s="9"/>
      <c r="D1489" s="1"/>
      <c r="F1489" s="4"/>
      <c r="G1489" s="4"/>
      <c r="H1489" s="4"/>
      <c r="I1489" s="4"/>
      <c r="J1489" s="4"/>
    </row>
    <row r="1490" spans="3:10">
      <c r="C1490" s="9"/>
      <c r="D1490" s="1"/>
      <c r="F1490" s="4"/>
      <c r="G1490" s="4"/>
      <c r="H1490" s="4"/>
      <c r="I1490" s="4"/>
      <c r="J1490" s="4"/>
    </row>
    <row r="1491" spans="3:10">
      <c r="C1491" s="9"/>
      <c r="D1491" s="1"/>
      <c r="F1491" s="4"/>
      <c r="G1491" s="4"/>
      <c r="H1491" s="4"/>
      <c r="I1491" s="4"/>
      <c r="J1491" s="4"/>
    </row>
    <row r="1492" spans="3:10">
      <c r="C1492" s="9"/>
      <c r="D1492" s="1"/>
      <c r="F1492" s="4"/>
      <c r="G1492" s="4"/>
      <c r="H1492" s="4"/>
      <c r="I1492" s="4"/>
      <c r="J1492" s="4"/>
    </row>
    <row r="1493" spans="3:10">
      <c r="C1493" s="9"/>
      <c r="D1493" s="1"/>
      <c r="F1493" s="4"/>
      <c r="G1493" s="4"/>
      <c r="H1493" s="4"/>
      <c r="I1493" s="4"/>
      <c r="J1493" s="4"/>
    </row>
    <row r="1494" spans="3:10">
      <c r="C1494" s="9"/>
      <c r="D1494" s="1"/>
      <c r="F1494" s="4"/>
      <c r="G1494" s="4"/>
      <c r="H1494" s="4"/>
      <c r="I1494" s="4"/>
      <c r="J1494" s="4"/>
    </row>
    <row r="1495" spans="3:10">
      <c r="C1495" s="9"/>
      <c r="D1495" s="1"/>
      <c r="F1495" s="4"/>
      <c r="G1495" s="4"/>
      <c r="H1495" s="4"/>
      <c r="I1495" s="4"/>
      <c r="J1495" s="4"/>
    </row>
    <row r="1496" spans="3:10">
      <c r="C1496" s="9"/>
      <c r="D1496" s="1"/>
      <c r="F1496" s="4"/>
      <c r="G1496" s="4"/>
      <c r="H1496" s="4"/>
      <c r="I1496" s="4"/>
      <c r="J1496" s="4"/>
    </row>
    <row r="1497" spans="3:10">
      <c r="C1497" s="9"/>
      <c r="D1497" s="1"/>
      <c r="F1497" s="4"/>
      <c r="G1497" s="4"/>
      <c r="H1497" s="4"/>
      <c r="I1497" s="4"/>
      <c r="J1497" s="4"/>
    </row>
    <row r="1498" spans="3:10">
      <c r="C1498" s="9"/>
      <c r="D1498" s="1"/>
      <c r="F1498" s="4"/>
      <c r="G1498" s="4"/>
      <c r="H1498" s="4"/>
      <c r="I1498" s="4"/>
      <c r="J1498" s="4"/>
    </row>
    <row r="1499" spans="3:10">
      <c r="C1499" s="9"/>
      <c r="D1499" s="1"/>
      <c r="F1499" s="4"/>
      <c r="G1499" s="4"/>
      <c r="H1499" s="4"/>
      <c r="I1499" s="4"/>
      <c r="J1499" s="4"/>
    </row>
    <row r="1500" spans="3:10">
      <c r="C1500" s="9"/>
      <c r="D1500" s="1"/>
      <c r="F1500" s="4"/>
      <c r="G1500" s="4"/>
      <c r="H1500" s="4"/>
      <c r="I1500" s="4"/>
      <c r="J1500" s="4"/>
    </row>
    <row r="1501" spans="3:10">
      <c r="C1501" s="9"/>
      <c r="D1501" s="1"/>
      <c r="F1501" s="4"/>
      <c r="G1501" s="4"/>
      <c r="H1501" s="4"/>
      <c r="I1501" s="4"/>
      <c r="J1501" s="4"/>
    </row>
    <row r="1502" spans="3:10">
      <c r="C1502" s="9"/>
      <c r="D1502" s="1"/>
      <c r="F1502" s="4"/>
      <c r="G1502" s="4"/>
      <c r="H1502" s="4"/>
      <c r="I1502" s="4"/>
      <c r="J1502" s="4"/>
    </row>
    <row r="1503" spans="3:10">
      <c r="C1503" s="9"/>
      <c r="D1503" s="1"/>
      <c r="F1503" s="4"/>
      <c r="G1503" s="4"/>
      <c r="H1503" s="4"/>
      <c r="I1503" s="4"/>
      <c r="J1503" s="4"/>
    </row>
    <row r="1504" spans="3:10">
      <c r="C1504" s="9"/>
      <c r="D1504" s="1"/>
      <c r="F1504" s="4"/>
      <c r="G1504" s="4"/>
      <c r="H1504" s="4"/>
      <c r="I1504" s="4"/>
      <c r="J1504" s="4"/>
    </row>
    <row r="1505" spans="3:10">
      <c r="C1505" s="9"/>
      <c r="D1505" s="1"/>
      <c r="F1505" s="4"/>
      <c r="G1505" s="4"/>
      <c r="H1505" s="4"/>
      <c r="I1505" s="4"/>
      <c r="J1505" s="4"/>
    </row>
    <row r="1506" spans="3:10">
      <c r="C1506" s="9"/>
      <c r="D1506" s="1"/>
      <c r="F1506" s="4"/>
      <c r="G1506" s="4"/>
      <c r="H1506" s="4"/>
      <c r="I1506" s="4"/>
      <c r="J1506" s="4"/>
    </row>
    <row r="1507" spans="3:10">
      <c r="C1507" s="9"/>
      <c r="D1507" s="1"/>
      <c r="F1507" s="4"/>
      <c r="G1507" s="4"/>
      <c r="H1507" s="4"/>
      <c r="I1507" s="4"/>
      <c r="J1507" s="4"/>
    </row>
    <row r="1508" spans="3:10">
      <c r="C1508" s="9"/>
      <c r="D1508" s="1"/>
      <c r="F1508" s="4"/>
      <c r="G1508" s="4"/>
      <c r="H1508" s="4"/>
      <c r="I1508" s="4"/>
      <c r="J1508" s="4"/>
    </row>
    <row r="1509" spans="3:10">
      <c r="C1509" s="9"/>
      <c r="D1509" s="1"/>
      <c r="F1509" s="4"/>
      <c r="G1509" s="4"/>
      <c r="H1509" s="4"/>
      <c r="I1509" s="4"/>
      <c r="J1509" s="4"/>
    </row>
    <row r="1510" spans="3:10">
      <c r="C1510" s="9"/>
      <c r="D1510" s="1"/>
      <c r="F1510" s="4"/>
      <c r="G1510" s="4"/>
      <c r="H1510" s="4"/>
      <c r="I1510" s="4"/>
      <c r="J1510" s="4"/>
    </row>
    <row r="1511" spans="3:10">
      <c r="C1511" s="9"/>
      <c r="D1511" s="1"/>
      <c r="F1511" s="4"/>
      <c r="G1511" s="4"/>
      <c r="H1511" s="4"/>
      <c r="I1511" s="4"/>
      <c r="J1511" s="4"/>
    </row>
    <row r="1512" spans="3:10">
      <c r="C1512" s="9"/>
      <c r="D1512" s="1"/>
      <c r="F1512" s="4"/>
      <c r="G1512" s="4"/>
      <c r="H1512" s="4"/>
      <c r="I1512" s="4"/>
      <c r="J1512" s="4"/>
    </row>
    <row r="1513" spans="3:10">
      <c r="C1513" s="9"/>
      <c r="D1513" s="1"/>
      <c r="F1513" s="4"/>
      <c r="G1513" s="4"/>
      <c r="H1513" s="4"/>
      <c r="I1513" s="4"/>
      <c r="J1513" s="4"/>
    </row>
    <row r="1514" spans="3:10">
      <c r="C1514" s="9"/>
      <c r="D1514" s="1"/>
      <c r="F1514" s="4"/>
      <c r="G1514" s="4"/>
      <c r="H1514" s="4"/>
      <c r="I1514" s="4"/>
      <c r="J1514" s="4"/>
    </row>
    <row r="1515" spans="3:10">
      <c r="C1515" s="9"/>
      <c r="D1515" s="1"/>
      <c r="F1515" s="4"/>
      <c r="G1515" s="4"/>
      <c r="H1515" s="4"/>
      <c r="I1515" s="4"/>
      <c r="J1515" s="4"/>
    </row>
    <row r="1516" spans="3:10">
      <c r="C1516" s="9"/>
      <c r="D1516" s="1"/>
      <c r="F1516" s="4"/>
      <c r="G1516" s="4"/>
      <c r="H1516" s="4"/>
      <c r="I1516" s="4"/>
      <c r="J1516" s="4"/>
    </row>
    <row r="1517" spans="3:10">
      <c r="C1517" s="9"/>
      <c r="D1517" s="1"/>
      <c r="F1517" s="4"/>
      <c r="G1517" s="4"/>
      <c r="H1517" s="4"/>
      <c r="I1517" s="4"/>
      <c r="J1517" s="4"/>
    </row>
    <row r="1518" spans="3:10">
      <c r="C1518" s="9"/>
      <c r="D1518" s="1"/>
      <c r="F1518" s="4"/>
      <c r="G1518" s="4"/>
      <c r="H1518" s="4"/>
      <c r="I1518" s="4"/>
      <c r="J1518" s="4"/>
    </row>
    <row r="1519" spans="3:10">
      <c r="C1519" s="9"/>
      <c r="D1519" s="1"/>
      <c r="F1519" s="4"/>
      <c r="G1519" s="4"/>
      <c r="H1519" s="4"/>
      <c r="I1519" s="4"/>
      <c r="J1519" s="4"/>
    </row>
    <row r="1520" spans="3:10">
      <c r="C1520" s="9"/>
      <c r="D1520" s="1"/>
      <c r="F1520" s="4"/>
      <c r="G1520" s="4"/>
      <c r="H1520" s="4"/>
      <c r="I1520" s="4"/>
      <c r="J1520" s="4"/>
    </row>
    <row r="1521" spans="3:10">
      <c r="C1521" s="9"/>
      <c r="D1521" s="1"/>
      <c r="F1521" s="4"/>
      <c r="G1521" s="4"/>
      <c r="H1521" s="4"/>
      <c r="I1521" s="4"/>
      <c r="J1521" s="4"/>
    </row>
    <row r="1522" spans="3:10">
      <c r="C1522" s="9"/>
      <c r="D1522" s="1"/>
      <c r="F1522" s="4"/>
      <c r="G1522" s="4"/>
      <c r="H1522" s="4"/>
      <c r="I1522" s="4"/>
      <c r="J1522" s="4"/>
    </row>
    <row r="1523" spans="3:10">
      <c r="C1523" s="9"/>
      <c r="D1523" s="1"/>
      <c r="F1523" s="4"/>
      <c r="G1523" s="4"/>
      <c r="H1523" s="4"/>
      <c r="I1523" s="4"/>
      <c r="J1523" s="4"/>
    </row>
    <row r="1524" spans="3:10">
      <c r="C1524" s="9"/>
      <c r="D1524" s="1"/>
      <c r="F1524" s="4"/>
      <c r="G1524" s="4"/>
      <c r="H1524" s="4"/>
      <c r="I1524" s="4"/>
      <c r="J1524" s="4"/>
    </row>
    <row r="1525" spans="3:10">
      <c r="C1525" s="9"/>
      <c r="D1525" s="1"/>
      <c r="F1525" s="4"/>
      <c r="G1525" s="4"/>
      <c r="H1525" s="4"/>
      <c r="I1525" s="4"/>
      <c r="J1525" s="4"/>
    </row>
    <row r="1526" spans="3:10">
      <c r="C1526" s="9"/>
      <c r="D1526" s="1"/>
      <c r="F1526" s="4"/>
      <c r="G1526" s="4"/>
      <c r="H1526" s="4"/>
      <c r="I1526" s="4"/>
      <c r="J1526" s="4"/>
    </row>
    <row r="1527" spans="3:10">
      <c r="C1527" s="9"/>
      <c r="D1527" s="1"/>
      <c r="F1527" s="4"/>
      <c r="G1527" s="4"/>
      <c r="H1527" s="4"/>
      <c r="I1527" s="4"/>
      <c r="J1527" s="4"/>
    </row>
    <row r="1528" spans="3:10">
      <c r="C1528" s="9"/>
      <c r="D1528" s="1"/>
      <c r="F1528" s="4"/>
      <c r="G1528" s="4"/>
      <c r="H1528" s="4"/>
      <c r="I1528" s="4"/>
      <c r="J1528" s="4"/>
    </row>
    <row r="1529" spans="3:10">
      <c r="C1529" s="9"/>
      <c r="D1529" s="1"/>
      <c r="F1529" s="4"/>
      <c r="G1529" s="4"/>
      <c r="H1529" s="4"/>
      <c r="I1529" s="4"/>
      <c r="J1529" s="4"/>
    </row>
    <row r="1530" spans="3:10">
      <c r="C1530" s="9"/>
      <c r="D1530" s="1"/>
      <c r="F1530" s="4"/>
      <c r="G1530" s="4"/>
      <c r="H1530" s="4"/>
      <c r="I1530" s="4"/>
      <c r="J1530" s="4"/>
    </row>
    <row r="1531" spans="3:10">
      <c r="C1531" s="9"/>
      <c r="D1531" s="1"/>
      <c r="F1531" s="4"/>
      <c r="G1531" s="4"/>
      <c r="H1531" s="4"/>
      <c r="I1531" s="4"/>
      <c r="J1531" s="4"/>
    </row>
    <row r="1532" spans="3:10">
      <c r="C1532" s="9"/>
      <c r="D1532" s="1"/>
      <c r="F1532" s="4"/>
      <c r="G1532" s="4"/>
      <c r="H1532" s="4"/>
      <c r="I1532" s="4"/>
      <c r="J1532" s="4"/>
    </row>
    <row r="1533" spans="3:10">
      <c r="C1533" s="9"/>
      <c r="D1533" s="1"/>
      <c r="F1533" s="4"/>
      <c r="G1533" s="4"/>
      <c r="H1533" s="4"/>
      <c r="I1533" s="4"/>
      <c r="J1533" s="4"/>
    </row>
    <row r="1534" spans="3:10">
      <c r="C1534" s="9"/>
      <c r="D1534" s="1"/>
      <c r="F1534" s="4"/>
      <c r="G1534" s="4"/>
      <c r="H1534" s="4"/>
      <c r="I1534" s="4"/>
      <c r="J1534" s="4"/>
    </row>
    <row r="1535" spans="3:10">
      <c r="C1535" s="9"/>
      <c r="D1535" s="1"/>
      <c r="F1535" s="4"/>
      <c r="G1535" s="4"/>
      <c r="H1535" s="4"/>
      <c r="I1535" s="4"/>
      <c r="J1535" s="4"/>
    </row>
    <row r="1536" spans="3:10">
      <c r="C1536" s="9"/>
      <c r="D1536" s="1"/>
      <c r="F1536" s="4"/>
      <c r="G1536" s="4"/>
      <c r="H1536" s="4"/>
      <c r="I1536" s="4"/>
      <c r="J1536" s="4"/>
    </row>
    <row r="1537" spans="3:10">
      <c r="C1537" s="9"/>
      <c r="D1537" s="1"/>
      <c r="F1537" s="4"/>
      <c r="G1537" s="4"/>
      <c r="H1537" s="4"/>
      <c r="I1537" s="4"/>
      <c r="J1537" s="4"/>
    </row>
    <row r="1538" spans="3:10">
      <c r="C1538" s="9"/>
      <c r="D1538" s="1"/>
      <c r="F1538" s="4"/>
      <c r="G1538" s="4"/>
      <c r="H1538" s="4"/>
      <c r="I1538" s="4"/>
      <c r="J1538" s="4"/>
    </row>
    <row r="1539" spans="3:10">
      <c r="C1539" s="9"/>
      <c r="D1539" s="1"/>
      <c r="F1539" s="4"/>
      <c r="G1539" s="4"/>
      <c r="H1539" s="4"/>
      <c r="I1539" s="4"/>
      <c r="J1539" s="4"/>
    </row>
    <row r="1540" spans="3:10">
      <c r="C1540" s="9"/>
      <c r="D1540" s="1"/>
      <c r="F1540" s="4"/>
      <c r="G1540" s="4"/>
      <c r="H1540" s="4"/>
      <c r="I1540" s="4"/>
      <c r="J1540" s="4"/>
    </row>
    <row r="1541" spans="3:10">
      <c r="C1541" s="9"/>
      <c r="D1541" s="1"/>
      <c r="F1541" s="4"/>
      <c r="G1541" s="4"/>
      <c r="H1541" s="4"/>
      <c r="I1541" s="4"/>
      <c r="J1541" s="4"/>
    </row>
    <row r="1542" spans="3:10">
      <c r="C1542" s="9"/>
      <c r="D1542" s="1"/>
      <c r="F1542" s="4"/>
      <c r="G1542" s="4"/>
      <c r="H1542" s="4"/>
      <c r="I1542" s="4"/>
      <c r="J1542" s="4"/>
    </row>
    <row r="1543" spans="3:10">
      <c r="C1543" s="9"/>
      <c r="D1543" s="1"/>
      <c r="F1543" s="4"/>
      <c r="G1543" s="4"/>
      <c r="H1543" s="4"/>
      <c r="I1543" s="4"/>
      <c r="J1543" s="4"/>
    </row>
    <row r="1544" spans="3:10">
      <c r="C1544" s="9"/>
      <c r="D1544" s="1"/>
      <c r="F1544" s="4"/>
      <c r="G1544" s="4"/>
      <c r="H1544" s="4"/>
      <c r="I1544" s="4"/>
      <c r="J1544" s="4"/>
    </row>
    <row r="1545" spans="3:10">
      <c r="C1545" s="9"/>
      <c r="D1545" s="1"/>
      <c r="F1545" s="4"/>
      <c r="G1545" s="4"/>
      <c r="H1545" s="4"/>
      <c r="I1545" s="4"/>
      <c r="J1545" s="4"/>
    </row>
    <row r="1546" spans="3:10">
      <c r="C1546" s="9"/>
      <c r="D1546" s="1"/>
      <c r="F1546" s="4"/>
      <c r="G1546" s="4"/>
      <c r="H1546" s="4"/>
      <c r="I1546" s="4"/>
      <c r="J1546" s="4"/>
    </row>
    <row r="1547" spans="3:10">
      <c r="C1547" s="9"/>
      <c r="D1547" s="1"/>
      <c r="F1547" s="4"/>
      <c r="G1547" s="4"/>
      <c r="H1547" s="4"/>
      <c r="I1547" s="4"/>
      <c r="J1547" s="4"/>
    </row>
    <row r="1548" spans="3:10">
      <c r="C1548" s="9"/>
      <c r="D1548" s="1"/>
      <c r="F1548" s="4"/>
      <c r="G1548" s="4"/>
      <c r="H1548" s="4"/>
      <c r="I1548" s="4"/>
      <c r="J1548" s="4"/>
    </row>
    <row r="1549" spans="3:10">
      <c r="C1549" s="9"/>
      <c r="D1549" s="1"/>
      <c r="F1549" s="4"/>
      <c r="G1549" s="4"/>
      <c r="H1549" s="4"/>
      <c r="I1549" s="4"/>
      <c r="J1549" s="4"/>
    </row>
    <row r="1550" spans="3:10">
      <c r="C1550" s="9"/>
      <c r="D1550" s="1"/>
      <c r="F1550" s="4"/>
      <c r="G1550" s="4"/>
      <c r="H1550" s="4"/>
      <c r="I1550" s="4"/>
      <c r="J1550" s="4"/>
    </row>
    <row r="1551" spans="3:10">
      <c r="C1551" s="9"/>
      <c r="D1551" s="1"/>
      <c r="F1551" s="4"/>
      <c r="G1551" s="4"/>
      <c r="H1551" s="4"/>
      <c r="I1551" s="4"/>
      <c r="J1551" s="4"/>
    </row>
    <row r="1552" spans="3:10">
      <c r="C1552" s="9"/>
      <c r="D1552" s="1"/>
      <c r="F1552" s="4"/>
      <c r="G1552" s="4"/>
      <c r="H1552" s="4"/>
      <c r="I1552" s="4"/>
      <c r="J1552" s="4"/>
    </row>
    <row r="1553" spans="3:10">
      <c r="C1553" s="9"/>
      <c r="D1553" s="1"/>
      <c r="F1553" s="4"/>
      <c r="G1553" s="4"/>
      <c r="H1553" s="4"/>
      <c r="I1553" s="4"/>
      <c r="J1553" s="4"/>
    </row>
    <row r="1554" spans="3:10">
      <c r="C1554" s="9"/>
      <c r="D1554" s="1"/>
      <c r="F1554" s="4"/>
      <c r="G1554" s="4"/>
      <c r="H1554" s="4"/>
      <c r="I1554" s="4"/>
      <c r="J1554" s="4"/>
    </row>
    <row r="1555" spans="3:10">
      <c r="C1555" s="9"/>
      <c r="D1555" s="1"/>
      <c r="F1555" s="4"/>
      <c r="G1555" s="4"/>
      <c r="H1555" s="4"/>
      <c r="I1555" s="4"/>
      <c r="J1555" s="4"/>
    </row>
    <row r="1556" spans="3:10">
      <c r="C1556" s="9"/>
      <c r="D1556" s="1"/>
      <c r="F1556" s="4"/>
      <c r="G1556" s="4"/>
      <c r="H1556" s="4"/>
      <c r="I1556" s="4"/>
      <c r="J1556" s="4"/>
    </row>
    <row r="1557" spans="3:10">
      <c r="C1557" s="9"/>
      <c r="D1557" s="1"/>
      <c r="F1557" s="4"/>
      <c r="G1557" s="4"/>
      <c r="H1557" s="4"/>
      <c r="I1557" s="4"/>
      <c r="J1557" s="4"/>
    </row>
    <row r="1558" spans="3:10">
      <c r="C1558" s="9"/>
      <c r="D1558" s="1"/>
      <c r="F1558" s="4"/>
      <c r="G1558" s="4"/>
      <c r="H1558" s="4"/>
      <c r="I1558" s="4"/>
      <c r="J1558" s="4"/>
    </row>
    <row r="1559" spans="3:10">
      <c r="C1559" s="9"/>
      <c r="D1559" s="1"/>
      <c r="F1559" s="4"/>
      <c r="G1559" s="4"/>
      <c r="H1559" s="4"/>
      <c r="I1559" s="4"/>
      <c r="J1559" s="4"/>
    </row>
    <row r="1560" spans="3:10">
      <c r="C1560" s="9"/>
      <c r="D1560" s="1"/>
      <c r="F1560" s="4"/>
      <c r="G1560" s="4"/>
      <c r="H1560" s="4"/>
      <c r="I1560" s="4"/>
      <c r="J1560" s="4"/>
    </row>
    <row r="1561" spans="3:10">
      <c r="C1561" s="9"/>
      <c r="D1561" s="1"/>
      <c r="F1561" s="4"/>
      <c r="G1561" s="4"/>
      <c r="H1561" s="4"/>
      <c r="I1561" s="4"/>
      <c r="J1561" s="4"/>
    </row>
    <row r="1562" spans="3:10">
      <c r="C1562" s="9"/>
      <c r="D1562" s="1"/>
      <c r="F1562" s="4"/>
      <c r="G1562" s="4"/>
      <c r="H1562" s="4"/>
      <c r="I1562" s="4"/>
      <c r="J1562" s="4"/>
    </row>
    <row r="1563" spans="3:10">
      <c r="C1563" s="9"/>
      <c r="D1563" s="1"/>
      <c r="F1563" s="4"/>
      <c r="G1563" s="4"/>
      <c r="H1563" s="4"/>
      <c r="I1563" s="4"/>
      <c r="J1563" s="4"/>
    </row>
    <row r="1564" spans="3:10">
      <c r="C1564" s="9"/>
      <c r="D1564" s="1"/>
      <c r="F1564" s="4"/>
      <c r="G1564" s="4"/>
      <c r="H1564" s="4"/>
      <c r="I1564" s="4"/>
      <c r="J1564" s="4"/>
    </row>
    <row r="1565" spans="3:10">
      <c r="C1565" s="9"/>
      <c r="D1565" s="1"/>
      <c r="F1565" s="4"/>
      <c r="G1565" s="4"/>
      <c r="H1565" s="4"/>
      <c r="I1565" s="4"/>
      <c r="J1565" s="4"/>
    </row>
    <row r="1566" spans="3:10">
      <c r="C1566" s="9"/>
      <c r="D1566" s="1"/>
      <c r="F1566" s="4"/>
      <c r="G1566" s="4"/>
      <c r="H1566" s="4"/>
      <c r="I1566" s="4"/>
      <c r="J1566" s="4"/>
    </row>
    <row r="1567" spans="3:10">
      <c r="C1567" s="9"/>
      <c r="D1567" s="1"/>
      <c r="F1567" s="4"/>
      <c r="G1567" s="4"/>
      <c r="H1567" s="4"/>
      <c r="I1567" s="4"/>
      <c r="J1567" s="4"/>
    </row>
    <row r="1568" spans="3:10">
      <c r="C1568" s="9"/>
      <c r="D1568" s="1"/>
      <c r="F1568" s="4"/>
      <c r="G1568" s="4"/>
      <c r="H1568" s="4"/>
      <c r="I1568" s="4"/>
      <c r="J1568" s="4"/>
    </row>
    <row r="1569" spans="3:10">
      <c r="C1569" s="9"/>
      <c r="D1569" s="1"/>
      <c r="F1569" s="4"/>
      <c r="G1569" s="4"/>
      <c r="H1569" s="4"/>
      <c r="I1569" s="4"/>
      <c r="J1569" s="4"/>
    </row>
    <row r="1570" spans="3:10">
      <c r="C1570" s="9"/>
      <c r="D1570" s="1"/>
      <c r="F1570" s="4"/>
      <c r="G1570" s="4"/>
      <c r="H1570" s="4"/>
      <c r="I1570" s="4"/>
      <c r="J1570" s="4"/>
    </row>
    <row r="1571" spans="3:10">
      <c r="C1571" s="9"/>
      <c r="D1571" s="1"/>
      <c r="F1571" s="4"/>
      <c r="G1571" s="4"/>
      <c r="H1571" s="4"/>
      <c r="I1571" s="4"/>
      <c r="J1571" s="4"/>
    </row>
    <row r="1572" spans="3:10">
      <c r="C1572" s="9"/>
      <c r="D1572" s="1"/>
      <c r="F1572" s="4"/>
      <c r="G1572" s="4"/>
      <c r="H1572" s="4"/>
      <c r="I1572" s="4"/>
      <c r="J1572" s="4"/>
    </row>
    <row r="1573" spans="3:10">
      <c r="C1573" s="9"/>
      <c r="D1573" s="1"/>
      <c r="F1573" s="4"/>
      <c r="G1573" s="4"/>
      <c r="H1573" s="4"/>
      <c r="I1573" s="4"/>
      <c r="J1573" s="4"/>
    </row>
    <row r="1574" spans="3:10">
      <c r="C1574" s="9"/>
      <c r="D1574" s="1"/>
      <c r="F1574" s="4"/>
      <c r="G1574" s="4"/>
      <c r="H1574" s="4"/>
      <c r="I1574" s="4"/>
      <c r="J1574" s="4"/>
    </row>
    <row r="1575" spans="3:10">
      <c r="C1575" s="9"/>
      <c r="D1575" s="1"/>
      <c r="F1575" s="4"/>
      <c r="G1575" s="4"/>
      <c r="H1575" s="4"/>
      <c r="I1575" s="4"/>
      <c r="J1575" s="4"/>
    </row>
    <row r="1576" spans="3:10">
      <c r="C1576" s="9"/>
      <c r="D1576" s="1"/>
      <c r="F1576" s="4"/>
      <c r="G1576" s="4"/>
      <c r="H1576" s="4"/>
      <c r="I1576" s="4"/>
      <c r="J1576" s="4"/>
    </row>
    <row r="1577" spans="3:10">
      <c r="C1577" s="9"/>
      <c r="D1577" s="1"/>
      <c r="F1577" s="4"/>
      <c r="G1577" s="4"/>
      <c r="H1577" s="4"/>
      <c r="I1577" s="4"/>
      <c r="J1577" s="4"/>
    </row>
    <row r="1578" spans="3:10">
      <c r="C1578" s="9"/>
      <c r="D1578" s="1"/>
      <c r="F1578" s="4"/>
      <c r="G1578" s="4"/>
      <c r="H1578" s="4"/>
      <c r="I1578" s="4"/>
      <c r="J1578" s="4"/>
    </row>
    <row r="1579" spans="3:10">
      <c r="C1579" s="9"/>
      <c r="D1579" s="1"/>
      <c r="F1579" s="4"/>
      <c r="G1579" s="4"/>
      <c r="H1579" s="4"/>
      <c r="I1579" s="4"/>
      <c r="J1579" s="4"/>
    </row>
    <row r="1580" spans="3:10">
      <c r="C1580" s="9"/>
      <c r="D1580" s="1"/>
      <c r="F1580" s="4"/>
      <c r="G1580" s="4"/>
      <c r="H1580" s="4"/>
      <c r="I1580" s="4"/>
      <c r="J1580" s="4"/>
    </row>
    <row r="1581" spans="3:10">
      <c r="C1581" s="9"/>
      <c r="D1581" s="1"/>
      <c r="F1581" s="4"/>
      <c r="G1581" s="4"/>
      <c r="H1581" s="4"/>
      <c r="I1581" s="4"/>
      <c r="J1581" s="4"/>
    </row>
    <row r="1582" spans="3:10">
      <c r="C1582" s="9"/>
      <c r="D1582" s="1"/>
      <c r="F1582" s="4"/>
      <c r="G1582" s="4"/>
      <c r="H1582" s="4"/>
      <c r="I1582" s="4"/>
      <c r="J1582" s="4"/>
    </row>
    <row r="1583" spans="3:10">
      <c r="C1583" s="9"/>
      <c r="D1583" s="1"/>
      <c r="F1583" s="4"/>
      <c r="G1583" s="4"/>
      <c r="H1583" s="4"/>
      <c r="I1583" s="4"/>
      <c r="J1583" s="4"/>
    </row>
    <row r="1584" spans="3:10">
      <c r="C1584" s="9"/>
      <c r="D1584" s="1"/>
      <c r="F1584" s="4"/>
      <c r="G1584" s="4"/>
      <c r="H1584" s="4"/>
      <c r="I1584" s="4"/>
      <c r="J1584" s="4"/>
    </row>
    <row r="1585" spans="3:10">
      <c r="C1585" s="9"/>
      <c r="D1585" s="1"/>
      <c r="F1585" s="4"/>
      <c r="G1585" s="4"/>
      <c r="H1585" s="4"/>
      <c r="I1585" s="4"/>
      <c r="J1585" s="4"/>
    </row>
    <row r="1586" spans="3:10">
      <c r="C1586" s="9"/>
      <c r="D1586" s="1"/>
      <c r="F1586" s="4"/>
      <c r="G1586" s="4"/>
      <c r="H1586" s="4"/>
      <c r="I1586" s="4"/>
      <c r="J1586" s="4"/>
    </row>
    <row r="1587" spans="3:10">
      <c r="C1587" s="9"/>
      <c r="D1587" s="1"/>
      <c r="F1587" s="4"/>
      <c r="G1587" s="4"/>
      <c r="H1587" s="4"/>
      <c r="I1587" s="4"/>
      <c r="J1587" s="4"/>
    </row>
    <row r="1588" spans="3:10">
      <c r="C1588" s="9"/>
      <c r="D1588" s="1"/>
      <c r="F1588" s="4"/>
      <c r="G1588" s="4"/>
      <c r="H1588" s="4"/>
      <c r="I1588" s="4"/>
      <c r="J1588" s="4"/>
    </row>
    <row r="1589" spans="3:10">
      <c r="C1589" s="9"/>
      <c r="D1589" s="1"/>
      <c r="F1589" s="4"/>
      <c r="G1589" s="4"/>
      <c r="H1589" s="4"/>
      <c r="I1589" s="4"/>
      <c r="J1589" s="4"/>
    </row>
    <row r="1590" spans="3:10">
      <c r="C1590" s="9"/>
      <c r="D1590" s="1"/>
      <c r="F1590" s="4"/>
      <c r="G1590" s="4"/>
      <c r="H1590" s="4"/>
      <c r="I1590" s="4"/>
      <c r="J1590" s="4"/>
    </row>
    <row r="1591" spans="3:10">
      <c r="C1591" s="9"/>
      <c r="D1591" s="1"/>
      <c r="F1591" s="4"/>
      <c r="G1591" s="4"/>
      <c r="H1591" s="4"/>
      <c r="I1591" s="4"/>
      <c r="J1591" s="4"/>
    </row>
    <row r="1592" spans="3:10">
      <c r="C1592" s="9"/>
      <c r="D1592" s="1"/>
      <c r="F1592" s="4"/>
      <c r="G1592" s="4"/>
      <c r="H1592" s="4"/>
      <c r="I1592" s="4"/>
      <c r="J1592" s="4"/>
    </row>
    <row r="1593" spans="3:10">
      <c r="C1593" s="9"/>
      <c r="D1593" s="1"/>
      <c r="F1593" s="4"/>
      <c r="G1593" s="4"/>
      <c r="H1593" s="4"/>
      <c r="I1593" s="4"/>
      <c r="J1593" s="4"/>
    </row>
    <row r="1594" spans="3:10">
      <c r="C1594" s="9"/>
      <c r="D1594" s="1"/>
      <c r="F1594" s="4"/>
      <c r="G1594" s="4"/>
      <c r="H1594" s="4"/>
      <c r="I1594" s="4"/>
      <c r="J1594" s="4"/>
    </row>
    <row r="1595" spans="3:10">
      <c r="C1595" s="9"/>
      <c r="D1595" s="1"/>
      <c r="F1595" s="4"/>
      <c r="G1595" s="4"/>
      <c r="H1595" s="4"/>
      <c r="I1595" s="4"/>
      <c r="J1595" s="4"/>
    </row>
    <row r="1596" spans="3:10">
      <c r="C1596" s="9"/>
      <c r="D1596" s="1"/>
      <c r="F1596" s="4"/>
      <c r="G1596" s="4"/>
      <c r="H1596" s="4"/>
      <c r="I1596" s="4"/>
      <c r="J1596" s="4"/>
    </row>
    <row r="1597" spans="3:10">
      <c r="C1597" s="9"/>
      <c r="D1597" s="1"/>
      <c r="F1597" s="4"/>
      <c r="G1597" s="4"/>
      <c r="H1597" s="4"/>
      <c r="I1597" s="4"/>
      <c r="J1597" s="4"/>
    </row>
    <row r="1598" spans="3:10">
      <c r="C1598" s="9"/>
      <c r="D1598" s="1"/>
      <c r="F1598" s="4"/>
      <c r="G1598" s="4"/>
      <c r="H1598" s="4"/>
      <c r="I1598" s="4"/>
      <c r="J1598" s="4"/>
    </row>
    <row r="1599" spans="3:10">
      <c r="C1599" s="9"/>
      <c r="D1599" s="1"/>
      <c r="F1599" s="4"/>
      <c r="G1599" s="4"/>
      <c r="H1599" s="4"/>
      <c r="I1599" s="4"/>
      <c r="J1599" s="4"/>
    </row>
    <row r="1600" spans="3:10">
      <c r="C1600" s="9"/>
      <c r="D1600" s="1"/>
      <c r="F1600" s="4"/>
      <c r="G1600" s="4"/>
      <c r="H1600" s="4"/>
      <c r="I1600" s="4"/>
      <c r="J1600" s="4"/>
    </row>
    <row r="1601" spans="3:10">
      <c r="C1601" s="9"/>
      <c r="D1601" s="1"/>
      <c r="F1601" s="4"/>
      <c r="G1601" s="4"/>
      <c r="H1601" s="4"/>
      <c r="I1601" s="4"/>
      <c r="J1601" s="4"/>
    </row>
    <row r="1602" spans="3:10">
      <c r="C1602" s="9"/>
      <c r="D1602" s="1"/>
      <c r="F1602" s="4"/>
      <c r="G1602" s="4"/>
      <c r="H1602" s="4"/>
      <c r="I1602" s="4"/>
      <c r="J1602" s="4"/>
    </row>
    <row r="1603" spans="3:10">
      <c r="C1603" s="9"/>
      <c r="D1603" s="1"/>
      <c r="F1603" s="4"/>
      <c r="G1603" s="4"/>
      <c r="H1603" s="4"/>
      <c r="I1603" s="4"/>
      <c r="J1603" s="4"/>
    </row>
    <row r="1604" spans="3:10">
      <c r="C1604" s="9"/>
      <c r="D1604" s="1"/>
      <c r="F1604" s="4"/>
      <c r="G1604" s="4"/>
      <c r="H1604" s="4"/>
      <c r="I1604" s="4"/>
      <c r="J1604" s="4"/>
    </row>
    <row r="1605" spans="3:10">
      <c r="C1605" s="9"/>
      <c r="D1605" s="1"/>
      <c r="F1605" s="4"/>
      <c r="G1605" s="4"/>
      <c r="H1605" s="4"/>
      <c r="I1605" s="4"/>
      <c r="J1605" s="4"/>
    </row>
    <row r="1606" spans="3:10">
      <c r="C1606" s="9"/>
      <c r="D1606" s="1"/>
      <c r="F1606" s="4"/>
      <c r="G1606" s="4"/>
      <c r="H1606" s="4"/>
      <c r="I1606" s="4"/>
      <c r="J1606" s="4"/>
    </row>
    <row r="1607" spans="3:10">
      <c r="C1607" s="9"/>
      <c r="D1607" s="1"/>
      <c r="F1607" s="4"/>
      <c r="G1607" s="4"/>
      <c r="H1607" s="4"/>
      <c r="I1607" s="4"/>
      <c r="J1607" s="4"/>
    </row>
    <row r="1608" spans="3:10">
      <c r="C1608" s="9"/>
      <c r="D1608" s="1"/>
      <c r="F1608" s="4"/>
      <c r="G1608" s="4"/>
      <c r="H1608" s="4"/>
      <c r="I1608" s="4"/>
      <c r="J1608" s="4"/>
    </row>
    <row r="1609" spans="3:10">
      <c r="C1609" s="9"/>
      <c r="D1609" s="1"/>
      <c r="F1609" s="4"/>
      <c r="G1609" s="4"/>
      <c r="H1609" s="4"/>
      <c r="I1609" s="4"/>
      <c r="J1609" s="4"/>
    </row>
    <row r="1610" spans="3:10">
      <c r="C1610" s="9"/>
      <c r="D1610" s="1"/>
      <c r="F1610" s="4"/>
      <c r="G1610" s="4"/>
      <c r="H1610" s="4"/>
      <c r="I1610" s="4"/>
      <c r="J1610" s="4"/>
    </row>
    <row r="1611" spans="3:10">
      <c r="C1611" s="9"/>
      <c r="D1611" s="1"/>
      <c r="F1611" s="4"/>
      <c r="G1611" s="4"/>
      <c r="H1611" s="4"/>
      <c r="I1611" s="4"/>
      <c r="J1611" s="4"/>
    </row>
    <row r="1612" spans="3:10">
      <c r="C1612" s="9"/>
      <c r="D1612" s="1"/>
      <c r="F1612" s="4"/>
      <c r="G1612" s="4"/>
      <c r="H1612" s="4"/>
      <c r="I1612" s="4"/>
      <c r="J1612" s="4"/>
    </row>
    <row r="1613" spans="3:10">
      <c r="C1613" s="9"/>
      <c r="D1613" s="1"/>
      <c r="F1613" s="4"/>
      <c r="G1613" s="4"/>
      <c r="H1613" s="4"/>
      <c r="I1613" s="4"/>
      <c r="J1613" s="4"/>
    </row>
    <row r="1614" spans="3:10">
      <c r="C1614" s="9"/>
      <c r="D1614" s="1"/>
      <c r="F1614" s="4"/>
      <c r="G1614" s="4"/>
      <c r="H1614" s="4"/>
      <c r="I1614" s="4"/>
      <c r="J1614" s="4"/>
    </row>
    <row r="1615" spans="3:10">
      <c r="C1615" s="9"/>
      <c r="D1615" s="1"/>
      <c r="F1615" s="4"/>
      <c r="G1615" s="4"/>
      <c r="H1615" s="4"/>
      <c r="I1615" s="4"/>
      <c r="J1615" s="4"/>
    </row>
    <row r="1616" spans="3:10">
      <c r="C1616" s="9"/>
      <c r="D1616" s="1"/>
      <c r="F1616" s="4"/>
      <c r="G1616" s="4"/>
      <c r="H1616" s="4"/>
      <c r="I1616" s="4"/>
      <c r="J1616" s="4"/>
    </row>
    <row r="1617" spans="3:10">
      <c r="C1617" s="9"/>
      <c r="D1617" s="1"/>
      <c r="F1617" s="4"/>
      <c r="G1617" s="4"/>
      <c r="H1617" s="4"/>
      <c r="I1617" s="4"/>
      <c r="J1617" s="4"/>
    </row>
    <row r="1618" spans="3:10">
      <c r="C1618" s="9"/>
      <c r="D1618" s="1"/>
      <c r="F1618" s="4"/>
      <c r="G1618" s="4"/>
      <c r="H1618" s="4"/>
      <c r="I1618" s="4"/>
      <c r="J1618" s="4"/>
    </row>
    <row r="1619" spans="3:10">
      <c r="C1619" s="9"/>
      <c r="D1619" s="1"/>
      <c r="F1619" s="4"/>
      <c r="G1619" s="4"/>
      <c r="H1619" s="4"/>
      <c r="I1619" s="4"/>
      <c r="J1619" s="4"/>
    </row>
    <row r="1620" spans="3:10">
      <c r="C1620" s="9"/>
      <c r="D1620" s="1"/>
      <c r="F1620" s="4"/>
      <c r="G1620" s="4"/>
      <c r="H1620" s="4"/>
      <c r="I1620" s="4"/>
      <c r="J1620" s="4"/>
    </row>
    <row r="1621" spans="3:10">
      <c r="C1621" s="9"/>
      <c r="D1621" s="1"/>
      <c r="F1621" s="4"/>
      <c r="G1621" s="4"/>
      <c r="H1621" s="4"/>
      <c r="I1621" s="4"/>
      <c r="J1621" s="4"/>
    </row>
    <row r="1622" spans="3:10">
      <c r="C1622" s="9"/>
      <c r="D1622" s="1"/>
      <c r="F1622" s="4"/>
      <c r="G1622" s="4"/>
      <c r="H1622" s="4"/>
      <c r="I1622" s="4"/>
      <c r="J1622" s="4"/>
    </row>
    <row r="1623" spans="3:10">
      <c r="C1623" s="9"/>
      <c r="D1623" s="1"/>
      <c r="F1623" s="4"/>
      <c r="G1623" s="4"/>
      <c r="H1623" s="4"/>
      <c r="I1623" s="4"/>
      <c r="J1623" s="4"/>
    </row>
    <row r="1624" spans="3:10">
      <c r="C1624" s="9"/>
      <c r="D1624" s="1"/>
      <c r="F1624" s="4"/>
      <c r="G1624" s="4"/>
      <c r="H1624" s="4"/>
      <c r="I1624" s="4"/>
      <c r="J1624" s="4"/>
    </row>
    <row r="1625" spans="3:10">
      <c r="C1625" s="9"/>
      <c r="D1625" s="1"/>
      <c r="F1625" s="4"/>
      <c r="G1625" s="4"/>
      <c r="H1625" s="4"/>
      <c r="I1625" s="4"/>
      <c r="J1625" s="4"/>
    </row>
    <row r="1626" spans="3:10">
      <c r="C1626" s="9"/>
      <c r="D1626" s="1"/>
      <c r="F1626" s="4"/>
      <c r="G1626" s="4"/>
      <c r="H1626" s="4"/>
      <c r="I1626" s="4"/>
      <c r="J1626" s="4"/>
    </row>
    <row r="1627" spans="3:10">
      <c r="C1627" s="9"/>
      <c r="D1627" s="1"/>
      <c r="F1627" s="4"/>
      <c r="G1627" s="4"/>
      <c r="H1627" s="4"/>
      <c r="I1627" s="4"/>
      <c r="J1627" s="4"/>
    </row>
    <row r="1628" spans="3:10">
      <c r="C1628" s="9"/>
      <c r="D1628" s="1"/>
      <c r="F1628" s="4"/>
      <c r="G1628" s="4"/>
      <c r="H1628" s="4"/>
      <c r="I1628" s="4"/>
      <c r="J1628" s="4"/>
    </row>
    <row r="1629" spans="3:10">
      <c r="C1629" s="9"/>
      <c r="D1629" s="1"/>
      <c r="F1629" s="4"/>
      <c r="G1629" s="4"/>
      <c r="H1629" s="4"/>
      <c r="I1629" s="4"/>
      <c r="J1629" s="4"/>
    </row>
    <row r="1630" spans="3:10">
      <c r="C1630" s="9"/>
      <c r="D1630" s="1"/>
      <c r="F1630" s="4"/>
      <c r="G1630" s="4"/>
      <c r="H1630" s="4"/>
      <c r="I1630" s="4"/>
      <c r="J1630" s="4"/>
    </row>
    <row r="1631" spans="3:10">
      <c r="C1631" s="9"/>
      <c r="D1631" s="1"/>
      <c r="F1631" s="4"/>
      <c r="G1631" s="4"/>
      <c r="H1631" s="4"/>
      <c r="I1631" s="4"/>
      <c r="J1631" s="4"/>
    </row>
    <row r="1632" spans="3:10">
      <c r="C1632" s="9"/>
      <c r="D1632" s="1"/>
      <c r="F1632" s="4"/>
      <c r="G1632" s="4"/>
      <c r="H1632" s="4"/>
      <c r="I1632" s="4"/>
      <c r="J1632" s="4"/>
    </row>
    <row r="1633" spans="3:10">
      <c r="C1633" s="9"/>
      <c r="D1633" s="1"/>
      <c r="F1633" s="4"/>
      <c r="G1633" s="4"/>
      <c r="H1633" s="4"/>
      <c r="I1633" s="4"/>
      <c r="J1633" s="4"/>
    </row>
    <row r="1634" spans="3:10">
      <c r="C1634" s="9"/>
      <c r="D1634" s="1"/>
      <c r="F1634" s="4"/>
      <c r="G1634" s="4"/>
      <c r="H1634" s="4"/>
      <c r="I1634" s="4"/>
      <c r="J1634" s="4"/>
    </row>
    <row r="1635" spans="3:10">
      <c r="C1635" s="9"/>
      <c r="D1635" s="1"/>
      <c r="F1635" s="4"/>
      <c r="G1635" s="4"/>
      <c r="H1635" s="4"/>
      <c r="I1635" s="4"/>
      <c r="J1635" s="4"/>
    </row>
    <row r="1636" spans="3:10">
      <c r="C1636" s="9"/>
      <c r="D1636" s="1"/>
      <c r="F1636" s="4"/>
      <c r="G1636" s="4"/>
      <c r="H1636" s="4"/>
      <c r="I1636" s="4"/>
      <c r="J1636" s="4"/>
    </row>
    <row r="1637" spans="3:10">
      <c r="C1637" s="9"/>
      <c r="D1637" s="1"/>
      <c r="F1637" s="4"/>
      <c r="G1637" s="4"/>
      <c r="H1637" s="4"/>
      <c r="I1637" s="4"/>
      <c r="J1637" s="4"/>
    </row>
    <row r="1638" spans="3:10">
      <c r="C1638" s="9"/>
      <c r="D1638" s="1"/>
      <c r="F1638" s="4"/>
      <c r="G1638" s="4"/>
      <c r="H1638" s="4"/>
      <c r="I1638" s="4"/>
      <c r="J1638" s="4"/>
    </row>
    <row r="1639" spans="3:10">
      <c r="C1639" s="9"/>
      <c r="D1639" s="1"/>
      <c r="F1639" s="4"/>
      <c r="G1639" s="4"/>
      <c r="H1639" s="4"/>
      <c r="I1639" s="4"/>
      <c r="J1639" s="4"/>
    </row>
    <row r="1640" spans="3:10">
      <c r="C1640" s="9"/>
      <c r="D1640" s="1"/>
      <c r="F1640" s="4"/>
      <c r="G1640" s="4"/>
      <c r="H1640" s="4"/>
      <c r="I1640" s="4"/>
      <c r="J1640" s="4"/>
    </row>
    <row r="1641" spans="3:10">
      <c r="C1641" s="9"/>
      <c r="D1641" s="1"/>
      <c r="F1641" s="4"/>
      <c r="G1641" s="4"/>
      <c r="H1641" s="4"/>
      <c r="I1641" s="4"/>
      <c r="J1641" s="4"/>
    </row>
    <row r="1642" spans="3:10">
      <c r="C1642" s="9"/>
      <c r="D1642" s="1"/>
      <c r="F1642" s="4"/>
      <c r="G1642" s="4"/>
      <c r="H1642" s="4"/>
      <c r="I1642" s="4"/>
      <c r="J1642" s="4"/>
    </row>
    <row r="1643" spans="3:10">
      <c r="C1643" s="9"/>
      <c r="D1643" s="1"/>
      <c r="F1643" s="4"/>
      <c r="G1643" s="4"/>
      <c r="H1643" s="4"/>
      <c r="I1643" s="4"/>
      <c r="J1643" s="4"/>
    </row>
    <row r="1644" spans="3:10">
      <c r="C1644" s="9"/>
      <c r="D1644" s="1"/>
      <c r="F1644" s="4"/>
      <c r="G1644" s="4"/>
      <c r="H1644" s="4"/>
      <c r="I1644" s="4"/>
      <c r="J1644" s="4"/>
    </row>
    <row r="1645" spans="3:10">
      <c r="C1645" s="9"/>
      <c r="D1645" s="1"/>
      <c r="F1645" s="4"/>
      <c r="G1645" s="4"/>
      <c r="H1645" s="4"/>
      <c r="I1645" s="4"/>
      <c r="J1645" s="4"/>
    </row>
    <row r="1646" spans="3:10">
      <c r="C1646" s="9"/>
      <c r="D1646" s="1"/>
      <c r="F1646" s="4"/>
      <c r="G1646" s="4"/>
      <c r="H1646" s="4"/>
      <c r="I1646" s="4"/>
      <c r="J1646" s="4"/>
    </row>
    <row r="1647" spans="3:10">
      <c r="C1647" s="9"/>
      <c r="D1647" s="1"/>
      <c r="F1647" s="4"/>
      <c r="G1647" s="4"/>
      <c r="H1647" s="4"/>
      <c r="I1647" s="4"/>
      <c r="J1647" s="4"/>
    </row>
    <row r="1648" spans="3:10">
      <c r="C1648" s="9"/>
      <c r="D1648" s="1"/>
      <c r="F1648" s="4"/>
      <c r="G1648" s="4"/>
      <c r="H1648" s="4"/>
      <c r="I1648" s="4"/>
      <c r="J1648" s="4"/>
    </row>
    <row r="1649" spans="3:10">
      <c r="C1649" s="9"/>
      <c r="D1649" s="1"/>
      <c r="F1649" s="4"/>
      <c r="G1649" s="4"/>
      <c r="H1649" s="4"/>
      <c r="I1649" s="4"/>
      <c r="J1649" s="4"/>
    </row>
    <row r="1650" spans="3:10">
      <c r="C1650" s="9"/>
      <c r="D1650" s="1"/>
      <c r="F1650" s="4"/>
      <c r="G1650" s="4"/>
      <c r="H1650" s="4"/>
      <c r="I1650" s="4"/>
      <c r="J1650" s="4"/>
    </row>
    <row r="1651" spans="3:10">
      <c r="C1651" s="9"/>
      <c r="D1651" s="1"/>
      <c r="F1651" s="4"/>
      <c r="G1651" s="4"/>
      <c r="H1651" s="4"/>
      <c r="I1651" s="4"/>
      <c r="J1651" s="4"/>
    </row>
    <row r="1652" spans="3:10">
      <c r="C1652" s="9"/>
      <c r="D1652" s="1"/>
      <c r="F1652" s="4"/>
      <c r="G1652" s="4"/>
      <c r="H1652" s="4"/>
      <c r="I1652" s="4"/>
      <c r="J1652" s="4"/>
    </row>
    <row r="1653" spans="3:10">
      <c r="C1653" s="9"/>
      <c r="D1653" s="1"/>
      <c r="F1653" s="4"/>
      <c r="G1653" s="4"/>
      <c r="H1653" s="4"/>
      <c r="I1653" s="4"/>
      <c r="J1653" s="4"/>
    </row>
    <row r="1654" spans="3:10">
      <c r="C1654" s="9"/>
      <c r="D1654" s="1"/>
      <c r="F1654" s="4"/>
      <c r="G1654" s="4"/>
      <c r="H1654" s="4"/>
      <c r="I1654" s="4"/>
      <c r="J1654" s="4"/>
    </row>
    <row r="1655" spans="3:10">
      <c r="C1655" s="9"/>
      <c r="D1655" s="1"/>
      <c r="F1655" s="4"/>
      <c r="G1655" s="4"/>
      <c r="H1655" s="4"/>
      <c r="I1655" s="4"/>
      <c r="J1655" s="4"/>
    </row>
    <row r="1656" spans="3:10">
      <c r="C1656" s="9"/>
      <c r="D1656" s="1"/>
      <c r="F1656" s="4"/>
      <c r="G1656" s="4"/>
      <c r="H1656" s="4"/>
      <c r="I1656" s="4"/>
      <c r="J1656" s="4"/>
    </row>
    <row r="1657" spans="3:10">
      <c r="C1657" s="9"/>
      <c r="D1657" s="1"/>
      <c r="F1657" s="4"/>
      <c r="G1657" s="4"/>
      <c r="H1657" s="4"/>
      <c r="I1657" s="4"/>
      <c r="J1657" s="4"/>
    </row>
    <row r="1658" spans="3:10">
      <c r="C1658" s="9"/>
      <c r="D1658" s="1"/>
      <c r="F1658" s="4"/>
      <c r="G1658" s="4"/>
      <c r="H1658" s="4"/>
      <c r="I1658" s="4"/>
      <c r="J1658" s="4"/>
    </row>
    <row r="1659" spans="3:10">
      <c r="C1659" s="9"/>
      <c r="D1659" s="1"/>
      <c r="F1659" s="4"/>
      <c r="G1659" s="4"/>
      <c r="H1659" s="4"/>
      <c r="I1659" s="4"/>
      <c r="J1659" s="4"/>
    </row>
    <row r="1660" spans="3:10">
      <c r="C1660" s="9"/>
      <c r="D1660" s="1"/>
      <c r="F1660" s="4"/>
      <c r="G1660" s="4"/>
      <c r="H1660" s="4"/>
      <c r="I1660" s="4"/>
      <c r="J1660" s="4"/>
    </row>
    <row r="1661" spans="3:10">
      <c r="C1661" s="9"/>
      <c r="D1661" s="1"/>
      <c r="F1661" s="4"/>
      <c r="G1661" s="4"/>
      <c r="H1661" s="4"/>
      <c r="I1661" s="4"/>
      <c r="J1661" s="4"/>
    </row>
    <row r="1662" spans="3:10">
      <c r="C1662" s="9"/>
      <c r="D1662" s="1"/>
      <c r="F1662" s="4"/>
      <c r="G1662" s="4"/>
      <c r="H1662" s="4"/>
      <c r="I1662" s="4"/>
      <c r="J1662" s="4"/>
    </row>
    <row r="1663" spans="3:10">
      <c r="C1663" s="9"/>
      <c r="D1663" s="1"/>
      <c r="F1663" s="4"/>
      <c r="G1663" s="4"/>
      <c r="H1663" s="4"/>
      <c r="I1663" s="4"/>
      <c r="J1663" s="4"/>
    </row>
    <row r="1664" spans="3:10">
      <c r="C1664" s="9"/>
      <c r="D1664" s="1"/>
      <c r="F1664" s="4"/>
      <c r="G1664" s="4"/>
      <c r="H1664" s="4"/>
      <c r="I1664" s="4"/>
      <c r="J1664" s="4"/>
    </row>
    <row r="1665" spans="3:10">
      <c r="C1665" s="9"/>
      <c r="D1665" s="1"/>
      <c r="F1665" s="4"/>
      <c r="G1665" s="4"/>
      <c r="H1665" s="4"/>
      <c r="I1665" s="4"/>
      <c r="J1665" s="4"/>
    </row>
    <row r="1666" spans="3:10">
      <c r="C1666" s="9"/>
      <c r="D1666" s="1"/>
      <c r="F1666" s="4"/>
      <c r="G1666" s="4"/>
      <c r="H1666" s="4"/>
      <c r="I1666" s="4"/>
      <c r="J1666" s="4"/>
    </row>
    <row r="1667" spans="3:10">
      <c r="C1667" s="9"/>
      <c r="D1667" s="1"/>
      <c r="F1667" s="4"/>
      <c r="G1667" s="4"/>
      <c r="H1667" s="4"/>
      <c r="I1667" s="4"/>
      <c r="J1667" s="4"/>
    </row>
    <row r="1668" spans="3:10">
      <c r="C1668" s="9"/>
      <c r="D1668" s="1"/>
      <c r="F1668" s="4"/>
      <c r="G1668" s="4"/>
      <c r="H1668" s="4"/>
      <c r="I1668" s="4"/>
      <c r="J1668" s="4"/>
    </row>
    <row r="1669" spans="3:10">
      <c r="C1669" s="9"/>
      <c r="D1669" s="1"/>
      <c r="F1669" s="4"/>
      <c r="G1669" s="4"/>
      <c r="H1669" s="4"/>
      <c r="I1669" s="4"/>
      <c r="J1669" s="4"/>
    </row>
    <row r="1670" spans="3:10">
      <c r="C1670" s="9"/>
      <c r="D1670" s="1"/>
      <c r="F1670" s="4"/>
      <c r="G1670" s="4"/>
      <c r="H1670" s="4"/>
      <c r="I1670" s="4"/>
      <c r="J1670" s="4"/>
    </row>
    <row r="1671" spans="3:10">
      <c r="C1671" s="9"/>
      <c r="D1671" s="1"/>
      <c r="F1671" s="4"/>
      <c r="G1671" s="4"/>
      <c r="H1671" s="4"/>
      <c r="I1671" s="4"/>
      <c r="J1671" s="4"/>
    </row>
    <row r="1672" spans="3:10">
      <c r="C1672" s="9"/>
      <c r="D1672" s="1"/>
      <c r="F1672" s="4"/>
      <c r="G1672" s="4"/>
      <c r="H1672" s="4"/>
      <c r="I1672" s="4"/>
      <c r="J1672" s="4"/>
    </row>
    <row r="1673" spans="3:10">
      <c r="C1673" s="9"/>
      <c r="D1673" s="1"/>
      <c r="F1673" s="4"/>
      <c r="G1673" s="4"/>
      <c r="H1673" s="4"/>
      <c r="I1673" s="4"/>
      <c r="J1673" s="4"/>
    </row>
    <row r="1674" spans="3:10">
      <c r="C1674" s="9"/>
      <c r="D1674" s="1"/>
      <c r="F1674" s="4"/>
      <c r="G1674" s="4"/>
      <c r="H1674" s="4"/>
      <c r="I1674" s="4"/>
      <c r="J1674" s="4"/>
    </row>
    <row r="1675" spans="3:10">
      <c r="C1675" s="9"/>
      <c r="D1675" s="1"/>
      <c r="F1675" s="4"/>
      <c r="G1675" s="4"/>
      <c r="H1675" s="4"/>
      <c r="I1675" s="4"/>
      <c r="J1675" s="4"/>
    </row>
    <row r="1676" spans="3:10">
      <c r="C1676" s="9"/>
      <c r="D1676" s="1"/>
      <c r="F1676" s="4"/>
      <c r="G1676" s="4"/>
      <c r="H1676" s="4"/>
      <c r="I1676" s="4"/>
      <c r="J1676" s="4"/>
    </row>
    <row r="1677" spans="3:10">
      <c r="C1677" s="9"/>
      <c r="D1677" s="1"/>
      <c r="F1677" s="4"/>
      <c r="G1677" s="4"/>
      <c r="H1677" s="4"/>
      <c r="I1677" s="4"/>
      <c r="J1677" s="4"/>
    </row>
    <row r="1678" spans="3:10">
      <c r="C1678" s="9"/>
      <c r="D1678" s="1"/>
      <c r="F1678" s="4"/>
      <c r="G1678" s="4"/>
      <c r="H1678" s="4"/>
      <c r="I1678" s="4"/>
      <c r="J1678" s="4"/>
    </row>
    <row r="1679" spans="3:10">
      <c r="C1679" s="9"/>
      <c r="D1679" s="1"/>
      <c r="F1679" s="4"/>
      <c r="G1679" s="4"/>
      <c r="H1679" s="4"/>
      <c r="I1679" s="4"/>
      <c r="J1679" s="4"/>
    </row>
    <row r="1680" spans="3:10">
      <c r="C1680" s="9"/>
      <c r="D1680" s="1"/>
      <c r="F1680" s="4"/>
      <c r="G1680" s="4"/>
      <c r="H1680" s="4"/>
      <c r="I1680" s="4"/>
      <c r="J1680" s="4"/>
    </row>
    <row r="1681" spans="3:10">
      <c r="C1681" s="9"/>
      <c r="D1681" s="1"/>
      <c r="F1681" s="4"/>
      <c r="G1681" s="4"/>
      <c r="H1681" s="4"/>
      <c r="I1681" s="4"/>
      <c r="J1681" s="4"/>
    </row>
    <row r="1682" spans="3:10">
      <c r="C1682" s="9"/>
      <c r="D1682" s="1"/>
      <c r="F1682" s="4"/>
      <c r="G1682" s="4"/>
      <c r="H1682" s="4"/>
      <c r="I1682" s="4"/>
      <c r="J1682" s="4"/>
    </row>
    <row r="1683" spans="3:10">
      <c r="C1683" s="9"/>
      <c r="D1683" s="1"/>
      <c r="F1683" s="4"/>
      <c r="G1683" s="4"/>
      <c r="H1683" s="4"/>
      <c r="I1683" s="4"/>
      <c r="J1683" s="4"/>
    </row>
    <row r="1684" spans="3:10">
      <c r="C1684" s="9"/>
      <c r="D1684" s="1"/>
      <c r="F1684" s="4"/>
      <c r="G1684" s="4"/>
      <c r="H1684" s="4"/>
      <c r="I1684" s="4"/>
      <c r="J1684" s="4"/>
    </row>
    <row r="1685" spans="3:10">
      <c r="C1685" s="9"/>
      <c r="D1685" s="1"/>
      <c r="F1685" s="4"/>
      <c r="G1685" s="4"/>
      <c r="H1685" s="4"/>
      <c r="I1685" s="4"/>
      <c r="J1685" s="4"/>
    </row>
    <row r="1686" spans="3:10">
      <c r="C1686" s="9"/>
      <c r="D1686" s="1"/>
      <c r="F1686" s="4"/>
      <c r="G1686" s="4"/>
      <c r="H1686" s="4"/>
      <c r="I1686" s="4"/>
      <c r="J1686" s="4"/>
    </row>
    <row r="1687" spans="3:10">
      <c r="C1687" s="9"/>
      <c r="D1687" s="1"/>
      <c r="F1687" s="4"/>
      <c r="G1687" s="4"/>
      <c r="H1687" s="4"/>
      <c r="I1687" s="4"/>
      <c r="J1687" s="4"/>
    </row>
    <row r="1688" spans="3:10">
      <c r="C1688" s="9"/>
      <c r="D1688" s="1"/>
      <c r="F1688" s="4"/>
      <c r="G1688" s="4"/>
      <c r="H1688" s="4"/>
      <c r="I1688" s="4"/>
      <c r="J1688" s="4"/>
    </row>
    <row r="1689" spans="3:10">
      <c r="C1689" s="9"/>
      <c r="D1689" s="1"/>
      <c r="F1689" s="4"/>
      <c r="G1689" s="4"/>
      <c r="H1689" s="4"/>
      <c r="I1689" s="4"/>
      <c r="J1689" s="4"/>
    </row>
    <row r="1690" spans="3:10">
      <c r="C1690" s="9"/>
      <c r="D1690" s="1"/>
      <c r="F1690" s="4"/>
      <c r="G1690" s="4"/>
      <c r="H1690" s="4"/>
      <c r="I1690" s="4"/>
      <c r="J1690" s="4"/>
    </row>
    <row r="1691" spans="3:10">
      <c r="C1691" s="9"/>
      <c r="D1691" s="1"/>
      <c r="F1691" s="4"/>
      <c r="G1691" s="4"/>
      <c r="H1691" s="4"/>
      <c r="I1691" s="4"/>
      <c r="J1691" s="4"/>
    </row>
    <row r="1692" spans="3:10">
      <c r="C1692" s="9"/>
      <c r="D1692" s="1"/>
      <c r="F1692" s="4"/>
      <c r="G1692" s="4"/>
      <c r="H1692" s="4"/>
      <c r="I1692" s="4"/>
      <c r="J1692" s="4"/>
    </row>
    <row r="1693" spans="3:10">
      <c r="C1693" s="9"/>
      <c r="D1693" s="1"/>
      <c r="F1693" s="4"/>
      <c r="G1693" s="4"/>
      <c r="H1693" s="4"/>
      <c r="I1693" s="4"/>
      <c r="J1693" s="4"/>
    </row>
    <row r="1694" spans="3:10">
      <c r="C1694" s="9"/>
      <c r="D1694" s="1"/>
      <c r="F1694" s="4"/>
      <c r="G1694" s="4"/>
      <c r="H1694" s="4"/>
      <c r="I1694" s="4"/>
      <c r="J1694" s="4"/>
    </row>
    <row r="1695" spans="3:10">
      <c r="C1695" s="9"/>
      <c r="D1695" s="1"/>
      <c r="F1695" s="4"/>
      <c r="G1695" s="4"/>
      <c r="H1695" s="4"/>
      <c r="I1695" s="4"/>
      <c r="J1695" s="4"/>
    </row>
    <row r="1696" spans="3:10">
      <c r="C1696" s="9"/>
      <c r="D1696" s="1"/>
      <c r="F1696" s="4"/>
      <c r="G1696" s="4"/>
      <c r="H1696" s="4"/>
      <c r="I1696" s="4"/>
      <c r="J1696" s="4"/>
    </row>
    <row r="1697" spans="3:10">
      <c r="C1697" s="9"/>
      <c r="D1697" s="1"/>
      <c r="F1697" s="4"/>
      <c r="G1697" s="4"/>
      <c r="H1697" s="4"/>
      <c r="I1697" s="4"/>
      <c r="J1697" s="4"/>
    </row>
    <row r="1698" spans="3:10">
      <c r="C1698" s="9"/>
      <c r="D1698" s="1"/>
      <c r="F1698" s="4"/>
      <c r="G1698" s="4"/>
      <c r="H1698" s="4"/>
      <c r="I1698" s="4"/>
      <c r="J1698" s="4"/>
    </row>
    <row r="1699" spans="3:10">
      <c r="C1699" s="9"/>
      <c r="D1699" s="1"/>
      <c r="F1699" s="4"/>
      <c r="G1699" s="4"/>
      <c r="H1699" s="4"/>
      <c r="I1699" s="4"/>
      <c r="J1699" s="4"/>
    </row>
    <row r="1700" spans="3:10">
      <c r="C1700" s="9"/>
      <c r="D1700" s="1"/>
      <c r="F1700" s="4"/>
      <c r="G1700" s="4"/>
      <c r="H1700" s="4"/>
      <c r="I1700" s="4"/>
      <c r="J1700" s="4"/>
    </row>
    <row r="1701" spans="3:10">
      <c r="C1701" s="9"/>
      <c r="D1701" s="1"/>
      <c r="F1701" s="4"/>
      <c r="G1701" s="4"/>
      <c r="H1701" s="4"/>
      <c r="I1701" s="4"/>
      <c r="J1701" s="4"/>
    </row>
    <row r="1702" spans="3:10">
      <c r="C1702" s="9"/>
      <c r="D1702" s="1"/>
      <c r="F1702" s="4"/>
      <c r="G1702" s="4"/>
      <c r="H1702" s="4"/>
      <c r="I1702" s="4"/>
      <c r="J1702" s="4"/>
    </row>
    <row r="1703" spans="3:10">
      <c r="C1703" s="9"/>
      <c r="D1703" s="1"/>
      <c r="F1703" s="4"/>
      <c r="G1703" s="4"/>
      <c r="H1703" s="4"/>
      <c r="I1703" s="4"/>
      <c r="J1703" s="4"/>
    </row>
    <row r="1704" spans="3:10">
      <c r="C1704" s="9"/>
      <c r="D1704" s="1"/>
      <c r="F1704" s="4"/>
      <c r="G1704" s="4"/>
      <c r="H1704" s="4"/>
      <c r="I1704" s="4"/>
      <c r="J1704" s="4"/>
    </row>
    <row r="1705" spans="3:10">
      <c r="C1705" s="9"/>
      <c r="D1705" s="1"/>
      <c r="F1705" s="4"/>
      <c r="G1705" s="4"/>
      <c r="H1705" s="4"/>
      <c r="I1705" s="4"/>
      <c r="J1705" s="4"/>
    </row>
    <row r="1706" spans="3:10">
      <c r="C1706" s="9"/>
      <c r="D1706" s="1"/>
      <c r="F1706" s="4"/>
      <c r="G1706" s="4"/>
      <c r="H1706" s="4"/>
      <c r="I1706" s="4"/>
      <c r="J1706" s="4"/>
    </row>
    <row r="1707" spans="3:10">
      <c r="C1707" s="9"/>
      <c r="D1707" s="1"/>
      <c r="F1707" s="4"/>
      <c r="G1707" s="4"/>
      <c r="H1707" s="4"/>
      <c r="I1707" s="4"/>
      <c r="J1707" s="4"/>
    </row>
    <row r="1708" spans="3:10">
      <c r="C1708" s="9"/>
      <c r="D1708" s="1"/>
      <c r="F1708" s="4"/>
      <c r="G1708" s="4"/>
      <c r="H1708" s="4"/>
      <c r="I1708" s="4"/>
      <c r="J1708" s="4"/>
    </row>
    <row r="1709" spans="3:10">
      <c r="C1709" s="9"/>
      <c r="D1709" s="1"/>
      <c r="F1709" s="4"/>
      <c r="G1709" s="4"/>
      <c r="H1709" s="4"/>
      <c r="I1709" s="4"/>
      <c r="J1709" s="4"/>
    </row>
    <row r="1710" spans="3:10">
      <c r="C1710" s="9"/>
      <c r="D1710" s="1"/>
      <c r="F1710" s="4"/>
      <c r="G1710" s="4"/>
      <c r="H1710" s="4"/>
      <c r="I1710" s="4"/>
      <c r="J1710" s="4"/>
    </row>
    <row r="1711" spans="3:10">
      <c r="C1711" s="9"/>
      <c r="D1711" s="1"/>
      <c r="F1711" s="4"/>
      <c r="G1711" s="4"/>
      <c r="H1711" s="4"/>
      <c r="I1711" s="4"/>
      <c r="J1711" s="4"/>
    </row>
    <row r="1712" spans="3:10">
      <c r="C1712" s="9"/>
      <c r="D1712" s="1"/>
      <c r="F1712" s="4"/>
      <c r="G1712" s="4"/>
      <c r="H1712" s="4"/>
      <c r="I1712" s="4"/>
      <c r="J1712" s="4"/>
    </row>
    <row r="1713" spans="3:10">
      <c r="C1713" s="9"/>
      <c r="D1713" s="1"/>
      <c r="F1713" s="4"/>
      <c r="G1713" s="4"/>
      <c r="H1713" s="4"/>
      <c r="I1713" s="4"/>
      <c r="J1713" s="4"/>
    </row>
    <row r="1714" spans="3:10">
      <c r="C1714" s="9"/>
      <c r="D1714" s="1"/>
      <c r="F1714" s="4"/>
      <c r="G1714" s="4"/>
      <c r="H1714" s="4"/>
      <c r="I1714" s="4"/>
      <c r="J1714" s="4"/>
    </row>
    <row r="1715" spans="3:10">
      <c r="C1715" s="9"/>
      <c r="D1715" s="1"/>
      <c r="F1715" s="4"/>
      <c r="G1715" s="4"/>
      <c r="H1715" s="4"/>
      <c r="I1715" s="4"/>
      <c r="J1715" s="4"/>
    </row>
    <row r="1716" spans="3:10">
      <c r="C1716" s="9"/>
      <c r="D1716" s="1"/>
      <c r="F1716" s="4"/>
      <c r="G1716" s="4"/>
      <c r="H1716" s="4"/>
      <c r="I1716" s="4"/>
      <c r="J1716" s="4"/>
    </row>
    <row r="1717" spans="3:10">
      <c r="C1717" s="9"/>
      <c r="D1717" s="1"/>
      <c r="F1717" s="4"/>
      <c r="G1717" s="4"/>
      <c r="H1717" s="4"/>
      <c r="I1717" s="4"/>
      <c r="J1717" s="4"/>
    </row>
    <row r="1718" spans="3:10">
      <c r="C1718" s="9"/>
      <c r="D1718" s="1"/>
      <c r="F1718" s="4"/>
      <c r="G1718" s="4"/>
      <c r="H1718" s="4"/>
      <c r="I1718" s="4"/>
      <c r="J1718" s="4"/>
    </row>
    <row r="1719" spans="3:10">
      <c r="C1719" s="9"/>
      <c r="D1719" s="1"/>
      <c r="F1719" s="4"/>
      <c r="G1719" s="4"/>
      <c r="H1719" s="4"/>
      <c r="I1719" s="4"/>
      <c r="J1719" s="4"/>
    </row>
    <row r="1720" spans="3:10">
      <c r="C1720" s="9"/>
      <c r="D1720" s="1"/>
      <c r="F1720" s="4"/>
      <c r="G1720" s="4"/>
      <c r="H1720" s="4"/>
      <c r="I1720" s="4"/>
      <c r="J1720" s="4"/>
    </row>
    <row r="1721" spans="3:10">
      <c r="C1721" s="9"/>
      <c r="D1721" s="1"/>
      <c r="F1721" s="4"/>
      <c r="G1721" s="4"/>
      <c r="H1721" s="4"/>
      <c r="I1721" s="4"/>
      <c r="J1721" s="4"/>
    </row>
    <row r="1722" spans="3:10">
      <c r="C1722" s="9"/>
      <c r="D1722" s="1"/>
      <c r="F1722" s="4"/>
      <c r="G1722" s="4"/>
      <c r="H1722" s="4"/>
      <c r="I1722" s="4"/>
      <c r="J1722" s="4"/>
    </row>
    <row r="1723" spans="3:10">
      <c r="C1723" s="9"/>
      <c r="D1723" s="1"/>
      <c r="F1723" s="4"/>
      <c r="G1723" s="4"/>
      <c r="H1723" s="4"/>
      <c r="I1723" s="4"/>
      <c r="J1723" s="4"/>
    </row>
    <row r="1724" spans="3:10">
      <c r="C1724" s="9"/>
      <c r="D1724" s="1"/>
      <c r="F1724" s="4"/>
      <c r="G1724" s="4"/>
      <c r="H1724" s="4"/>
      <c r="I1724" s="4"/>
      <c r="J1724" s="4"/>
    </row>
    <row r="1725" spans="3:10">
      <c r="C1725" s="9"/>
      <c r="D1725" s="1"/>
      <c r="F1725" s="4"/>
      <c r="G1725" s="4"/>
      <c r="H1725" s="4"/>
      <c r="I1725" s="4"/>
      <c r="J1725" s="4"/>
    </row>
    <row r="1726" spans="3:10">
      <c r="C1726" s="9"/>
      <c r="D1726" s="1"/>
      <c r="F1726" s="4"/>
      <c r="G1726" s="4"/>
      <c r="H1726" s="4"/>
      <c r="I1726" s="4"/>
      <c r="J1726" s="4"/>
    </row>
    <row r="1727" spans="3:10">
      <c r="C1727" s="9"/>
      <c r="D1727" s="1"/>
      <c r="F1727" s="4"/>
      <c r="G1727" s="4"/>
      <c r="H1727" s="4"/>
      <c r="I1727" s="4"/>
      <c r="J1727" s="4"/>
    </row>
    <row r="1728" spans="3:10">
      <c r="C1728" s="9"/>
      <c r="D1728" s="1"/>
      <c r="F1728" s="4"/>
      <c r="G1728" s="4"/>
      <c r="H1728" s="4"/>
      <c r="I1728" s="4"/>
      <c r="J1728" s="4"/>
    </row>
    <row r="1729" spans="3:10">
      <c r="C1729" s="9"/>
      <c r="D1729" s="1"/>
      <c r="F1729" s="4"/>
      <c r="G1729" s="4"/>
      <c r="H1729" s="4"/>
      <c r="I1729" s="4"/>
      <c r="J1729" s="4"/>
    </row>
    <row r="1730" spans="3:10">
      <c r="C1730" s="9"/>
      <c r="D1730" s="1"/>
      <c r="F1730" s="4"/>
      <c r="G1730" s="4"/>
      <c r="H1730" s="4"/>
      <c r="I1730" s="4"/>
      <c r="J1730" s="4"/>
    </row>
    <row r="1731" spans="3:10">
      <c r="C1731" s="9"/>
      <c r="D1731" s="1"/>
      <c r="F1731" s="4"/>
      <c r="G1731" s="4"/>
      <c r="H1731" s="4"/>
      <c r="I1731" s="4"/>
      <c r="J1731" s="4"/>
    </row>
    <row r="1732" spans="3:10">
      <c r="C1732" s="9"/>
      <c r="D1732" s="1"/>
      <c r="F1732" s="4"/>
      <c r="G1732" s="4"/>
      <c r="H1732" s="4"/>
      <c r="I1732" s="4"/>
      <c r="J1732" s="4"/>
    </row>
    <row r="1733" spans="3:10">
      <c r="C1733" s="9"/>
      <c r="D1733" s="1"/>
      <c r="F1733" s="4"/>
      <c r="G1733" s="4"/>
      <c r="H1733" s="4"/>
      <c r="I1733" s="4"/>
      <c r="J1733" s="4"/>
    </row>
    <row r="1734" spans="3:10">
      <c r="C1734" s="9"/>
      <c r="D1734" s="1"/>
      <c r="F1734" s="4"/>
      <c r="G1734" s="4"/>
      <c r="H1734" s="4"/>
      <c r="I1734" s="4"/>
      <c r="J1734" s="4"/>
    </row>
    <row r="1735" spans="3:10">
      <c r="C1735" s="9"/>
      <c r="D1735" s="1"/>
      <c r="F1735" s="4"/>
      <c r="G1735" s="4"/>
      <c r="H1735" s="4"/>
      <c r="I1735" s="4"/>
      <c r="J1735" s="4"/>
    </row>
    <row r="1736" spans="3:10">
      <c r="C1736" s="9"/>
      <c r="D1736" s="1"/>
      <c r="F1736" s="4"/>
      <c r="G1736" s="4"/>
      <c r="H1736" s="4"/>
      <c r="I1736" s="4"/>
      <c r="J1736" s="4"/>
    </row>
    <row r="1737" spans="3:10">
      <c r="C1737" s="9"/>
      <c r="D1737" s="1"/>
      <c r="F1737" s="4"/>
      <c r="G1737" s="4"/>
      <c r="H1737" s="4"/>
      <c r="I1737" s="4"/>
      <c r="J1737" s="4"/>
    </row>
    <row r="1738" spans="3:10">
      <c r="C1738" s="9"/>
      <c r="D1738" s="1"/>
      <c r="F1738" s="4"/>
      <c r="G1738" s="4"/>
      <c r="H1738" s="4"/>
      <c r="I1738" s="4"/>
      <c r="J1738" s="4"/>
    </row>
    <row r="1739" spans="3:10">
      <c r="C1739" s="9"/>
      <c r="D1739" s="1"/>
      <c r="F1739" s="4"/>
      <c r="G1739" s="4"/>
      <c r="H1739" s="4"/>
      <c r="I1739" s="4"/>
      <c r="J1739" s="4"/>
    </row>
    <row r="1740" spans="3:10">
      <c r="C1740" s="9"/>
      <c r="D1740" s="1"/>
      <c r="F1740" s="4"/>
      <c r="G1740" s="4"/>
      <c r="H1740" s="4"/>
      <c r="I1740" s="4"/>
      <c r="J1740" s="4"/>
    </row>
    <row r="1741" spans="3:10">
      <c r="C1741" s="9"/>
      <c r="D1741" s="1"/>
      <c r="F1741" s="4"/>
      <c r="G1741" s="4"/>
      <c r="H1741" s="4"/>
      <c r="I1741" s="4"/>
      <c r="J1741" s="4"/>
    </row>
    <row r="1742" spans="3:10">
      <c r="C1742" s="9"/>
      <c r="D1742" s="1"/>
      <c r="F1742" s="4"/>
      <c r="G1742" s="4"/>
      <c r="H1742" s="4"/>
      <c r="I1742" s="4"/>
      <c r="J1742" s="4"/>
    </row>
    <row r="1743" spans="3:10">
      <c r="C1743" s="9"/>
      <c r="D1743" s="1"/>
      <c r="F1743" s="4"/>
      <c r="G1743" s="4"/>
      <c r="H1743" s="4"/>
      <c r="I1743" s="4"/>
      <c r="J1743" s="4"/>
    </row>
    <row r="1744" spans="3:10">
      <c r="C1744" s="9"/>
      <c r="D1744" s="1"/>
      <c r="F1744" s="4"/>
      <c r="G1744" s="4"/>
      <c r="H1744" s="4"/>
      <c r="I1744" s="4"/>
      <c r="J1744" s="4"/>
    </row>
    <row r="1745" spans="3:10">
      <c r="C1745" s="9"/>
      <c r="D1745" s="1"/>
      <c r="F1745" s="4"/>
      <c r="G1745" s="4"/>
      <c r="H1745" s="4"/>
      <c r="I1745" s="4"/>
      <c r="J1745" s="4"/>
    </row>
    <row r="1746" spans="3:10">
      <c r="C1746" s="9"/>
      <c r="D1746" s="1"/>
      <c r="F1746" s="4"/>
      <c r="G1746" s="4"/>
      <c r="H1746" s="4"/>
      <c r="I1746" s="4"/>
      <c r="J1746" s="4"/>
    </row>
    <row r="1747" spans="3:10">
      <c r="C1747" s="9"/>
      <c r="D1747" s="1"/>
      <c r="F1747" s="4"/>
      <c r="G1747" s="4"/>
      <c r="H1747" s="4"/>
      <c r="I1747" s="4"/>
      <c r="J1747" s="4"/>
    </row>
    <row r="1748" spans="3:10">
      <c r="C1748" s="9"/>
      <c r="D1748" s="1"/>
      <c r="F1748" s="4"/>
      <c r="G1748" s="4"/>
      <c r="H1748" s="4"/>
      <c r="I1748" s="4"/>
      <c r="J1748" s="4"/>
    </row>
    <row r="1749" spans="3:10">
      <c r="C1749" s="9"/>
      <c r="D1749" s="1"/>
      <c r="F1749" s="4"/>
      <c r="G1749" s="4"/>
      <c r="H1749" s="4"/>
      <c r="I1749" s="4"/>
      <c r="J1749" s="4"/>
    </row>
    <row r="1750" spans="3:10">
      <c r="C1750" s="9"/>
      <c r="D1750" s="1"/>
      <c r="F1750" s="4"/>
      <c r="G1750" s="4"/>
      <c r="H1750" s="4"/>
      <c r="I1750" s="4"/>
      <c r="J1750" s="4"/>
    </row>
    <row r="1751" spans="3:10">
      <c r="C1751" s="9"/>
      <c r="D1751" s="1"/>
      <c r="F1751" s="4"/>
      <c r="G1751" s="4"/>
      <c r="H1751" s="4"/>
      <c r="I1751" s="4"/>
      <c r="J1751" s="4"/>
    </row>
    <row r="1752" spans="3:10">
      <c r="C1752" s="9"/>
      <c r="D1752" s="1"/>
      <c r="F1752" s="4"/>
      <c r="G1752" s="4"/>
      <c r="H1752" s="4"/>
      <c r="I1752" s="4"/>
      <c r="J1752" s="4"/>
    </row>
    <row r="1753" spans="3:10">
      <c r="C1753" s="9"/>
      <c r="D1753" s="1"/>
      <c r="F1753" s="4"/>
      <c r="G1753" s="4"/>
      <c r="H1753" s="4"/>
      <c r="I1753" s="4"/>
      <c r="J1753" s="4"/>
    </row>
    <row r="1754" spans="3:10">
      <c r="C1754" s="9"/>
      <c r="D1754" s="1"/>
      <c r="F1754" s="4"/>
      <c r="G1754" s="4"/>
      <c r="H1754" s="4"/>
      <c r="I1754" s="4"/>
      <c r="J1754" s="4"/>
    </row>
    <row r="1755" spans="3:10">
      <c r="C1755" s="9"/>
      <c r="D1755" s="1"/>
      <c r="F1755" s="4"/>
      <c r="G1755" s="4"/>
      <c r="H1755" s="4"/>
      <c r="I1755" s="4"/>
      <c r="J1755" s="4"/>
    </row>
    <row r="1756" spans="3:10">
      <c r="C1756" s="9"/>
      <c r="D1756" s="1"/>
      <c r="F1756" s="4"/>
      <c r="G1756" s="4"/>
      <c r="H1756" s="4"/>
      <c r="I1756" s="4"/>
      <c r="J1756" s="4"/>
    </row>
    <row r="1757" spans="3:10">
      <c r="C1757" s="9"/>
      <c r="D1757" s="1"/>
      <c r="F1757" s="4"/>
      <c r="G1757" s="4"/>
      <c r="H1757" s="4"/>
      <c r="I1757" s="4"/>
      <c r="J1757" s="4"/>
    </row>
    <row r="1758" spans="3:10">
      <c r="C1758" s="9"/>
      <c r="D1758" s="1"/>
      <c r="F1758" s="4"/>
      <c r="G1758" s="4"/>
      <c r="H1758" s="4"/>
      <c r="I1758" s="4"/>
      <c r="J1758" s="4"/>
    </row>
    <row r="1759" spans="3:10">
      <c r="C1759" s="9"/>
      <c r="D1759" s="1"/>
      <c r="F1759" s="4"/>
      <c r="G1759" s="4"/>
      <c r="H1759" s="4"/>
      <c r="I1759" s="4"/>
      <c r="J1759" s="4"/>
    </row>
    <row r="1760" spans="3:10">
      <c r="C1760" s="9"/>
      <c r="D1760" s="1"/>
      <c r="F1760" s="4"/>
      <c r="G1760" s="4"/>
      <c r="H1760" s="4"/>
      <c r="I1760" s="4"/>
      <c r="J1760" s="4"/>
    </row>
    <row r="1761" spans="3:10">
      <c r="C1761" s="9"/>
      <c r="D1761" s="1"/>
      <c r="F1761" s="4"/>
      <c r="G1761" s="4"/>
      <c r="H1761" s="4"/>
      <c r="I1761" s="4"/>
      <c r="J1761" s="4"/>
    </row>
    <row r="1762" spans="3:10">
      <c r="C1762" s="9"/>
      <c r="D1762" s="1"/>
      <c r="F1762" s="4"/>
      <c r="G1762" s="4"/>
      <c r="H1762" s="4"/>
      <c r="I1762" s="4"/>
      <c r="J1762" s="4"/>
    </row>
    <row r="1763" spans="3:10">
      <c r="C1763" s="9"/>
      <c r="D1763" s="1"/>
      <c r="F1763" s="4"/>
      <c r="G1763" s="4"/>
      <c r="H1763" s="4"/>
      <c r="I1763" s="4"/>
      <c r="J1763" s="4"/>
    </row>
    <row r="1764" spans="3:10">
      <c r="C1764" s="9"/>
      <c r="D1764" s="1"/>
      <c r="F1764" s="4"/>
      <c r="G1764" s="4"/>
      <c r="H1764" s="4"/>
      <c r="I1764" s="4"/>
      <c r="J1764" s="4"/>
    </row>
    <row r="1765" spans="3:10">
      <c r="C1765" s="9"/>
      <c r="D1765" s="1"/>
      <c r="F1765" s="4"/>
      <c r="G1765" s="4"/>
      <c r="H1765" s="4"/>
      <c r="I1765" s="4"/>
      <c r="J1765" s="4"/>
    </row>
    <row r="1766" spans="3:10">
      <c r="C1766" s="9"/>
      <c r="D1766" s="1"/>
      <c r="F1766" s="4"/>
      <c r="G1766" s="4"/>
      <c r="H1766" s="4"/>
      <c r="I1766" s="4"/>
      <c r="J1766" s="4"/>
    </row>
    <row r="1767" spans="3:10">
      <c r="C1767" s="9"/>
      <c r="D1767" s="1"/>
      <c r="F1767" s="4"/>
      <c r="G1767" s="4"/>
      <c r="H1767" s="4"/>
      <c r="I1767" s="4"/>
      <c r="J1767" s="4"/>
    </row>
    <row r="1768" spans="3:10">
      <c r="C1768" s="9"/>
      <c r="D1768" s="1"/>
      <c r="F1768" s="4"/>
      <c r="G1768" s="4"/>
      <c r="H1768" s="4"/>
      <c r="I1768" s="4"/>
      <c r="J1768" s="4"/>
    </row>
    <row r="1769" spans="3:10">
      <c r="C1769" s="9"/>
      <c r="D1769" s="1"/>
      <c r="F1769" s="4"/>
      <c r="G1769" s="4"/>
      <c r="H1769" s="4"/>
      <c r="I1769" s="4"/>
      <c r="J1769" s="4"/>
    </row>
    <row r="1770" spans="3:10">
      <c r="C1770" s="9"/>
      <c r="D1770" s="1"/>
      <c r="F1770" s="4"/>
      <c r="G1770" s="4"/>
      <c r="H1770" s="4"/>
      <c r="I1770" s="4"/>
      <c r="J1770" s="4"/>
    </row>
    <row r="1771" spans="3:10">
      <c r="C1771" s="9"/>
      <c r="D1771" s="1"/>
      <c r="F1771" s="4"/>
      <c r="G1771" s="4"/>
      <c r="H1771" s="4"/>
      <c r="I1771" s="4"/>
      <c r="J1771" s="4"/>
    </row>
    <row r="1772" spans="3:10">
      <c r="C1772" s="9"/>
      <c r="D1772" s="1"/>
      <c r="F1772" s="4"/>
      <c r="G1772" s="4"/>
      <c r="H1772" s="4"/>
      <c r="I1772" s="4"/>
      <c r="J1772" s="4"/>
    </row>
    <row r="1773" spans="3:10">
      <c r="C1773" s="9"/>
      <c r="D1773" s="1"/>
      <c r="F1773" s="4"/>
      <c r="G1773" s="4"/>
      <c r="H1773" s="4"/>
      <c r="I1773" s="4"/>
      <c r="J1773" s="4"/>
    </row>
    <row r="1774" spans="3:10">
      <c r="C1774" s="9"/>
      <c r="D1774" s="1"/>
      <c r="F1774" s="4"/>
      <c r="G1774" s="4"/>
      <c r="H1774" s="4"/>
      <c r="I1774" s="4"/>
      <c r="J1774" s="4"/>
    </row>
    <row r="1775" spans="3:10">
      <c r="C1775" s="9"/>
      <c r="D1775" s="1"/>
      <c r="F1775" s="4"/>
      <c r="G1775" s="4"/>
      <c r="H1775" s="4"/>
      <c r="I1775" s="4"/>
      <c r="J1775" s="4"/>
    </row>
    <row r="1776" spans="3:10">
      <c r="C1776" s="9"/>
      <c r="D1776" s="1"/>
      <c r="F1776" s="4"/>
      <c r="G1776" s="4"/>
      <c r="H1776" s="4"/>
      <c r="I1776" s="4"/>
      <c r="J1776" s="4"/>
    </row>
    <row r="1777" spans="3:10">
      <c r="C1777" s="9"/>
      <c r="D1777" s="1"/>
      <c r="F1777" s="4"/>
      <c r="G1777" s="4"/>
      <c r="H1777" s="4"/>
      <c r="I1777" s="4"/>
      <c r="J1777" s="4"/>
    </row>
    <row r="1778" spans="3:10">
      <c r="C1778" s="9"/>
      <c r="D1778" s="1"/>
      <c r="F1778" s="4"/>
      <c r="G1778" s="4"/>
      <c r="H1778" s="4"/>
      <c r="I1778" s="4"/>
      <c r="J1778" s="4"/>
    </row>
    <row r="1779" spans="3:10">
      <c r="C1779" s="9"/>
      <c r="D1779" s="1"/>
      <c r="F1779" s="4"/>
      <c r="G1779" s="4"/>
      <c r="H1779" s="4"/>
      <c r="I1779" s="4"/>
      <c r="J1779" s="4"/>
    </row>
    <row r="1780" spans="3:10">
      <c r="C1780" s="9"/>
      <c r="D1780" s="1"/>
      <c r="F1780" s="4"/>
      <c r="G1780" s="4"/>
      <c r="H1780" s="4"/>
      <c r="I1780" s="4"/>
      <c r="J1780" s="4"/>
    </row>
    <row r="1781" spans="3:10">
      <c r="C1781" s="9"/>
      <c r="D1781" s="1"/>
      <c r="F1781" s="4"/>
      <c r="G1781" s="4"/>
      <c r="H1781" s="4"/>
      <c r="I1781" s="4"/>
      <c r="J1781" s="4"/>
    </row>
    <row r="1782" spans="3:10">
      <c r="C1782" s="9"/>
      <c r="D1782" s="1"/>
      <c r="F1782" s="4"/>
      <c r="G1782" s="4"/>
      <c r="H1782" s="4"/>
      <c r="I1782" s="4"/>
      <c r="J1782" s="4"/>
    </row>
    <row r="1783" spans="3:10">
      <c r="C1783" s="9"/>
      <c r="D1783" s="1"/>
      <c r="F1783" s="4"/>
      <c r="G1783" s="4"/>
      <c r="H1783" s="4"/>
      <c r="I1783" s="4"/>
      <c r="J1783" s="4"/>
    </row>
    <row r="1784" spans="3:10">
      <c r="C1784" s="9"/>
      <c r="D1784" s="1"/>
      <c r="F1784" s="4"/>
      <c r="G1784" s="4"/>
      <c r="H1784" s="4"/>
      <c r="I1784" s="4"/>
      <c r="J1784" s="4"/>
    </row>
    <row r="1785" spans="3:10">
      <c r="C1785" s="9"/>
      <c r="D1785" s="1"/>
      <c r="F1785" s="4"/>
      <c r="G1785" s="4"/>
      <c r="H1785" s="4"/>
      <c r="I1785" s="4"/>
      <c r="J1785" s="4"/>
    </row>
    <row r="1786" spans="3:10">
      <c r="C1786" s="9"/>
      <c r="D1786" s="1"/>
      <c r="F1786" s="4"/>
      <c r="G1786" s="4"/>
      <c r="H1786" s="4"/>
      <c r="I1786" s="4"/>
      <c r="J1786" s="4"/>
    </row>
    <row r="1787" spans="3:10">
      <c r="C1787" s="9"/>
      <c r="D1787" s="1"/>
      <c r="F1787" s="4"/>
      <c r="G1787" s="4"/>
      <c r="H1787" s="4"/>
      <c r="I1787" s="4"/>
      <c r="J1787" s="4"/>
    </row>
    <row r="1788" spans="3:10">
      <c r="C1788" s="9"/>
      <c r="D1788" s="1"/>
      <c r="F1788" s="4"/>
      <c r="G1788" s="4"/>
      <c r="H1788" s="4"/>
      <c r="I1788" s="4"/>
      <c r="J1788" s="4"/>
    </row>
    <row r="1789" spans="3:10">
      <c r="C1789" s="9"/>
      <c r="D1789" s="1"/>
      <c r="F1789" s="4"/>
      <c r="G1789" s="4"/>
      <c r="H1789" s="4"/>
      <c r="I1789" s="4"/>
      <c r="J1789" s="4"/>
    </row>
    <row r="1790" spans="3:10">
      <c r="C1790" s="9"/>
      <c r="D1790" s="1"/>
      <c r="F1790" s="4"/>
      <c r="G1790" s="4"/>
      <c r="H1790" s="4"/>
      <c r="I1790" s="4"/>
      <c r="J1790" s="4"/>
    </row>
    <row r="1791" spans="3:10">
      <c r="C1791" s="9"/>
      <c r="D1791" s="1"/>
      <c r="F1791" s="4"/>
      <c r="G1791" s="4"/>
      <c r="H1791" s="4"/>
      <c r="I1791" s="4"/>
      <c r="J1791" s="4"/>
    </row>
    <row r="1792" spans="3:10">
      <c r="C1792" s="9"/>
      <c r="D1792" s="1"/>
      <c r="F1792" s="4"/>
      <c r="G1792" s="4"/>
      <c r="H1792" s="4"/>
      <c r="I1792" s="4"/>
      <c r="J1792" s="4"/>
    </row>
    <row r="1793" spans="3:10">
      <c r="C1793" s="9"/>
      <c r="D1793" s="1"/>
      <c r="F1793" s="4"/>
      <c r="G1793" s="4"/>
      <c r="H1793" s="4"/>
      <c r="I1793" s="4"/>
      <c r="J1793" s="4"/>
    </row>
    <row r="1794" spans="3:10">
      <c r="C1794" s="9"/>
      <c r="D1794" s="1"/>
      <c r="F1794" s="4"/>
      <c r="G1794" s="4"/>
      <c r="H1794" s="4"/>
      <c r="I1794" s="4"/>
      <c r="J1794" s="4"/>
    </row>
    <row r="1795" spans="3:10">
      <c r="C1795" s="9"/>
      <c r="D1795" s="1"/>
      <c r="F1795" s="4"/>
      <c r="G1795" s="4"/>
      <c r="H1795" s="4"/>
      <c r="I1795" s="4"/>
      <c r="J1795" s="4"/>
    </row>
    <row r="1796" spans="3:10">
      <c r="C1796" s="9"/>
      <c r="D1796" s="1"/>
      <c r="F1796" s="4"/>
      <c r="G1796" s="4"/>
      <c r="H1796" s="4"/>
      <c r="I1796" s="4"/>
      <c r="J1796" s="4"/>
    </row>
    <row r="1797" spans="3:10">
      <c r="C1797" s="9"/>
      <c r="D1797" s="1"/>
      <c r="F1797" s="4"/>
      <c r="G1797" s="4"/>
      <c r="H1797" s="4"/>
      <c r="I1797" s="4"/>
      <c r="J1797" s="4"/>
    </row>
    <row r="1798" spans="3:10">
      <c r="C1798" s="9"/>
      <c r="D1798" s="1"/>
      <c r="F1798" s="4"/>
      <c r="G1798" s="4"/>
      <c r="H1798" s="4"/>
      <c r="I1798" s="4"/>
      <c r="J1798" s="4"/>
    </row>
    <row r="1799" spans="3:10">
      <c r="C1799" s="9"/>
      <c r="D1799" s="1"/>
      <c r="F1799" s="4"/>
      <c r="G1799" s="4"/>
      <c r="H1799" s="4"/>
      <c r="I1799" s="4"/>
      <c r="J1799" s="4"/>
    </row>
    <row r="1800" spans="3:10">
      <c r="C1800" s="9"/>
      <c r="D1800" s="1"/>
      <c r="F1800" s="4"/>
      <c r="G1800" s="4"/>
      <c r="H1800" s="4"/>
      <c r="I1800" s="4"/>
      <c r="J1800" s="4"/>
    </row>
    <row r="1801" spans="3:10">
      <c r="C1801" s="9"/>
      <c r="D1801" s="1"/>
      <c r="F1801" s="4"/>
      <c r="G1801" s="4"/>
      <c r="H1801" s="4"/>
      <c r="I1801" s="4"/>
      <c r="J1801" s="4"/>
    </row>
    <row r="1802" spans="3:10">
      <c r="C1802" s="9"/>
      <c r="D1802" s="1"/>
      <c r="F1802" s="4"/>
      <c r="G1802" s="4"/>
      <c r="H1802" s="4"/>
      <c r="I1802" s="4"/>
      <c r="J1802" s="4"/>
    </row>
    <row r="1803" spans="3:10">
      <c r="C1803" s="9"/>
      <c r="D1803" s="1"/>
      <c r="F1803" s="4"/>
      <c r="G1803" s="4"/>
      <c r="H1803" s="4"/>
      <c r="I1803" s="4"/>
      <c r="J1803" s="4"/>
    </row>
    <row r="1804" spans="3:10">
      <c r="C1804" s="9"/>
      <c r="D1804" s="1"/>
      <c r="F1804" s="4"/>
      <c r="G1804" s="4"/>
      <c r="H1804" s="4"/>
      <c r="I1804" s="4"/>
      <c r="J1804" s="4"/>
    </row>
    <row r="1805" spans="3:10">
      <c r="C1805" s="9"/>
      <c r="D1805" s="1"/>
      <c r="F1805" s="4"/>
      <c r="G1805" s="4"/>
      <c r="H1805" s="4"/>
      <c r="I1805" s="4"/>
      <c r="J1805" s="4"/>
    </row>
    <row r="1806" spans="3:10">
      <c r="C1806" s="9"/>
      <c r="D1806" s="1"/>
      <c r="F1806" s="4"/>
      <c r="G1806" s="4"/>
      <c r="H1806" s="4"/>
      <c r="I1806" s="4"/>
      <c r="J1806" s="4"/>
    </row>
    <row r="1807" spans="3:10">
      <c r="C1807" s="9"/>
      <c r="D1807" s="1"/>
      <c r="F1807" s="4"/>
      <c r="G1807" s="4"/>
      <c r="H1807" s="4"/>
      <c r="I1807" s="4"/>
      <c r="J1807" s="4"/>
    </row>
    <row r="1808" spans="3:10">
      <c r="C1808" s="9"/>
      <c r="D1808" s="1"/>
      <c r="F1808" s="4"/>
      <c r="G1808" s="4"/>
      <c r="H1808" s="4"/>
      <c r="I1808" s="4"/>
      <c r="J1808" s="4"/>
    </row>
    <row r="1809" spans="3:10">
      <c r="C1809" s="9"/>
      <c r="D1809" s="1"/>
      <c r="F1809" s="4"/>
      <c r="G1809" s="4"/>
      <c r="H1809" s="4"/>
      <c r="I1809" s="4"/>
      <c r="J1809" s="4"/>
    </row>
    <row r="1810" spans="3:10">
      <c r="C1810" s="9"/>
      <c r="D1810" s="1"/>
      <c r="F1810" s="4"/>
      <c r="G1810" s="4"/>
      <c r="H1810" s="4"/>
      <c r="I1810" s="4"/>
      <c r="J1810" s="4"/>
    </row>
    <row r="1811" spans="3:10">
      <c r="C1811" s="9"/>
      <c r="D1811" s="1"/>
      <c r="F1811" s="4"/>
      <c r="G1811" s="4"/>
      <c r="H1811" s="4"/>
      <c r="I1811" s="4"/>
      <c r="J1811" s="4"/>
    </row>
    <row r="1812" spans="3:10">
      <c r="C1812" s="9"/>
      <c r="D1812" s="1"/>
      <c r="F1812" s="4"/>
      <c r="G1812" s="4"/>
      <c r="H1812" s="4"/>
      <c r="I1812" s="4"/>
      <c r="J1812" s="4"/>
    </row>
    <row r="1813" spans="3:10">
      <c r="C1813" s="9"/>
      <c r="D1813" s="1"/>
      <c r="F1813" s="4"/>
      <c r="G1813" s="4"/>
      <c r="H1813" s="4"/>
      <c r="I1813" s="4"/>
      <c r="J1813" s="4"/>
    </row>
    <row r="1814" spans="3:10">
      <c r="C1814" s="9"/>
      <c r="D1814" s="1"/>
      <c r="F1814" s="4"/>
      <c r="G1814" s="4"/>
      <c r="H1814" s="4"/>
      <c r="I1814" s="4"/>
      <c r="J1814" s="4"/>
    </row>
    <row r="1815" spans="3:10">
      <c r="C1815" s="9"/>
      <c r="D1815" s="1"/>
      <c r="F1815" s="4"/>
      <c r="G1815" s="4"/>
      <c r="H1815" s="4"/>
      <c r="I1815" s="4"/>
      <c r="J1815" s="4"/>
    </row>
    <row r="1816" spans="3:10">
      <c r="C1816" s="9"/>
      <c r="D1816" s="1"/>
      <c r="F1816" s="4"/>
      <c r="G1816" s="4"/>
      <c r="H1816" s="4"/>
      <c r="I1816" s="4"/>
      <c r="J1816" s="4"/>
    </row>
    <row r="1817" spans="3:10">
      <c r="C1817" s="9"/>
      <c r="D1817" s="1"/>
      <c r="F1817" s="4"/>
      <c r="G1817" s="4"/>
      <c r="H1817" s="4"/>
      <c r="I1817" s="4"/>
      <c r="J1817" s="4"/>
    </row>
    <row r="1818" spans="3:10">
      <c r="C1818" s="9"/>
      <c r="D1818" s="1"/>
      <c r="F1818" s="4"/>
      <c r="G1818" s="4"/>
      <c r="H1818" s="4"/>
      <c r="I1818" s="4"/>
      <c r="J1818" s="4"/>
    </row>
    <row r="1819" spans="3:10">
      <c r="C1819" s="9"/>
      <c r="D1819" s="1"/>
      <c r="F1819" s="4"/>
      <c r="G1819" s="4"/>
      <c r="H1819" s="4"/>
      <c r="I1819" s="4"/>
      <c r="J1819" s="4"/>
    </row>
    <row r="1820" spans="3:10">
      <c r="C1820" s="9"/>
      <c r="D1820" s="1"/>
      <c r="F1820" s="4"/>
      <c r="G1820" s="4"/>
      <c r="H1820" s="4"/>
      <c r="I1820" s="4"/>
      <c r="J1820" s="4"/>
    </row>
    <row r="1821" spans="3:10">
      <c r="C1821" s="9"/>
      <c r="D1821" s="1"/>
      <c r="F1821" s="4"/>
      <c r="G1821" s="4"/>
      <c r="H1821" s="4"/>
      <c r="I1821" s="4"/>
      <c r="J1821" s="4"/>
    </row>
    <row r="1822" spans="3:10">
      <c r="C1822" s="9"/>
      <c r="D1822" s="1"/>
      <c r="F1822" s="4"/>
      <c r="G1822" s="4"/>
      <c r="H1822" s="4"/>
      <c r="I1822" s="4"/>
      <c r="J1822" s="4"/>
    </row>
    <row r="1823" spans="3:10">
      <c r="C1823" s="9"/>
      <c r="D1823" s="1"/>
      <c r="F1823" s="4"/>
      <c r="G1823" s="4"/>
      <c r="H1823" s="4"/>
      <c r="I1823" s="4"/>
      <c r="J1823" s="4"/>
    </row>
    <row r="1824" spans="3:10">
      <c r="C1824" s="9"/>
      <c r="D1824" s="1"/>
      <c r="F1824" s="4"/>
      <c r="G1824" s="4"/>
      <c r="H1824" s="4"/>
      <c r="I1824" s="4"/>
      <c r="J1824" s="4"/>
    </row>
    <row r="1825" spans="3:10">
      <c r="C1825" s="9"/>
      <c r="D1825" s="1"/>
      <c r="F1825" s="4"/>
      <c r="G1825" s="4"/>
      <c r="H1825" s="4"/>
      <c r="I1825" s="4"/>
      <c r="J1825" s="4"/>
    </row>
    <row r="1826" spans="3:10">
      <c r="C1826" s="9"/>
      <c r="D1826" s="1"/>
      <c r="F1826" s="4"/>
      <c r="G1826" s="4"/>
      <c r="H1826" s="4"/>
      <c r="I1826" s="4"/>
      <c r="J1826" s="4"/>
    </row>
    <row r="1827" spans="3:10">
      <c r="C1827" s="9"/>
      <c r="D1827" s="1"/>
      <c r="F1827" s="4"/>
      <c r="G1827" s="4"/>
      <c r="H1827" s="4"/>
      <c r="I1827" s="4"/>
      <c r="J1827" s="4"/>
    </row>
    <row r="1828" spans="3:10">
      <c r="C1828" s="9"/>
      <c r="D1828" s="1"/>
      <c r="F1828" s="4"/>
      <c r="G1828" s="4"/>
      <c r="H1828" s="4"/>
      <c r="I1828" s="4"/>
      <c r="J1828" s="4"/>
    </row>
    <row r="1829" spans="3:10">
      <c r="C1829" s="9"/>
      <c r="D1829" s="1"/>
      <c r="F1829" s="4"/>
      <c r="G1829" s="4"/>
      <c r="H1829" s="4"/>
      <c r="I1829" s="4"/>
      <c r="J1829" s="4"/>
    </row>
    <row r="1830" spans="3:10">
      <c r="C1830" s="9"/>
      <c r="D1830" s="1"/>
      <c r="F1830" s="4"/>
      <c r="G1830" s="4"/>
      <c r="H1830" s="4"/>
      <c r="I1830" s="4"/>
      <c r="J1830" s="4"/>
    </row>
    <row r="1831" spans="3:10">
      <c r="C1831" s="9"/>
      <c r="D1831" s="1"/>
      <c r="F1831" s="4"/>
      <c r="G1831" s="4"/>
      <c r="H1831" s="4"/>
      <c r="I1831" s="4"/>
      <c r="J1831" s="4"/>
    </row>
    <row r="1832" spans="3:10">
      <c r="C1832" s="9"/>
      <c r="D1832" s="1"/>
      <c r="F1832" s="4"/>
      <c r="G1832" s="4"/>
      <c r="H1832" s="4"/>
      <c r="I1832" s="4"/>
      <c r="J1832" s="4"/>
    </row>
    <row r="1833" spans="3:10">
      <c r="C1833" s="9"/>
      <c r="D1833" s="1"/>
      <c r="F1833" s="4"/>
      <c r="G1833" s="4"/>
      <c r="H1833" s="4"/>
      <c r="I1833" s="4"/>
      <c r="J1833" s="4"/>
    </row>
    <row r="1834" spans="3:10">
      <c r="C1834" s="9"/>
      <c r="D1834" s="1"/>
      <c r="F1834" s="4"/>
      <c r="G1834" s="4"/>
      <c r="H1834" s="4"/>
      <c r="I1834" s="4"/>
      <c r="J1834" s="4"/>
    </row>
    <row r="1835" spans="3:10">
      <c r="C1835" s="9"/>
      <c r="D1835" s="1"/>
      <c r="F1835" s="4"/>
      <c r="G1835" s="4"/>
      <c r="H1835" s="4"/>
      <c r="I1835" s="4"/>
      <c r="J1835" s="4"/>
    </row>
    <row r="1836" spans="3:10">
      <c r="C1836" s="9"/>
      <c r="D1836" s="1"/>
      <c r="F1836" s="4"/>
      <c r="G1836" s="4"/>
      <c r="H1836" s="4"/>
      <c r="I1836" s="4"/>
      <c r="J1836" s="4"/>
    </row>
    <row r="1837" spans="3:10">
      <c r="C1837" s="9"/>
      <c r="D1837" s="1"/>
      <c r="F1837" s="4"/>
      <c r="G1837" s="4"/>
      <c r="H1837" s="4"/>
      <c r="I1837" s="4"/>
      <c r="J1837" s="4"/>
    </row>
    <row r="1838" spans="3:10">
      <c r="C1838" s="9"/>
      <c r="D1838" s="1"/>
      <c r="F1838" s="4"/>
      <c r="G1838" s="4"/>
      <c r="H1838" s="4"/>
      <c r="I1838" s="4"/>
      <c r="J1838" s="4"/>
    </row>
    <row r="1839" spans="3:10">
      <c r="C1839" s="9"/>
      <c r="D1839" s="1"/>
      <c r="F1839" s="4"/>
      <c r="G1839" s="4"/>
      <c r="H1839" s="4"/>
      <c r="I1839" s="4"/>
      <c r="J1839" s="4"/>
    </row>
    <row r="1840" spans="3:10">
      <c r="C1840" s="9"/>
      <c r="D1840" s="1"/>
      <c r="F1840" s="4"/>
      <c r="G1840" s="4"/>
      <c r="H1840" s="4"/>
      <c r="I1840" s="4"/>
      <c r="J1840" s="4"/>
    </row>
    <row r="1841" spans="3:10">
      <c r="C1841" s="9"/>
      <c r="D1841" s="1"/>
      <c r="F1841" s="4"/>
      <c r="G1841" s="4"/>
      <c r="H1841" s="4"/>
      <c r="I1841" s="4"/>
      <c r="J1841" s="4"/>
    </row>
    <row r="1842" spans="3:10">
      <c r="C1842" s="9"/>
      <c r="D1842" s="1"/>
      <c r="F1842" s="4"/>
      <c r="G1842" s="4"/>
      <c r="H1842" s="4"/>
      <c r="I1842" s="4"/>
      <c r="J1842" s="4"/>
    </row>
    <row r="1843" spans="3:10">
      <c r="C1843" s="9"/>
      <c r="D1843" s="1"/>
      <c r="F1843" s="4"/>
      <c r="G1843" s="4"/>
      <c r="H1843" s="4"/>
      <c r="I1843" s="4"/>
      <c r="J1843" s="4"/>
    </row>
    <row r="1844" spans="3:10">
      <c r="C1844" s="9"/>
      <c r="D1844" s="1"/>
      <c r="F1844" s="4"/>
      <c r="G1844" s="4"/>
      <c r="H1844" s="4"/>
      <c r="I1844" s="4"/>
      <c r="J1844" s="4"/>
    </row>
    <row r="1845" spans="3:10">
      <c r="C1845" s="9"/>
      <c r="D1845" s="1"/>
      <c r="F1845" s="4"/>
      <c r="G1845" s="4"/>
      <c r="H1845" s="4"/>
      <c r="I1845" s="4"/>
      <c r="J1845" s="4"/>
    </row>
    <row r="1846" spans="3:10">
      <c r="C1846" s="9"/>
      <c r="D1846" s="1"/>
      <c r="F1846" s="4"/>
      <c r="G1846" s="4"/>
      <c r="H1846" s="4"/>
      <c r="I1846" s="4"/>
      <c r="J1846" s="4"/>
    </row>
    <row r="1847" spans="3:10">
      <c r="C1847" s="9"/>
      <c r="D1847" s="1"/>
      <c r="F1847" s="4"/>
      <c r="G1847" s="4"/>
      <c r="H1847" s="4"/>
      <c r="I1847" s="4"/>
      <c r="J1847" s="4"/>
    </row>
    <row r="1848" spans="3:10">
      <c r="C1848" s="9"/>
      <c r="D1848" s="1"/>
      <c r="F1848" s="4"/>
      <c r="G1848" s="4"/>
      <c r="H1848" s="4"/>
      <c r="I1848" s="4"/>
      <c r="J1848" s="4"/>
    </row>
    <row r="1849" spans="3:10">
      <c r="C1849" s="9"/>
      <c r="D1849" s="1"/>
      <c r="F1849" s="4"/>
      <c r="G1849" s="4"/>
      <c r="H1849" s="4"/>
      <c r="I1849" s="4"/>
      <c r="J1849" s="4"/>
    </row>
    <row r="1850" spans="3:10">
      <c r="C1850" s="9"/>
      <c r="D1850" s="1"/>
      <c r="F1850" s="4"/>
      <c r="G1850" s="4"/>
      <c r="H1850" s="4"/>
      <c r="I1850" s="4"/>
      <c r="J1850" s="4"/>
    </row>
    <row r="1851" spans="3:10">
      <c r="C1851" s="9"/>
      <c r="D1851" s="1"/>
      <c r="F1851" s="4"/>
      <c r="G1851" s="4"/>
      <c r="H1851" s="4"/>
      <c r="I1851" s="4"/>
      <c r="J1851" s="4"/>
    </row>
    <row r="1852" spans="3:10">
      <c r="C1852" s="9"/>
      <c r="D1852" s="1"/>
      <c r="F1852" s="4"/>
      <c r="G1852" s="4"/>
      <c r="H1852" s="4"/>
      <c r="I1852" s="4"/>
      <c r="J1852" s="4"/>
    </row>
    <row r="1853" spans="3:10">
      <c r="C1853" s="9"/>
      <c r="D1853" s="1"/>
      <c r="F1853" s="4"/>
      <c r="G1853" s="4"/>
      <c r="H1853" s="4"/>
      <c r="I1853" s="4"/>
      <c r="J1853" s="4"/>
    </row>
    <row r="1854" spans="3:10">
      <c r="C1854" s="9"/>
      <c r="D1854" s="1"/>
      <c r="F1854" s="4"/>
      <c r="G1854" s="4"/>
      <c r="H1854" s="4"/>
      <c r="I1854" s="4"/>
      <c r="J1854" s="4"/>
    </row>
    <row r="1855" spans="3:10">
      <c r="C1855" s="9"/>
      <c r="D1855" s="1"/>
      <c r="F1855" s="4"/>
      <c r="G1855" s="4"/>
      <c r="H1855" s="4"/>
      <c r="I1855" s="4"/>
      <c r="J1855" s="4"/>
    </row>
    <row r="1856" spans="3:10">
      <c r="C1856" s="9"/>
      <c r="D1856" s="1"/>
      <c r="F1856" s="4"/>
      <c r="G1856" s="4"/>
      <c r="H1856" s="4"/>
      <c r="I1856" s="4"/>
      <c r="J1856" s="4"/>
    </row>
    <row r="1857" spans="3:10">
      <c r="C1857" s="9"/>
      <c r="D1857" s="1"/>
      <c r="F1857" s="4"/>
      <c r="G1857" s="4"/>
      <c r="H1857" s="4"/>
      <c r="I1857" s="4"/>
      <c r="J1857" s="4"/>
    </row>
    <row r="1858" spans="3:10">
      <c r="C1858" s="9"/>
      <c r="D1858" s="1"/>
      <c r="F1858" s="4"/>
      <c r="G1858" s="4"/>
      <c r="H1858" s="4"/>
      <c r="I1858" s="4"/>
      <c r="J1858" s="4"/>
    </row>
    <row r="1859" spans="3:10">
      <c r="C1859" s="9"/>
      <c r="D1859" s="1"/>
      <c r="F1859" s="4"/>
      <c r="G1859" s="4"/>
      <c r="H1859" s="4"/>
      <c r="I1859" s="4"/>
      <c r="J1859" s="4"/>
    </row>
    <row r="1860" spans="3:10">
      <c r="C1860" s="9"/>
      <c r="D1860" s="1"/>
      <c r="F1860" s="4"/>
      <c r="G1860" s="4"/>
      <c r="H1860" s="4"/>
      <c r="I1860" s="4"/>
      <c r="J1860" s="4"/>
    </row>
    <row r="1861" spans="3:10">
      <c r="C1861" s="9"/>
      <c r="D1861" s="1"/>
      <c r="F1861" s="4"/>
      <c r="G1861" s="4"/>
      <c r="H1861" s="4"/>
      <c r="I1861" s="4"/>
      <c r="J1861" s="4"/>
    </row>
    <row r="1862" spans="3:10">
      <c r="C1862" s="9"/>
      <c r="D1862" s="1"/>
      <c r="F1862" s="4"/>
      <c r="G1862" s="4"/>
      <c r="H1862" s="4"/>
      <c r="I1862" s="4"/>
      <c r="J1862" s="4"/>
    </row>
    <row r="1863" spans="3:10">
      <c r="C1863" s="9"/>
      <c r="D1863" s="1"/>
      <c r="F1863" s="4"/>
      <c r="G1863" s="4"/>
      <c r="H1863" s="4"/>
      <c r="I1863" s="4"/>
      <c r="J1863" s="4"/>
    </row>
    <row r="1864" spans="3:10">
      <c r="C1864" s="9"/>
      <c r="D1864" s="1"/>
      <c r="F1864" s="4"/>
      <c r="G1864" s="4"/>
      <c r="H1864" s="4"/>
      <c r="I1864" s="4"/>
      <c r="J1864" s="4"/>
    </row>
    <row r="1865" spans="3:10">
      <c r="C1865" s="9"/>
      <c r="D1865" s="1"/>
      <c r="F1865" s="4"/>
      <c r="G1865" s="4"/>
      <c r="H1865" s="4"/>
      <c r="I1865" s="4"/>
      <c r="J1865" s="4"/>
    </row>
    <row r="1866" spans="3:10">
      <c r="C1866" s="9"/>
      <c r="D1866" s="1"/>
      <c r="F1866" s="4"/>
      <c r="G1866" s="4"/>
      <c r="H1866" s="4"/>
      <c r="I1866" s="4"/>
      <c r="J1866" s="4"/>
    </row>
    <row r="1867" spans="3:10">
      <c r="C1867" s="9"/>
      <c r="D1867" s="1"/>
      <c r="F1867" s="4"/>
      <c r="G1867" s="4"/>
      <c r="H1867" s="4"/>
      <c r="I1867" s="4"/>
      <c r="J1867" s="4"/>
    </row>
    <row r="1868" spans="3:10">
      <c r="C1868" s="9"/>
      <c r="D1868" s="1"/>
      <c r="F1868" s="4"/>
      <c r="G1868" s="4"/>
      <c r="H1868" s="4"/>
      <c r="I1868" s="4"/>
      <c r="J1868" s="4"/>
    </row>
    <row r="1869" spans="3:10">
      <c r="C1869" s="9"/>
      <c r="D1869" s="1"/>
      <c r="F1869" s="4"/>
      <c r="G1869" s="4"/>
      <c r="H1869" s="4"/>
      <c r="I1869" s="4"/>
      <c r="J1869" s="4"/>
    </row>
    <row r="1870" spans="3:10">
      <c r="C1870" s="9"/>
      <c r="D1870" s="1"/>
      <c r="F1870" s="4"/>
      <c r="G1870" s="4"/>
      <c r="H1870" s="4"/>
      <c r="I1870" s="4"/>
      <c r="J1870" s="4"/>
    </row>
    <row r="1871" spans="3:10">
      <c r="C1871" s="9"/>
      <c r="D1871" s="1"/>
      <c r="F1871" s="4"/>
      <c r="G1871" s="4"/>
      <c r="H1871" s="4"/>
      <c r="I1871" s="4"/>
      <c r="J1871" s="4"/>
    </row>
    <row r="1872" spans="3:10">
      <c r="C1872" s="9"/>
      <c r="D1872" s="1"/>
      <c r="F1872" s="4"/>
      <c r="G1872" s="4"/>
      <c r="H1872" s="4"/>
      <c r="I1872" s="4"/>
      <c r="J1872" s="4"/>
    </row>
    <row r="1873" spans="3:10">
      <c r="C1873" s="9"/>
      <c r="D1873" s="1"/>
      <c r="F1873" s="4"/>
      <c r="G1873" s="4"/>
      <c r="H1873" s="4"/>
      <c r="I1873" s="4"/>
      <c r="J1873" s="4"/>
    </row>
    <row r="1874" spans="3:10">
      <c r="C1874" s="9"/>
      <c r="D1874" s="1"/>
      <c r="F1874" s="4"/>
      <c r="G1874" s="4"/>
      <c r="H1874" s="4"/>
      <c r="I1874" s="4"/>
      <c r="J1874" s="4"/>
    </row>
    <row r="1875" spans="3:10">
      <c r="C1875" s="9"/>
      <c r="D1875" s="1"/>
      <c r="F1875" s="4"/>
      <c r="G1875" s="4"/>
      <c r="H1875" s="4"/>
      <c r="I1875" s="4"/>
      <c r="J1875" s="4"/>
    </row>
    <row r="1876" spans="3:10">
      <c r="C1876" s="9"/>
      <c r="D1876" s="1"/>
      <c r="F1876" s="4"/>
      <c r="G1876" s="4"/>
      <c r="H1876" s="4"/>
      <c r="I1876" s="4"/>
      <c r="J1876" s="4"/>
    </row>
    <row r="1877" spans="3:10">
      <c r="C1877" s="9"/>
      <c r="D1877" s="1"/>
      <c r="F1877" s="4"/>
      <c r="G1877" s="4"/>
      <c r="H1877" s="4"/>
      <c r="I1877" s="4"/>
      <c r="J1877" s="4"/>
    </row>
    <row r="1878" spans="3:10">
      <c r="C1878" s="9"/>
      <c r="D1878" s="1"/>
      <c r="F1878" s="4"/>
      <c r="G1878" s="4"/>
      <c r="H1878" s="4"/>
      <c r="I1878" s="4"/>
      <c r="J1878" s="4"/>
    </row>
    <row r="1879" spans="3:10">
      <c r="C1879" s="9"/>
      <c r="D1879" s="1"/>
      <c r="F1879" s="4"/>
      <c r="G1879" s="4"/>
      <c r="H1879" s="4"/>
      <c r="I1879" s="4"/>
      <c r="J1879" s="4"/>
    </row>
    <row r="1880" spans="3:10">
      <c r="C1880" s="9"/>
      <c r="D1880" s="1"/>
      <c r="F1880" s="4"/>
      <c r="G1880" s="4"/>
      <c r="H1880" s="4"/>
      <c r="I1880" s="4"/>
      <c r="J1880" s="4"/>
    </row>
    <row r="1881" spans="3:10">
      <c r="C1881" s="9"/>
      <c r="D1881" s="1"/>
      <c r="F1881" s="4"/>
      <c r="G1881" s="4"/>
      <c r="H1881" s="4"/>
      <c r="I1881" s="4"/>
      <c r="J1881" s="4"/>
    </row>
    <row r="1882" spans="3:10">
      <c r="C1882" s="9"/>
      <c r="D1882" s="1"/>
      <c r="F1882" s="4"/>
      <c r="G1882" s="4"/>
      <c r="H1882" s="4"/>
      <c r="I1882" s="4"/>
      <c r="J1882" s="4"/>
    </row>
    <row r="1883" spans="3:10">
      <c r="C1883" s="9"/>
      <c r="D1883" s="1"/>
      <c r="F1883" s="4"/>
      <c r="G1883" s="4"/>
      <c r="H1883" s="4"/>
      <c r="I1883" s="4"/>
      <c r="J1883" s="4"/>
    </row>
    <row r="1884" spans="3:10">
      <c r="C1884" s="9"/>
      <c r="D1884" s="1"/>
      <c r="F1884" s="4"/>
      <c r="G1884" s="4"/>
      <c r="H1884" s="4"/>
      <c r="I1884" s="4"/>
      <c r="J1884" s="4"/>
    </row>
    <row r="1885" spans="3:10">
      <c r="C1885" s="9"/>
      <c r="D1885" s="1"/>
      <c r="F1885" s="4"/>
      <c r="G1885" s="4"/>
      <c r="H1885" s="4"/>
      <c r="I1885" s="4"/>
      <c r="J1885" s="4"/>
    </row>
    <row r="1886" spans="3:10">
      <c r="C1886" s="9"/>
      <c r="D1886" s="1"/>
      <c r="F1886" s="4"/>
      <c r="G1886" s="4"/>
      <c r="H1886" s="4"/>
      <c r="I1886" s="4"/>
      <c r="J1886" s="4"/>
    </row>
    <row r="1887" spans="3:10">
      <c r="C1887" s="9"/>
      <c r="D1887" s="1"/>
      <c r="F1887" s="4"/>
      <c r="G1887" s="4"/>
      <c r="H1887" s="4"/>
      <c r="I1887" s="4"/>
      <c r="J1887" s="4"/>
    </row>
    <row r="1888" spans="3:10">
      <c r="C1888" s="9"/>
      <c r="D1888" s="1"/>
      <c r="F1888" s="4"/>
      <c r="G1888" s="4"/>
      <c r="H1888" s="4"/>
      <c r="I1888" s="4"/>
      <c r="J1888" s="4"/>
    </row>
    <row r="1889" spans="3:10">
      <c r="C1889" s="9"/>
      <c r="D1889" s="1"/>
      <c r="F1889" s="4"/>
      <c r="G1889" s="4"/>
      <c r="H1889" s="4"/>
      <c r="I1889" s="4"/>
      <c r="J1889" s="4"/>
    </row>
    <row r="1890" spans="3:10">
      <c r="C1890" s="9"/>
      <c r="D1890" s="1"/>
      <c r="F1890" s="4"/>
      <c r="G1890" s="4"/>
      <c r="H1890" s="4"/>
      <c r="I1890" s="4"/>
      <c r="J1890" s="4"/>
    </row>
    <row r="1891" spans="3:10">
      <c r="C1891" s="9"/>
      <c r="D1891" s="1"/>
      <c r="F1891" s="4"/>
      <c r="G1891" s="4"/>
      <c r="H1891" s="4"/>
      <c r="I1891" s="4"/>
      <c r="J1891" s="4"/>
    </row>
    <row r="1892" spans="3:10">
      <c r="C1892" s="9"/>
      <c r="D1892" s="1"/>
      <c r="F1892" s="4"/>
      <c r="G1892" s="4"/>
      <c r="H1892" s="4"/>
      <c r="I1892" s="4"/>
      <c r="J1892" s="4"/>
    </row>
    <row r="1893" spans="3:10">
      <c r="C1893" s="9"/>
      <c r="D1893" s="1"/>
      <c r="F1893" s="4"/>
      <c r="G1893" s="4"/>
      <c r="H1893" s="4"/>
      <c r="I1893" s="4"/>
      <c r="J1893" s="4"/>
    </row>
    <row r="1894" spans="3:10">
      <c r="C1894" s="9"/>
      <c r="D1894" s="1"/>
      <c r="F1894" s="4"/>
      <c r="G1894" s="4"/>
      <c r="H1894" s="4"/>
      <c r="I1894" s="4"/>
      <c r="J1894" s="4"/>
    </row>
    <row r="1895" spans="3:10">
      <c r="C1895" s="9"/>
      <c r="D1895" s="1"/>
      <c r="F1895" s="4"/>
      <c r="G1895" s="4"/>
      <c r="H1895" s="4"/>
      <c r="I1895" s="4"/>
      <c r="J1895" s="4"/>
    </row>
    <row r="1896" spans="3:10">
      <c r="C1896" s="9"/>
      <c r="D1896" s="1"/>
      <c r="F1896" s="4"/>
      <c r="G1896" s="4"/>
      <c r="H1896" s="4"/>
      <c r="I1896" s="4"/>
      <c r="J1896" s="4"/>
    </row>
    <row r="1897" spans="3:10">
      <c r="C1897" s="9"/>
      <c r="D1897" s="1"/>
      <c r="F1897" s="4"/>
      <c r="G1897" s="4"/>
      <c r="H1897" s="4"/>
      <c r="I1897" s="4"/>
      <c r="J1897" s="4"/>
    </row>
    <row r="1898" spans="3:10">
      <c r="C1898" s="9"/>
      <c r="D1898" s="1"/>
      <c r="F1898" s="4"/>
      <c r="G1898" s="4"/>
      <c r="H1898" s="4"/>
      <c r="I1898" s="4"/>
      <c r="J1898" s="4"/>
    </row>
    <row r="1899" spans="3:10">
      <c r="C1899" s="9"/>
      <c r="D1899" s="1"/>
      <c r="F1899" s="4"/>
      <c r="G1899" s="4"/>
      <c r="H1899" s="4"/>
      <c r="I1899" s="4"/>
      <c r="J1899" s="4"/>
    </row>
    <row r="1900" spans="3:10">
      <c r="C1900" s="9"/>
      <c r="D1900" s="1"/>
      <c r="F1900" s="4"/>
      <c r="G1900" s="4"/>
      <c r="H1900" s="4"/>
      <c r="I1900" s="4"/>
      <c r="J1900" s="4"/>
    </row>
    <row r="1901" spans="3:10">
      <c r="C1901" s="9"/>
      <c r="D1901" s="1"/>
      <c r="F1901" s="4"/>
      <c r="G1901" s="4"/>
      <c r="H1901" s="4"/>
      <c r="I1901" s="4"/>
      <c r="J1901" s="4"/>
    </row>
    <row r="1902" spans="3:10">
      <c r="C1902" s="9"/>
      <c r="D1902" s="1"/>
      <c r="F1902" s="4"/>
      <c r="G1902" s="4"/>
      <c r="H1902" s="4"/>
      <c r="I1902" s="4"/>
      <c r="J1902" s="4"/>
    </row>
    <row r="1903" spans="3:10">
      <c r="C1903" s="9"/>
      <c r="D1903" s="1"/>
      <c r="F1903" s="4"/>
      <c r="G1903" s="4"/>
      <c r="H1903" s="4"/>
      <c r="I1903" s="4"/>
      <c r="J1903" s="4"/>
    </row>
    <row r="1904" spans="3:10">
      <c r="C1904" s="9"/>
      <c r="D1904" s="1"/>
      <c r="F1904" s="4"/>
      <c r="G1904" s="4"/>
      <c r="H1904" s="4"/>
      <c r="I1904" s="4"/>
      <c r="J1904" s="4"/>
    </row>
    <row r="1905" spans="3:10">
      <c r="C1905" s="9"/>
      <c r="D1905" s="1"/>
      <c r="F1905" s="4"/>
      <c r="G1905" s="4"/>
      <c r="H1905" s="4"/>
      <c r="I1905" s="4"/>
      <c r="J1905" s="4"/>
    </row>
    <row r="1906" spans="3:10">
      <c r="C1906" s="9"/>
      <c r="D1906" s="1"/>
      <c r="F1906" s="4"/>
      <c r="G1906" s="4"/>
      <c r="H1906" s="4"/>
      <c r="I1906" s="4"/>
      <c r="J1906" s="4"/>
    </row>
    <row r="1907" spans="3:10">
      <c r="C1907" s="9"/>
      <c r="D1907" s="1"/>
      <c r="F1907" s="4"/>
      <c r="G1907" s="4"/>
      <c r="H1907" s="4"/>
      <c r="I1907" s="4"/>
      <c r="J1907" s="4"/>
    </row>
    <row r="1908" spans="3:10">
      <c r="C1908" s="9"/>
      <c r="D1908" s="1"/>
      <c r="F1908" s="4"/>
      <c r="G1908" s="4"/>
      <c r="H1908" s="4"/>
      <c r="I1908" s="4"/>
      <c r="J1908" s="4"/>
    </row>
    <row r="1909" spans="3:10">
      <c r="C1909" s="9"/>
      <c r="D1909" s="1"/>
      <c r="F1909" s="4"/>
      <c r="G1909" s="4"/>
      <c r="H1909" s="4"/>
      <c r="I1909" s="4"/>
      <c r="J1909" s="4"/>
    </row>
    <row r="1910" spans="3:10">
      <c r="C1910" s="9"/>
      <c r="D1910" s="1"/>
      <c r="F1910" s="4"/>
      <c r="G1910" s="4"/>
      <c r="H1910" s="4"/>
      <c r="I1910" s="4"/>
      <c r="J1910" s="4"/>
    </row>
    <row r="1911" spans="3:10">
      <c r="C1911" s="9"/>
      <c r="D1911" s="1"/>
      <c r="F1911" s="4"/>
      <c r="G1911" s="4"/>
      <c r="H1911" s="4"/>
      <c r="I1911" s="4"/>
      <c r="J1911" s="4"/>
    </row>
    <row r="1912" spans="3:10">
      <c r="C1912" s="9"/>
      <c r="D1912" s="1"/>
      <c r="F1912" s="4"/>
      <c r="G1912" s="4"/>
      <c r="H1912" s="4"/>
      <c r="I1912" s="4"/>
      <c r="J1912" s="4"/>
    </row>
    <row r="1913" spans="3:10">
      <c r="C1913" s="9"/>
      <c r="D1913" s="1"/>
      <c r="F1913" s="4"/>
      <c r="G1913" s="4"/>
      <c r="H1913" s="4"/>
      <c r="I1913" s="4"/>
      <c r="J1913" s="4"/>
    </row>
    <row r="1914" spans="3:10">
      <c r="C1914" s="9"/>
      <c r="D1914" s="1"/>
      <c r="F1914" s="4"/>
      <c r="G1914" s="4"/>
      <c r="H1914" s="4"/>
      <c r="I1914" s="4"/>
      <c r="J1914" s="4"/>
    </row>
    <row r="1915" spans="3:10">
      <c r="C1915" s="9"/>
      <c r="D1915" s="1"/>
      <c r="F1915" s="4"/>
      <c r="G1915" s="4"/>
      <c r="H1915" s="4"/>
      <c r="I1915" s="4"/>
      <c r="J1915" s="4"/>
    </row>
    <row r="1916" spans="3:10">
      <c r="C1916" s="9"/>
      <c r="D1916" s="1"/>
      <c r="F1916" s="4"/>
      <c r="G1916" s="4"/>
      <c r="H1916" s="4"/>
      <c r="I1916" s="4"/>
      <c r="J1916" s="4"/>
    </row>
    <row r="1917" spans="3:10">
      <c r="C1917" s="9"/>
      <c r="D1917" s="1"/>
      <c r="F1917" s="4"/>
      <c r="G1917" s="4"/>
      <c r="H1917" s="4"/>
      <c r="I1917" s="4"/>
      <c r="J1917" s="4"/>
    </row>
    <row r="1918" spans="3:10">
      <c r="C1918" s="9"/>
      <c r="D1918" s="1"/>
      <c r="F1918" s="4"/>
      <c r="G1918" s="4"/>
      <c r="H1918" s="4"/>
      <c r="I1918" s="4"/>
      <c r="J1918" s="4"/>
    </row>
    <row r="1919" spans="3:10">
      <c r="C1919" s="9"/>
      <c r="D1919" s="1"/>
      <c r="F1919" s="4"/>
      <c r="G1919" s="4"/>
      <c r="H1919" s="4"/>
      <c r="I1919" s="4"/>
      <c r="J1919" s="4"/>
    </row>
    <row r="1920" spans="3:10">
      <c r="C1920" s="9"/>
      <c r="D1920" s="1"/>
      <c r="F1920" s="4"/>
      <c r="G1920" s="4"/>
      <c r="H1920" s="4"/>
      <c r="I1920" s="4"/>
      <c r="J1920" s="4"/>
    </row>
    <row r="1921" spans="3:10">
      <c r="C1921" s="9"/>
      <c r="D1921" s="1"/>
      <c r="F1921" s="4"/>
      <c r="G1921" s="4"/>
      <c r="H1921" s="4"/>
      <c r="I1921" s="4"/>
      <c r="J1921" s="4"/>
    </row>
    <row r="1922" spans="3:10">
      <c r="C1922" s="9"/>
      <c r="D1922" s="1"/>
      <c r="F1922" s="4"/>
      <c r="G1922" s="4"/>
      <c r="H1922" s="4"/>
      <c r="I1922" s="4"/>
      <c r="J1922" s="4"/>
    </row>
    <row r="1923" spans="3:10">
      <c r="C1923" s="9"/>
      <c r="D1923" s="1"/>
      <c r="F1923" s="4"/>
      <c r="G1923" s="4"/>
      <c r="H1923" s="4"/>
      <c r="I1923" s="4"/>
      <c r="J1923" s="4"/>
    </row>
    <row r="1924" spans="3:10">
      <c r="C1924" s="9"/>
      <c r="D1924" s="1"/>
      <c r="F1924" s="4"/>
      <c r="G1924" s="4"/>
      <c r="H1924" s="4"/>
      <c r="I1924" s="4"/>
      <c r="J1924" s="4"/>
    </row>
    <row r="1925" spans="3:10">
      <c r="C1925" s="9"/>
      <c r="D1925" s="1"/>
      <c r="F1925" s="4"/>
      <c r="G1925" s="4"/>
      <c r="H1925" s="4"/>
      <c r="I1925" s="4"/>
      <c r="J1925" s="4"/>
    </row>
    <row r="1926" spans="3:10">
      <c r="C1926" s="9"/>
      <c r="D1926" s="1"/>
      <c r="F1926" s="4"/>
      <c r="G1926" s="4"/>
      <c r="H1926" s="4"/>
      <c r="I1926" s="4"/>
      <c r="J1926" s="4"/>
    </row>
    <row r="1927" spans="3:10">
      <c r="C1927" s="9"/>
      <c r="D1927" s="1"/>
      <c r="F1927" s="4"/>
      <c r="G1927" s="4"/>
      <c r="H1927" s="4"/>
      <c r="I1927" s="4"/>
      <c r="J1927" s="4"/>
    </row>
    <row r="1928" spans="3:10">
      <c r="C1928" s="9"/>
      <c r="D1928" s="1"/>
      <c r="F1928" s="4"/>
      <c r="G1928" s="4"/>
      <c r="H1928" s="4"/>
      <c r="I1928" s="4"/>
      <c r="J1928" s="4"/>
    </row>
    <row r="1929" spans="3:10">
      <c r="C1929" s="9"/>
      <c r="D1929" s="1"/>
      <c r="F1929" s="4"/>
      <c r="G1929" s="4"/>
      <c r="H1929" s="4"/>
      <c r="I1929" s="4"/>
      <c r="J1929" s="4"/>
    </row>
    <row r="1930" spans="3:10">
      <c r="C1930" s="9"/>
      <c r="D1930" s="1"/>
      <c r="F1930" s="4"/>
      <c r="G1930" s="4"/>
      <c r="H1930" s="4"/>
      <c r="I1930" s="4"/>
      <c r="J1930" s="4"/>
    </row>
    <row r="1931" spans="3:10">
      <c r="C1931" s="9"/>
      <c r="D1931" s="1"/>
      <c r="F1931" s="4"/>
      <c r="G1931" s="4"/>
      <c r="H1931" s="4"/>
      <c r="I1931" s="4"/>
      <c r="J1931" s="4"/>
    </row>
    <row r="1932" spans="3:10">
      <c r="C1932" s="9"/>
      <c r="D1932" s="1"/>
      <c r="F1932" s="4"/>
      <c r="G1932" s="4"/>
      <c r="H1932" s="4"/>
      <c r="I1932" s="4"/>
      <c r="J1932" s="4"/>
    </row>
    <row r="1933" spans="3:10">
      <c r="C1933" s="9"/>
      <c r="D1933" s="1"/>
      <c r="F1933" s="4"/>
      <c r="G1933" s="4"/>
      <c r="H1933" s="4"/>
      <c r="I1933" s="4"/>
      <c r="J1933" s="4"/>
    </row>
    <row r="1934" spans="3:10">
      <c r="C1934" s="9"/>
      <c r="D1934" s="1"/>
      <c r="F1934" s="4"/>
      <c r="G1934" s="4"/>
      <c r="H1934" s="4"/>
      <c r="I1934" s="4"/>
      <c r="J1934" s="4"/>
    </row>
    <row r="1935" spans="3:10">
      <c r="C1935" s="9"/>
      <c r="D1935" s="1"/>
      <c r="F1935" s="4"/>
      <c r="G1935" s="4"/>
      <c r="H1935" s="4"/>
      <c r="I1935" s="4"/>
      <c r="J1935" s="4"/>
    </row>
    <row r="1936" spans="3:10">
      <c r="C1936" s="9"/>
      <c r="D1936" s="1"/>
      <c r="F1936" s="4"/>
      <c r="G1936" s="4"/>
      <c r="H1936" s="4"/>
      <c r="I1936" s="4"/>
      <c r="J1936" s="4"/>
    </row>
    <row r="1937" spans="3:10">
      <c r="C1937" s="9"/>
      <c r="D1937" s="1"/>
      <c r="F1937" s="4"/>
      <c r="G1937" s="4"/>
      <c r="H1937" s="4"/>
      <c r="I1937" s="4"/>
      <c r="J1937" s="4"/>
    </row>
    <row r="1938" spans="3:10">
      <c r="C1938" s="9"/>
      <c r="D1938" s="1"/>
      <c r="F1938" s="4"/>
      <c r="G1938" s="4"/>
      <c r="H1938" s="4"/>
      <c r="I1938" s="4"/>
      <c r="J1938" s="4"/>
    </row>
    <row r="1939" spans="3:10">
      <c r="C1939" s="9"/>
      <c r="D1939" s="1"/>
      <c r="F1939" s="4"/>
      <c r="G1939" s="4"/>
      <c r="H1939" s="4"/>
      <c r="I1939" s="4"/>
      <c r="J1939" s="4"/>
    </row>
    <row r="1940" spans="3:10">
      <c r="C1940" s="9"/>
      <c r="D1940" s="1"/>
      <c r="F1940" s="4"/>
      <c r="G1940" s="4"/>
      <c r="H1940" s="4"/>
      <c r="I1940" s="4"/>
      <c r="J1940" s="4"/>
    </row>
    <row r="1941" spans="3:10">
      <c r="C1941" s="9"/>
      <c r="D1941" s="1"/>
      <c r="F1941" s="4"/>
      <c r="G1941" s="4"/>
      <c r="H1941" s="4"/>
      <c r="I1941" s="4"/>
      <c r="J1941" s="4"/>
    </row>
    <row r="1942" spans="3:10">
      <c r="C1942" s="9"/>
      <c r="D1942" s="1"/>
      <c r="F1942" s="4"/>
      <c r="G1942" s="4"/>
      <c r="H1942" s="4"/>
      <c r="I1942" s="4"/>
      <c r="J1942" s="4"/>
    </row>
    <row r="1943" spans="3:10">
      <c r="C1943" s="9"/>
      <c r="D1943" s="1"/>
      <c r="F1943" s="4"/>
      <c r="G1943" s="4"/>
      <c r="H1943" s="4"/>
      <c r="I1943" s="4"/>
      <c r="J1943" s="4"/>
    </row>
    <row r="1944" spans="3:10">
      <c r="C1944" s="9"/>
      <c r="D1944" s="1"/>
      <c r="F1944" s="4"/>
      <c r="G1944" s="4"/>
      <c r="H1944" s="4"/>
      <c r="I1944" s="4"/>
      <c r="J1944" s="4"/>
    </row>
    <row r="1945" spans="3:10">
      <c r="C1945" s="9"/>
      <c r="D1945" s="1"/>
      <c r="F1945" s="4"/>
      <c r="G1945" s="4"/>
      <c r="H1945" s="4"/>
      <c r="I1945" s="4"/>
      <c r="J1945" s="4"/>
    </row>
    <row r="1946" spans="3:10">
      <c r="C1946" s="9"/>
      <c r="D1946" s="1"/>
      <c r="F1946" s="4"/>
      <c r="G1946" s="4"/>
      <c r="H1946" s="4"/>
      <c r="I1946" s="4"/>
      <c r="J1946" s="4"/>
    </row>
    <row r="1947" spans="3:10">
      <c r="C1947" s="9"/>
      <c r="D1947" s="1"/>
      <c r="F1947" s="4"/>
      <c r="G1947" s="4"/>
      <c r="H1947" s="4"/>
      <c r="I1947" s="4"/>
      <c r="J1947" s="4"/>
    </row>
    <row r="1948" spans="3:10">
      <c r="C1948" s="9"/>
      <c r="D1948" s="1"/>
      <c r="F1948" s="4"/>
      <c r="G1948" s="4"/>
      <c r="H1948" s="4"/>
      <c r="I1948" s="4"/>
      <c r="J1948" s="4"/>
    </row>
    <row r="1949" spans="3:10">
      <c r="C1949" s="9"/>
      <c r="D1949" s="1"/>
      <c r="F1949" s="4"/>
      <c r="G1949" s="4"/>
      <c r="H1949" s="4"/>
      <c r="I1949" s="4"/>
      <c r="J1949" s="4"/>
    </row>
    <row r="1950" spans="3:10">
      <c r="C1950" s="9"/>
      <c r="D1950" s="1"/>
      <c r="F1950" s="4"/>
      <c r="G1950" s="4"/>
      <c r="H1950" s="4"/>
      <c r="I1950" s="4"/>
      <c r="J1950" s="4"/>
    </row>
    <row r="1951" spans="3:10">
      <c r="C1951" s="9"/>
      <c r="D1951" s="1"/>
      <c r="F1951" s="4"/>
      <c r="G1951" s="4"/>
      <c r="H1951" s="4"/>
      <c r="I1951" s="4"/>
      <c r="J1951" s="4"/>
    </row>
    <row r="1952" spans="3:10">
      <c r="C1952" s="9"/>
      <c r="D1952" s="1"/>
      <c r="F1952" s="4"/>
      <c r="G1952" s="4"/>
      <c r="H1952" s="4"/>
      <c r="I1952" s="4"/>
      <c r="J1952" s="4"/>
    </row>
    <row r="1953" spans="3:10">
      <c r="C1953" s="9"/>
      <c r="D1953" s="1"/>
      <c r="F1953" s="4"/>
      <c r="G1953" s="4"/>
      <c r="H1953" s="4"/>
      <c r="I1953" s="4"/>
      <c r="J1953" s="4"/>
    </row>
    <row r="1954" spans="3:10">
      <c r="C1954" s="9"/>
      <c r="D1954" s="1"/>
      <c r="F1954" s="4"/>
      <c r="G1954" s="4"/>
      <c r="H1954" s="4"/>
      <c r="I1954" s="4"/>
      <c r="J1954" s="4"/>
    </row>
    <row r="1955" spans="3:10">
      <c r="C1955" s="9"/>
      <c r="D1955" s="1"/>
      <c r="F1955" s="4"/>
      <c r="G1955" s="4"/>
      <c r="H1955" s="4"/>
      <c r="I1955" s="4"/>
      <c r="J1955" s="4"/>
    </row>
    <row r="1956" spans="3:10">
      <c r="C1956" s="9"/>
      <c r="D1956" s="1"/>
      <c r="F1956" s="4"/>
      <c r="G1956" s="4"/>
      <c r="H1956" s="4"/>
      <c r="I1956" s="4"/>
      <c r="J1956" s="4"/>
    </row>
    <row r="1957" spans="3:10">
      <c r="C1957" s="9"/>
      <c r="D1957" s="1"/>
      <c r="F1957" s="4"/>
      <c r="G1957" s="4"/>
      <c r="H1957" s="4"/>
      <c r="I1957" s="4"/>
      <c r="J1957" s="4"/>
    </row>
    <row r="1958" spans="3:10">
      <c r="C1958" s="9"/>
      <c r="D1958" s="1"/>
      <c r="F1958" s="4"/>
      <c r="G1958" s="4"/>
      <c r="H1958" s="4"/>
      <c r="I1958" s="4"/>
      <c r="J1958" s="4"/>
    </row>
    <row r="1959" spans="3:10">
      <c r="C1959" s="9"/>
      <c r="D1959" s="1"/>
      <c r="F1959" s="4"/>
      <c r="G1959" s="4"/>
      <c r="H1959" s="4"/>
      <c r="I1959" s="4"/>
      <c r="J1959" s="4"/>
    </row>
    <row r="1960" spans="3:10">
      <c r="C1960" s="9"/>
      <c r="D1960" s="1"/>
      <c r="F1960" s="4"/>
      <c r="G1960" s="4"/>
      <c r="H1960" s="4"/>
      <c r="I1960" s="4"/>
      <c r="J1960" s="4"/>
    </row>
    <row r="1961" spans="3:10">
      <c r="C1961" s="9"/>
      <c r="D1961" s="1"/>
      <c r="F1961" s="4"/>
      <c r="G1961" s="4"/>
      <c r="H1961" s="4"/>
      <c r="I1961" s="4"/>
      <c r="J1961" s="4"/>
    </row>
    <row r="1962" spans="3:10">
      <c r="C1962" s="9"/>
      <c r="D1962" s="1"/>
      <c r="F1962" s="4"/>
      <c r="G1962" s="4"/>
      <c r="H1962" s="4"/>
      <c r="I1962" s="4"/>
      <c r="J1962" s="4"/>
    </row>
    <row r="1963" spans="3:10">
      <c r="C1963" s="9"/>
      <c r="D1963" s="1"/>
      <c r="F1963" s="4"/>
      <c r="G1963" s="4"/>
      <c r="H1963" s="4"/>
      <c r="I1963" s="4"/>
      <c r="J1963" s="4"/>
    </row>
    <row r="1964" spans="3:10">
      <c r="C1964" s="9"/>
      <c r="D1964" s="1"/>
      <c r="F1964" s="4"/>
      <c r="G1964" s="4"/>
      <c r="H1964" s="4"/>
      <c r="I1964" s="4"/>
      <c r="J1964" s="4"/>
    </row>
    <row r="1965" spans="3:10">
      <c r="C1965" s="9"/>
      <c r="D1965" s="1"/>
      <c r="F1965" s="4"/>
      <c r="G1965" s="4"/>
      <c r="H1965" s="4"/>
      <c r="I1965" s="4"/>
      <c r="J1965" s="4"/>
    </row>
    <row r="1966" spans="3:10">
      <c r="C1966" s="9"/>
      <c r="D1966" s="1"/>
      <c r="F1966" s="4"/>
      <c r="G1966" s="4"/>
      <c r="H1966" s="4"/>
      <c r="I1966" s="4"/>
      <c r="J1966" s="4"/>
    </row>
    <row r="1967" spans="3:10">
      <c r="C1967" s="9"/>
      <c r="D1967" s="1"/>
      <c r="F1967" s="4"/>
      <c r="G1967" s="4"/>
      <c r="H1967" s="4"/>
      <c r="I1967" s="4"/>
      <c r="J1967" s="4"/>
    </row>
    <row r="1968" spans="3:10">
      <c r="C1968" s="9"/>
      <c r="D1968" s="1"/>
      <c r="F1968" s="4"/>
      <c r="G1968" s="4"/>
      <c r="H1968" s="4"/>
      <c r="I1968" s="4"/>
      <c r="J1968" s="4"/>
    </row>
    <row r="1969" spans="3:10">
      <c r="C1969" s="9"/>
      <c r="D1969" s="1"/>
      <c r="F1969" s="4"/>
      <c r="G1969" s="4"/>
      <c r="H1969" s="4"/>
      <c r="I1969" s="4"/>
      <c r="J1969" s="4"/>
    </row>
    <row r="1970" spans="3:10">
      <c r="C1970" s="9"/>
      <c r="D1970" s="1"/>
      <c r="F1970" s="4"/>
      <c r="G1970" s="4"/>
      <c r="H1970" s="4"/>
      <c r="I1970" s="4"/>
      <c r="J1970" s="4"/>
    </row>
    <row r="1971" spans="3:10">
      <c r="C1971" s="9"/>
      <c r="D1971" s="1"/>
      <c r="F1971" s="4"/>
      <c r="G1971" s="4"/>
      <c r="H1971" s="4"/>
      <c r="I1971" s="4"/>
      <c r="J1971" s="4"/>
    </row>
    <row r="1972" spans="3:10">
      <c r="C1972" s="9"/>
      <c r="D1972" s="1"/>
      <c r="F1972" s="4"/>
      <c r="G1972" s="4"/>
      <c r="H1972" s="4"/>
      <c r="I1972" s="4"/>
      <c r="J1972" s="4"/>
    </row>
    <row r="1973" spans="3:10">
      <c r="C1973" s="9"/>
      <c r="D1973" s="1"/>
      <c r="F1973" s="4"/>
      <c r="G1973" s="4"/>
      <c r="H1973" s="4"/>
      <c r="I1973" s="4"/>
      <c r="J1973" s="4"/>
    </row>
    <row r="1974" spans="3:10">
      <c r="C1974" s="9"/>
      <c r="D1974" s="1"/>
      <c r="F1974" s="4"/>
      <c r="G1974" s="4"/>
      <c r="H1974" s="4"/>
      <c r="I1974" s="4"/>
      <c r="J1974" s="4"/>
    </row>
    <row r="1975" spans="3:10">
      <c r="C1975" s="9"/>
      <c r="D1975" s="1"/>
      <c r="F1975" s="4"/>
      <c r="G1975" s="4"/>
      <c r="H1975" s="4"/>
      <c r="I1975" s="4"/>
      <c r="J1975" s="4"/>
    </row>
    <row r="1976" spans="3:10">
      <c r="C1976" s="9"/>
      <c r="D1976" s="1"/>
      <c r="F1976" s="4"/>
      <c r="G1976" s="4"/>
      <c r="H1976" s="4"/>
      <c r="I1976" s="4"/>
      <c r="J1976" s="4"/>
    </row>
    <row r="1977" spans="3:10">
      <c r="C1977" s="9"/>
      <c r="D1977" s="1"/>
      <c r="F1977" s="4"/>
      <c r="G1977" s="4"/>
      <c r="H1977" s="4"/>
      <c r="I1977" s="4"/>
      <c r="J1977" s="4"/>
    </row>
    <row r="1978" spans="3:10">
      <c r="C1978" s="9"/>
      <c r="D1978" s="1"/>
      <c r="F1978" s="4"/>
      <c r="G1978" s="4"/>
      <c r="H1978" s="4"/>
      <c r="I1978" s="4"/>
      <c r="J1978" s="4"/>
    </row>
    <row r="1979" spans="3:10">
      <c r="C1979" s="9"/>
      <c r="D1979" s="1"/>
      <c r="F1979" s="4"/>
      <c r="G1979" s="4"/>
      <c r="H1979" s="4"/>
      <c r="I1979" s="4"/>
      <c r="J1979" s="4"/>
    </row>
    <row r="1980" spans="3:10">
      <c r="C1980" s="9"/>
      <c r="D1980" s="1"/>
      <c r="F1980" s="4"/>
      <c r="G1980" s="4"/>
      <c r="H1980" s="4"/>
      <c r="I1980" s="4"/>
      <c r="J1980" s="4"/>
    </row>
    <row r="1981" spans="3:10">
      <c r="C1981" s="9"/>
      <c r="D1981" s="1"/>
      <c r="F1981" s="4"/>
      <c r="G1981" s="4"/>
      <c r="H1981" s="4"/>
      <c r="I1981" s="4"/>
      <c r="J1981" s="4"/>
    </row>
    <row r="1982" spans="3:10">
      <c r="C1982" s="9"/>
      <c r="D1982" s="1"/>
      <c r="F1982" s="4"/>
      <c r="G1982" s="4"/>
      <c r="H1982" s="4"/>
      <c r="I1982" s="4"/>
      <c r="J1982" s="4"/>
    </row>
    <row r="1983" spans="3:10">
      <c r="C1983" s="9"/>
      <c r="D1983" s="1"/>
      <c r="F1983" s="4"/>
      <c r="G1983" s="4"/>
      <c r="H1983" s="4"/>
      <c r="I1983" s="4"/>
      <c r="J1983" s="4"/>
    </row>
    <row r="1984" spans="3:10">
      <c r="C1984" s="9"/>
      <c r="D1984" s="1"/>
      <c r="F1984" s="4"/>
      <c r="G1984" s="4"/>
      <c r="H1984" s="4"/>
      <c r="I1984" s="4"/>
      <c r="J1984" s="4"/>
    </row>
    <row r="1985" spans="3:10">
      <c r="C1985" s="9"/>
      <c r="D1985" s="1"/>
      <c r="F1985" s="4"/>
      <c r="G1985" s="4"/>
      <c r="H1985" s="4"/>
      <c r="I1985" s="4"/>
      <c r="J1985" s="4"/>
    </row>
    <row r="1986" spans="3:10">
      <c r="C1986" s="9"/>
      <c r="D1986" s="1"/>
      <c r="F1986" s="4"/>
      <c r="G1986" s="4"/>
      <c r="H1986" s="4"/>
      <c r="I1986" s="4"/>
      <c r="J1986" s="4"/>
    </row>
    <row r="1987" spans="3:10">
      <c r="C1987" s="9"/>
      <c r="D1987" s="1"/>
      <c r="F1987" s="4"/>
      <c r="G1987" s="4"/>
      <c r="H1987" s="4"/>
      <c r="I1987" s="4"/>
      <c r="J1987" s="4"/>
    </row>
    <row r="1988" spans="3:10">
      <c r="C1988" s="9"/>
      <c r="D1988" s="1"/>
      <c r="F1988" s="4"/>
      <c r="G1988" s="4"/>
      <c r="H1988" s="4"/>
      <c r="I1988" s="4"/>
      <c r="J1988" s="4"/>
    </row>
    <row r="1989" spans="3:10">
      <c r="C1989" s="9"/>
      <c r="D1989" s="1"/>
      <c r="F1989" s="4"/>
      <c r="G1989" s="4"/>
      <c r="H1989" s="4"/>
      <c r="I1989" s="4"/>
      <c r="J1989" s="4"/>
    </row>
    <row r="1990" spans="3:10">
      <c r="C1990" s="9"/>
      <c r="D1990" s="1"/>
      <c r="F1990" s="4"/>
      <c r="G1990" s="4"/>
      <c r="H1990" s="4"/>
      <c r="I1990" s="4"/>
      <c r="J1990" s="4"/>
    </row>
    <row r="1991" spans="3:10">
      <c r="C1991" s="9"/>
      <c r="D1991" s="1"/>
      <c r="F1991" s="4"/>
      <c r="G1991" s="4"/>
      <c r="H1991" s="4"/>
      <c r="I1991" s="4"/>
      <c r="J1991" s="4"/>
    </row>
    <row r="1992" spans="3:10">
      <c r="C1992" s="9"/>
      <c r="D1992" s="1"/>
      <c r="F1992" s="4"/>
      <c r="G1992" s="4"/>
      <c r="H1992" s="4"/>
      <c r="I1992" s="4"/>
      <c r="J1992" s="4"/>
    </row>
    <row r="1993" spans="3:10">
      <c r="C1993" s="9"/>
      <c r="D1993" s="1"/>
      <c r="F1993" s="4"/>
      <c r="G1993" s="4"/>
      <c r="H1993" s="4"/>
      <c r="I1993" s="4"/>
      <c r="J1993" s="4"/>
    </row>
    <row r="1994" spans="3:10">
      <c r="C1994" s="9"/>
      <c r="D1994" s="1"/>
      <c r="F1994" s="4"/>
      <c r="G1994" s="4"/>
      <c r="H1994" s="4"/>
      <c r="I1994" s="4"/>
      <c r="J1994" s="4"/>
    </row>
    <row r="1995" spans="3:10">
      <c r="C1995" s="9"/>
      <c r="D1995" s="1"/>
      <c r="F1995" s="4"/>
      <c r="G1995" s="4"/>
      <c r="H1995" s="4"/>
      <c r="I1995" s="4"/>
      <c r="J1995" s="4"/>
    </row>
    <row r="1996" spans="3:10">
      <c r="C1996" s="9"/>
      <c r="D1996" s="1"/>
      <c r="F1996" s="4"/>
      <c r="G1996" s="4"/>
      <c r="H1996" s="4"/>
      <c r="I1996" s="4"/>
      <c r="J1996" s="4"/>
    </row>
    <row r="1997" spans="3:10">
      <c r="C1997" s="9"/>
      <c r="D1997" s="1"/>
      <c r="F1997" s="4"/>
      <c r="G1997" s="4"/>
      <c r="H1997" s="4"/>
      <c r="I1997" s="4"/>
      <c r="J1997" s="4"/>
    </row>
    <row r="1998" spans="3:10">
      <c r="C1998" s="9"/>
      <c r="D1998" s="1"/>
      <c r="F1998" s="4"/>
      <c r="G1998" s="4"/>
      <c r="H1998" s="4"/>
      <c r="I1998" s="4"/>
      <c r="J1998" s="4"/>
    </row>
    <row r="1999" spans="3:10">
      <c r="C1999" s="9"/>
      <c r="D1999" s="1"/>
      <c r="F1999" s="4"/>
      <c r="G1999" s="4"/>
      <c r="H1999" s="4"/>
      <c r="I1999" s="4"/>
      <c r="J1999" s="4"/>
    </row>
    <row r="2000" spans="3:10">
      <c r="C2000" s="9"/>
      <c r="D2000" s="1"/>
      <c r="F2000" s="4"/>
      <c r="G2000" s="4"/>
      <c r="H2000" s="4"/>
      <c r="I2000" s="4"/>
      <c r="J2000" s="4"/>
    </row>
    <row r="2001" spans="3:10">
      <c r="C2001" s="9"/>
      <c r="D2001" s="1"/>
      <c r="F2001" s="4"/>
      <c r="G2001" s="4"/>
      <c r="H2001" s="4"/>
      <c r="I2001" s="4"/>
      <c r="J2001" s="4"/>
    </row>
    <row r="2002" spans="3:10">
      <c r="C2002" s="9"/>
      <c r="D2002" s="1"/>
      <c r="F2002" s="4"/>
      <c r="G2002" s="4"/>
      <c r="H2002" s="4"/>
      <c r="I2002" s="4"/>
      <c r="J2002" s="4"/>
    </row>
    <row r="2003" spans="3:10">
      <c r="C2003" s="9"/>
      <c r="D2003" s="1"/>
      <c r="F2003" s="4"/>
      <c r="G2003" s="4"/>
      <c r="H2003" s="4"/>
      <c r="I2003" s="4"/>
      <c r="J2003" s="4"/>
    </row>
    <row r="2004" spans="3:10">
      <c r="C2004" s="9"/>
      <c r="D2004" s="1"/>
      <c r="F2004" s="4"/>
      <c r="G2004" s="4"/>
      <c r="H2004" s="4"/>
      <c r="I2004" s="4"/>
      <c r="J2004" s="4"/>
    </row>
    <row r="2005" spans="3:10">
      <c r="C2005" s="9"/>
      <c r="D2005" s="1"/>
      <c r="F2005" s="4"/>
      <c r="G2005" s="4"/>
      <c r="H2005" s="4"/>
      <c r="I2005" s="4"/>
      <c r="J2005" s="4"/>
    </row>
    <row r="2006" spans="3:10">
      <c r="C2006" s="9"/>
      <c r="D2006" s="1"/>
      <c r="F2006" s="4"/>
      <c r="G2006" s="4"/>
      <c r="H2006" s="4"/>
      <c r="I2006" s="4"/>
      <c r="J2006" s="4"/>
    </row>
    <row r="2007" spans="3:10">
      <c r="C2007" s="9"/>
      <c r="D2007" s="1"/>
      <c r="F2007" s="4"/>
      <c r="G2007" s="4"/>
      <c r="H2007" s="4"/>
      <c r="I2007" s="4"/>
      <c r="J2007" s="4"/>
    </row>
  </sheetData>
  <autoFilter ref="A1:J1451" xr:uid="{00000000-0001-0000-0300-000000000000}"/>
  <dataValidations count="2">
    <dataValidation type="list" allowBlank="1" sqref="D2:D79" xr:uid="{00000000-0002-0000-0300-000000000000}">
      <formula1>#REF!</formula1>
    </dataValidation>
    <dataValidation type="list" allowBlank="1" sqref="D80:D2007" xr:uid="{00000000-0002-0000-0300-000002000000}">
      <formula1>"Factura,Boleta,C. Venta"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1003"/>
  <sheetViews>
    <sheetView workbookViewId="0"/>
  </sheetViews>
  <sheetFormatPr baseColWidth="10" defaultColWidth="12.5703125" defaultRowHeight="15.75" customHeight="1"/>
  <cols>
    <col min="1" max="1" width="28.85546875" customWidth="1"/>
    <col min="2" max="2" width="5.85546875" customWidth="1"/>
    <col min="3" max="3" width="7.5703125" customWidth="1"/>
    <col min="4" max="4" width="11" customWidth="1"/>
    <col min="5" max="5" width="6.140625" customWidth="1"/>
    <col min="6" max="6" width="10.28515625" customWidth="1"/>
    <col min="7" max="12" width="10.7109375" customWidth="1"/>
  </cols>
  <sheetData>
    <row r="1" spans="1:16">
      <c r="A1" s="2" t="s">
        <v>1</v>
      </c>
      <c r="B1" s="2" t="s">
        <v>1636</v>
      </c>
      <c r="C1" s="2" t="s">
        <v>1637</v>
      </c>
      <c r="D1" s="18" t="s">
        <v>1638</v>
      </c>
      <c r="E1" s="2" t="s">
        <v>5</v>
      </c>
      <c r="F1" s="2" t="s">
        <v>1639</v>
      </c>
      <c r="G1" s="18" t="s">
        <v>1640</v>
      </c>
      <c r="H1" s="18" t="s">
        <v>1641</v>
      </c>
      <c r="I1" s="18" t="s">
        <v>1642</v>
      </c>
      <c r="J1" s="18" t="s">
        <v>1643</v>
      </c>
      <c r="K1" s="18" t="s">
        <v>1644</v>
      </c>
      <c r="L1" s="18" t="s">
        <v>1645</v>
      </c>
      <c r="M1" s="18" t="s">
        <v>1646</v>
      </c>
    </row>
    <row r="2" spans="1:16">
      <c r="A2" s="1" t="s">
        <v>1647</v>
      </c>
      <c r="B2" s="1">
        <v>19</v>
      </c>
      <c r="C2" s="1" t="s">
        <v>1648</v>
      </c>
      <c r="D2" s="4">
        <v>42800</v>
      </c>
      <c r="E2" s="4">
        <f t="shared" ref="E2:E17" si="0">D2*19%</f>
        <v>8132</v>
      </c>
      <c r="F2" s="4">
        <f t="shared" ref="F2:F17" si="1">D2+E2</f>
        <v>50932</v>
      </c>
      <c r="G2" s="4">
        <f t="shared" ref="G2:G17" si="2">D2*1.1</f>
        <v>47080.000000000007</v>
      </c>
      <c r="H2" s="4">
        <f t="shared" ref="H2:H17" si="3">D2*1.2</f>
        <v>51360</v>
      </c>
      <c r="I2" s="4">
        <f t="shared" ref="I2:I17" si="4">D2*1.25</f>
        <v>53500</v>
      </c>
      <c r="J2" s="4">
        <f t="shared" ref="J2:J17" si="5">D2*1.3</f>
        <v>55640</v>
      </c>
      <c r="K2" s="4">
        <f t="shared" ref="K2:K17" si="6">D2*1.35</f>
        <v>57780.000000000007</v>
      </c>
      <c r="L2" s="4">
        <f t="shared" ref="L2:L17" si="7">D2*1.4</f>
        <v>59919.999999999993</v>
      </c>
      <c r="M2" s="4">
        <v>38655</v>
      </c>
    </row>
    <row r="3" spans="1:16">
      <c r="A3" s="19" t="s">
        <v>1649</v>
      </c>
      <c r="B3" s="19">
        <v>19</v>
      </c>
      <c r="C3" s="19" t="s">
        <v>1648</v>
      </c>
      <c r="D3" s="20">
        <v>25800</v>
      </c>
      <c r="E3" s="20">
        <f t="shared" si="0"/>
        <v>4902</v>
      </c>
      <c r="F3" s="20">
        <f t="shared" si="1"/>
        <v>30702</v>
      </c>
      <c r="G3" s="4">
        <f t="shared" si="2"/>
        <v>28380.000000000004</v>
      </c>
      <c r="H3" s="4">
        <f t="shared" si="3"/>
        <v>30960</v>
      </c>
      <c r="I3" s="4">
        <f t="shared" si="4"/>
        <v>32250</v>
      </c>
      <c r="J3" s="4">
        <f t="shared" si="5"/>
        <v>33540</v>
      </c>
      <c r="K3" s="4">
        <f t="shared" si="6"/>
        <v>34830</v>
      </c>
      <c r="L3" s="4">
        <f t="shared" si="7"/>
        <v>36120</v>
      </c>
      <c r="M3" s="4">
        <v>26891</v>
      </c>
      <c r="O3" s="1" t="s">
        <v>6</v>
      </c>
      <c r="P3" s="4">
        <f>SUM(D2:D9)</f>
        <v>321919</v>
      </c>
    </row>
    <row r="4" spans="1:16">
      <c r="A4" s="1" t="s">
        <v>1650</v>
      </c>
      <c r="B4" s="1">
        <v>19</v>
      </c>
      <c r="C4" s="1" t="s">
        <v>1648</v>
      </c>
      <c r="D4" s="4">
        <v>37200</v>
      </c>
      <c r="E4" s="4">
        <f t="shared" si="0"/>
        <v>7068</v>
      </c>
      <c r="F4" s="4">
        <f t="shared" si="1"/>
        <v>44268</v>
      </c>
      <c r="G4" s="4">
        <f t="shared" si="2"/>
        <v>40920</v>
      </c>
      <c r="H4" s="4">
        <f t="shared" si="3"/>
        <v>44640</v>
      </c>
      <c r="I4" s="4">
        <f t="shared" si="4"/>
        <v>46500</v>
      </c>
      <c r="J4" s="4">
        <f t="shared" si="5"/>
        <v>48360</v>
      </c>
      <c r="K4" s="4">
        <f t="shared" si="6"/>
        <v>50220</v>
      </c>
      <c r="L4" s="4">
        <f t="shared" si="7"/>
        <v>52080</v>
      </c>
      <c r="M4" s="4"/>
      <c r="O4" s="1" t="s">
        <v>5</v>
      </c>
      <c r="P4" s="4">
        <f>P3*19%</f>
        <v>61164.61</v>
      </c>
    </row>
    <row r="5" spans="1:16">
      <c r="A5" s="19" t="s">
        <v>1651</v>
      </c>
      <c r="B5" s="19">
        <v>19</v>
      </c>
      <c r="C5" s="19" t="s">
        <v>1648</v>
      </c>
      <c r="D5" s="20">
        <v>40800</v>
      </c>
      <c r="E5" s="20">
        <f t="shared" si="0"/>
        <v>7752</v>
      </c>
      <c r="F5" s="20">
        <f t="shared" si="1"/>
        <v>48552</v>
      </c>
      <c r="G5" s="4">
        <f t="shared" si="2"/>
        <v>44880</v>
      </c>
      <c r="H5" s="4">
        <f t="shared" si="3"/>
        <v>48960</v>
      </c>
      <c r="I5" s="4">
        <f t="shared" si="4"/>
        <v>51000</v>
      </c>
      <c r="J5" s="4">
        <f t="shared" si="5"/>
        <v>53040</v>
      </c>
      <c r="K5" s="4">
        <f t="shared" si="6"/>
        <v>55080</v>
      </c>
      <c r="L5" s="4">
        <f t="shared" si="7"/>
        <v>57120</v>
      </c>
      <c r="M5" s="4"/>
      <c r="O5" s="1" t="s">
        <v>1652</v>
      </c>
      <c r="P5" s="4">
        <f>SUM(P3:P4)</f>
        <v>383083.61</v>
      </c>
    </row>
    <row r="6" spans="1:16">
      <c r="A6" s="1" t="s">
        <v>1653</v>
      </c>
      <c r="B6" s="1">
        <v>19</v>
      </c>
      <c r="C6" s="1" t="s">
        <v>1648</v>
      </c>
      <c r="D6" s="4">
        <v>44200</v>
      </c>
      <c r="E6" s="4">
        <f t="shared" si="0"/>
        <v>8398</v>
      </c>
      <c r="F6" s="4">
        <f t="shared" si="1"/>
        <v>52598</v>
      </c>
      <c r="G6" s="4">
        <f t="shared" si="2"/>
        <v>48620.000000000007</v>
      </c>
      <c r="H6" s="4">
        <f t="shared" si="3"/>
        <v>53040</v>
      </c>
      <c r="I6" s="4">
        <f t="shared" si="4"/>
        <v>55250</v>
      </c>
      <c r="J6" s="4">
        <f t="shared" si="5"/>
        <v>57460</v>
      </c>
      <c r="K6" s="4">
        <f t="shared" si="6"/>
        <v>59670.000000000007</v>
      </c>
      <c r="L6" s="4">
        <f t="shared" si="7"/>
        <v>61879.999999999993</v>
      </c>
      <c r="M6" s="4"/>
    </row>
    <row r="7" spans="1:16">
      <c r="A7" s="1" t="s">
        <v>1654</v>
      </c>
      <c r="B7" s="1">
        <v>19</v>
      </c>
      <c r="C7" s="1" t="s">
        <v>1648</v>
      </c>
      <c r="D7" s="4">
        <v>44000</v>
      </c>
      <c r="E7" s="4">
        <f t="shared" si="0"/>
        <v>8360</v>
      </c>
      <c r="F7" s="4">
        <f t="shared" si="1"/>
        <v>52360</v>
      </c>
      <c r="G7" s="4">
        <f t="shared" si="2"/>
        <v>48400.000000000007</v>
      </c>
      <c r="H7" s="4">
        <f t="shared" si="3"/>
        <v>52800</v>
      </c>
      <c r="I7" s="4">
        <f t="shared" si="4"/>
        <v>55000</v>
      </c>
      <c r="J7" s="4">
        <f t="shared" si="5"/>
        <v>57200</v>
      </c>
      <c r="K7" s="4">
        <f t="shared" si="6"/>
        <v>59400.000000000007</v>
      </c>
      <c r="L7" s="4">
        <f t="shared" si="7"/>
        <v>61599.999999999993</v>
      </c>
      <c r="M7" s="4">
        <v>25210</v>
      </c>
    </row>
    <row r="8" spans="1:16">
      <c r="A8" s="1" t="s">
        <v>1655</v>
      </c>
      <c r="B8" s="1">
        <v>19</v>
      </c>
      <c r="C8" s="1" t="s">
        <v>1648</v>
      </c>
      <c r="D8" s="4">
        <v>42300</v>
      </c>
      <c r="E8" s="4">
        <f t="shared" si="0"/>
        <v>8037</v>
      </c>
      <c r="F8" s="4">
        <f t="shared" si="1"/>
        <v>50337</v>
      </c>
      <c r="G8" s="4">
        <f t="shared" si="2"/>
        <v>46530.000000000007</v>
      </c>
      <c r="H8" s="4">
        <f t="shared" si="3"/>
        <v>50760</v>
      </c>
      <c r="I8" s="4">
        <f t="shared" si="4"/>
        <v>52875</v>
      </c>
      <c r="J8" s="4">
        <f t="shared" si="5"/>
        <v>54990</v>
      </c>
      <c r="K8" s="4">
        <f t="shared" si="6"/>
        <v>57105.000000000007</v>
      </c>
      <c r="L8" s="4">
        <f t="shared" si="7"/>
        <v>59219.999999999993</v>
      </c>
      <c r="M8" s="4"/>
    </row>
    <row r="9" spans="1:16">
      <c r="A9" s="1" t="s">
        <v>1656</v>
      </c>
      <c r="B9" s="1">
        <v>19</v>
      </c>
      <c r="C9" s="1" t="s">
        <v>1648</v>
      </c>
      <c r="D9" s="4">
        <v>44819</v>
      </c>
      <c r="E9" s="4">
        <f t="shared" si="0"/>
        <v>8515.61</v>
      </c>
      <c r="F9" s="4">
        <f t="shared" si="1"/>
        <v>53334.61</v>
      </c>
      <c r="G9" s="4">
        <f t="shared" si="2"/>
        <v>49300.9</v>
      </c>
      <c r="H9" s="4">
        <f t="shared" si="3"/>
        <v>53782.799999999996</v>
      </c>
      <c r="I9" s="4">
        <f t="shared" si="4"/>
        <v>56023.75</v>
      </c>
      <c r="J9" s="4">
        <f t="shared" si="5"/>
        <v>58264.700000000004</v>
      </c>
      <c r="K9" s="4">
        <f t="shared" si="6"/>
        <v>60505.65</v>
      </c>
      <c r="L9" s="4">
        <f t="shared" si="7"/>
        <v>62746.6</v>
      </c>
      <c r="M9" s="4"/>
    </row>
    <row r="10" spans="1:16">
      <c r="A10" s="1" t="s">
        <v>1657</v>
      </c>
      <c r="B10" s="1">
        <v>4</v>
      </c>
      <c r="C10" s="1" t="s">
        <v>1658</v>
      </c>
      <c r="D10" s="4">
        <v>50800</v>
      </c>
      <c r="E10" s="4">
        <f t="shared" si="0"/>
        <v>9652</v>
      </c>
      <c r="F10" s="4">
        <f t="shared" si="1"/>
        <v>60452</v>
      </c>
      <c r="G10" s="4">
        <f t="shared" si="2"/>
        <v>55880.000000000007</v>
      </c>
      <c r="H10" s="4">
        <f t="shared" si="3"/>
        <v>60960</v>
      </c>
      <c r="I10" s="4">
        <f t="shared" si="4"/>
        <v>63500</v>
      </c>
      <c r="J10" s="4">
        <f t="shared" si="5"/>
        <v>66040</v>
      </c>
      <c r="K10" s="4">
        <f t="shared" si="6"/>
        <v>68580</v>
      </c>
      <c r="L10" s="4">
        <f t="shared" si="7"/>
        <v>71120</v>
      </c>
      <c r="M10" s="4"/>
    </row>
    <row r="11" spans="1:16">
      <c r="A11" s="1" t="s">
        <v>1657</v>
      </c>
      <c r="B11" s="1">
        <v>4</v>
      </c>
      <c r="C11" s="1" t="s">
        <v>1658</v>
      </c>
      <c r="D11" s="4">
        <f>D10/4</f>
        <v>12700</v>
      </c>
      <c r="E11" s="4">
        <f t="shared" si="0"/>
        <v>2413</v>
      </c>
      <c r="F11" s="4">
        <f t="shared" si="1"/>
        <v>15113</v>
      </c>
      <c r="G11" s="4">
        <f t="shared" si="2"/>
        <v>13970.000000000002</v>
      </c>
      <c r="H11" s="4">
        <f t="shared" si="3"/>
        <v>15240</v>
      </c>
      <c r="I11" s="4">
        <f t="shared" si="4"/>
        <v>15875</v>
      </c>
      <c r="J11" s="4">
        <f t="shared" si="5"/>
        <v>16510</v>
      </c>
      <c r="K11" s="4">
        <f t="shared" si="6"/>
        <v>17145</v>
      </c>
      <c r="L11" s="4">
        <f t="shared" si="7"/>
        <v>17780</v>
      </c>
      <c r="M11" s="4"/>
    </row>
    <row r="12" spans="1:16">
      <c r="A12" s="1" t="s">
        <v>1659</v>
      </c>
      <c r="B12" s="1">
        <v>1</v>
      </c>
      <c r="C12" s="1" t="s">
        <v>1658</v>
      </c>
      <c r="D12" s="4">
        <v>33300</v>
      </c>
      <c r="E12" s="4">
        <f t="shared" si="0"/>
        <v>6327</v>
      </c>
      <c r="F12" s="4">
        <f t="shared" si="1"/>
        <v>39627</v>
      </c>
      <c r="G12" s="4">
        <f t="shared" si="2"/>
        <v>36630</v>
      </c>
      <c r="H12" s="4">
        <f t="shared" si="3"/>
        <v>39960</v>
      </c>
      <c r="I12" s="4">
        <f t="shared" si="4"/>
        <v>41625</v>
      </c>
      <c r="J12" s="4">
        <f t="shared" si="5"/>
        <v>43290</v>
      </c>
      <c r="K12" s="4">
        <f t="shared" si="6"/>
        <v>44955</v>
      </c>
      <c r="L12" s="4">
        <f t="shared" si="7"/>
        <v>46620</v>
      </c>
      <c r="M12" s="4"/>
    </row>
    <row r="13" spans="1:16">
      <c r="A13" s="1" t="s">
        <v>485</v>
      </c>
      <c r="B13" s="1">
        <v>1</v>
      </c>
      <c r="C13" s="1" t="s">
        <v>1658</v>
      </c>
      <c r="D13" s="4">
        <v>27800</v>
      </c>
      <c r="E13" s="4">
        <f t="shared" si="0"/>
        <v>5282</v>
      </c>
      <c r="F13" s="4">
        <f t="shared" si="1"/>
        <v>33082</v>
      </c>
      <c r="G13" s="4">
        <f t="shared" si="2"/>
        <v>30580.000000000004</v>
      </c>
      <c r="H13" s="4">
        <f t="shared" si="3"/>
        <v>33360</v>
      </c>
      <c r="I13" s="4">
        <f t="shared" si="4"/>
        <v>34750</v>
      </c>
      <c r="J13" s="4">
        <f t="shared" si="5"/>
        <v>36140</v>
      </c>
      <c r="K13" s="4">
        <f t="shared" si="6"/>
        <v>37530</v>
      </c>
      <c r="L13" s="4">
        <f t="shared" si="7"/>
        <v>38920</v>
      </c>
      <c r="M13" s="4"/>
    </row>
    <row r="14" spans="1:16">
      <c r="A14" s="1" t="s">
        <v>1660</v>
      </c>
      <c r="B14" s="1">
        <v>1</v>
      </c>
      <c r="C14" s="1" t="s">
        <v>1661</v>
      </c>
      <c r="D14" s="4">
        <v>54538</v>
      </c>
      <c r="E14" s="4">
        <f t="shared" si="0"/>
        <v>10362.219999999999</v>
      </c>
      <c r="F14" s="4">
        <f t="shared" si="1"/>
        <v>64900.22</v>
      </c>
      <c r="G14" s="4">
        <f t="shared" si="2"/>
        <v>59991.8</v>
      </c>
      <c r="H14" s="4">
        <f t="shared" si="3"/>
        <v>65445.599999999999</v>
      </c>
      <c r="I14" s="4">
        <f t="shared" si="4"/>
        <v>68172.5</v>
      </c>
      <c r="J14" s="4">
        <f t="shared" si="5"/>
        <v>70899.400000000009</v>
      </c>
      <c r="K14" s="4">
        <f t="shared" si="6"/>
        <v>73626.3</v>
      </c>
      <c r="L14" s="4">
        <f t="shared" si="7"/>
        <v>76353.2</v>
      </c>
      <c r="M14" s="4"/>
    </row>
    <row r="15" spans="1:16">
      <c r="A15" s="1" t="s">
        <v>484</v>
      </c>
      <c r="B15" s="1">
        <v>1</v>
      </c>
      <c r="C15" s="1" t="s">
        <v>1661</v>
      </c>
      <c r="D15" s="4">
        <v>30000</v>
      </c>
      <c r="E15" s="4">
        <f t="shared" si="0"/>
        <v>5700</v>
      </c>
      <c r="F15" s="4">
        <f t="shared" si="1"/>
        <v>35700</v>
      </c>
      <c r="G15" s="4">
        <f t="shared" si="2"/>
        <v>33000</v>
      </c>
      <c r="H15" s="4">
        <f t="shared" si="3"/>
        <v>36000</v>
      </c>
      <c r="I15" s="4">
        <f t="shared" si="4"/>
        <v>37500</v>
      </c>
      <c r="J15" s="4">
        <f t="shared" si="5"/>
        <v>39000</v>
      </c>
      <c r="K15" s="4">
        <f t="shared" si="6"/>
        <v>40500</v>
      </c>
      <c r="L15" s="4">
        <f t="shared" si="7"/>
        <v>42000</v>
      </c>
      <c r="M15" s="4"/>
    </row>
    <row r="16" spans="1:16">
      <c r="A16" s="1" t="s">
        <v>1662</v>
      </c>
      <c r="B16" s="1">
        <v>4</v>
      </c>
      <c r="C16" s="1" t="s">
        <v>1658</v>
      </c>
      <c r="D16" s="4">
        <v>36121</v>
      </c>
      <c r="E16" s="4">
        <f t="shared" si="0"/>
        <v>6862.99</v>
      </c>
      <c r="F16" s="4">
        <f t="shared" si="1"/>
        <v>42983.99</v>
      </c>
      <c r="G16" s="4">
        <f t="shared" si="2"/>
        <v>39733.100000000006</v>
      </c>
      <c r="H16" s="4">
        <f t="shared" si="3"/>
        <v>43345.2</v>
      </c>
      <c r="I16" s="4">
        <f t="shared" si="4"/>
        <v>45151.25</v>
      </c>
      <c r="J16" s="4">
        <f t="shared" si="5"/>
        <v>46957.3</v>
      </c>
      <c r="K16" s="4">
        <f t="shared" si="6"/>
        <v>48763.350000000006</v>
      </c>
      <c r="L16" s="4">
        <f t="shared" si="7"/>
        <v>50569.399999999994</v>
      </c>
      <c r="M16" s="4"/>
    </row>
    <row r="17" spans="1:17">
      <c r="A17" s="1" t="s">
        <v>1663</v>
      </c>
      <c r="B17" s="1">
        <v>4</v>
      </c>
      <c r="C17" s="1" t="s">
        <v>1658</v>
      </c>
      <c r="D17" s="4">
        <v>32700</v>
      </c>
      <c r="E17" s="4">
        <f t="shared" si="0"/>
        <v>6213</v>
      </c>
      <c r="F17" s="4">
        <f t="shared" si="1"/>
        <v>38913</v>
      </c>
      <c r="G17" s="4">
        <f t="shared" si="2"/>
        <v>35970</v>
      </c>
      <c r="H17" s="4">
        <f t="shared" si="3"/>
        <v>39240</v>
      </c>
      <c r="I17" s="4">
        <f t="shared" si="4"/>
        <v>40875</v>
      </c>
      <c r="J17" s="4">
        <f t="shared" si="5"/>
        <v>42510</v>
      </c>
      <c r="K17" s="4">
        <f t="shared" si="6"/>
        <v>44145</v>
      </c>
      <c r="L17" s="4">
        <f t="shared" si="7"/>
        <v>45780</v>
      </c>
      <c r="M17" s="4"/>
    </row>
    <row r="18" spans="1:17">
      <c r="D18" s="4"/>
      <c r="G18" s="4"/>
      <c r="H18" s="4"/>
      <c r="I18" s="4"/>
      <c r="J18" s="4"/>
      <c r="K18" s="4"/>
      <c r="L18" s="4"/>
      <c r="M18" s="4"/>
      <c r="Q18" s="1">
        <f>55640*1.19</f>
        <v>66211.599999999991</v>
      </c>
    </row>
    <row r="19" spans="1:17">
      <c r="D19" s="4"/>
      <c r="G19" s="4"/>
      <c r="H19" s="4"/>
      <c r="I19" s="4"/>
      <c r="J19" s="4"/>
      <c r="K19" s="4"/>
      <c r="L19" s="4"/>
      <c r="M19" s="4"/>
      <c r="Q19" s="1">
        <f>33540*1.19</f>
        <v>39912.6</v>
      </c>
    </row>
    <row r="20" spans="1:17">
      <c r="D20" s="4"/>
      <c r="G20" s="4"/>
      <c r="H20" s="4"/>
      <c r="I20" s="4"/>
      <c r="J20" s="4"/>
      <c r="K20" s="4"/>
      <c r="L20" s="4"/>
      <c r="M20" s="4"/>
    </row>
    <row r="21" spans="1:17">
      <c r="D21" s="4"/>
      <c r="G21" s="4"/>
      <c r="H21" s="4"/>
      <c r="I21" s="4"/>
      <c r="J21" s="4"/>
      <c r="K21" s="4"/>
      <c r="L21" s="4"/>
      <c r="M21" s="4"/>
    </row>
    <row r="22" spans="1:17">
      <c r="D22" s="4"/>
      <c r="G22" s="4"/>
      <c r="H22" s="4"/>
      <c r="I22" s="4"/>
      <c r="J22" s="4"/>
      <c r="K22" s="4"/>
      <c r="L22" s="4"/>
      <c r="M22" s="4"/>
    </row>
    <row r="23" spans="1:17">
      <c r="D23" s="4"/>
      <c r="G23" s="4"/>
      <c r="H23" s="4"/>
      <c r="I23" s="4"/>
      <c r="J23" s="4"/>
      <c r="K23" s="4"/>
      <c r="L23" s="4"/>
      <c r="M23" s="4"/>
    </row>
    <row r="24" spans="1:17">
      <c r="D24" s="4"/>
      <c r="G24" s="4"/>
      <c r="H24" s="4"/>
      <c r="I24" s="4"/>
      <c r="J24" s="4"/>
      <c r="K24" s="4"/>
      <c r="L24" s="4"/>
      <c r="M24" s="4"/>
    </row>
    <row r="25" spans="1:17">
      <c r="D25" s="4"/>
      <c r="G25" s="4"/>
      <c r="H25" s="4"/>
      <c r="I25" s="4"/>
      <c r="J25" s="4"/>
      <c r="K25" s="4"/>
      <c r="L25" s="4"/>
      <c r="M25" s="4"/>
    </row>
    <row r="26" spans="1:17">
      <c r="D26" s="4"/>
      <c r="G26" s="4"/>
      <c r="H26" s="4"/>
      <c r="I26" s="4"/>
      <c r="J26" s="4"/>
      <c r="K26" s="4"/>
      <c r="L26" s="4"/>
      <c r="M26" s="4"/>
    </row>
    <row r="27" spans="1:17">
      <c r="D27" s="4"/>
      <c r="G27" s="4"/>
      <c r="H27" s="4"/>
      <c r="I27" s="4"/>
      <c r="J27" s="4"/>
      <c r="K27" s="4"/>
      <c r="L27" s="4"/>
      <c r="M27" s="4"/>
    </row>
    <row r="28" spans="1:17">
      <c r="D28" s="4"/>
      <c r="G28" s="4"/>
      <c r="H28" s="4"/>
      <c r="I28" s="4"/>
      <c r="J28" s="4"/>
      <c r="K28" s="4"/>
      <c r="L28" s="4"/>
      <c r="M28" s="4"/>
    </row>
    <row r="29" spans="1:17">
      <c r="D29" s="4"/>
      <c r="G29" s="4"/>
      <c r="H29" s="4"/>
      <c r="I29" s="4"/>
      <c r="J29" s="4"/>
      <c r="K29" s="4"/>
      <c r="L29" s="4"/>
      <c r="M29" s="4"/>
    </row>
    <row r="30" spans="1:17">
      <c r="D30" s="4"/>
      <c r="G30" s="4"/>
      <c r="H30" s="4"/>
      <c r="I30" s="4"/>
      <c r="J30" s="4"/>
      <c r="K30" s="4"/>
      <c r="L30" s="4"/>
      <c r="M30" s="4"/>
    </row>
    <row r="31" spans="1:17">
      <c r="D31" s="4"/>
      <c r="G31" s="4"/>
      <c r="H31" s="4"/>
      <c r="I31" s="4"/>
      <c r="J31" s="4"/>
      <c r="K31" s="4"/>
      <c r="L31" s="4"/>
      <c r="M31" s="4"/>
    </row>
    <row r="32" spans="1:17">
      <c r="D32" s="4"/>
      <c r="G32" s="4"/>
      <c r="H32" s="4"/>
      <c r="I32" s="4"/>
      <c r="J32" s="4"/>
      <c r="K32" s="4"/>
      <c r="L32" s="4"/>
      <c r="M32" s="4"/>
    </row>
    <row r="33" spans="4:13">
      <c r="D33" s="4"/>
      <c r="G33" s="4"/>
      <c r="H33" s="4"/>
      <c r="I33" s="4"/>
      <c r="J33" s="4"/>
      <c r="K33" s="4"/>
      <c r="L33" s="4"/>
      <c r="M33" s="4"/>
    </row>
    <row r="34" spans="4:13">
      <c r="D34" s="4"/>
      <c r="G34" s="4"/>
      <c r="H34" s="4"/>
      <c r="I34" s="4"/>
      <c r="J34" s="4"/>
      <c r="K34" s="4"/>
      <c r="L34" s="4"/>
      <c r="M34" s="4"/>
    </row>
    <row r="35" spans="4:13">
      <c r="D35" s="4"/>
      <c r="G35" s="4"/>
      <c r="H35" s="4"/>
      <c r="I35" s="4"/>
      <c r="J35" s="4"/>
      <c r="K35" s="4"/>
      <c r="L35" s="4"/>
      <c r="M35" s="4"/>
    </row>
    <row r="36" spans="4:13">
      <c r="D36" s="4"/>
      <c r="G36" s="4"/>
      <c r="H36" s="4"/>
      <c r="I36" s="4"/>
      <c r="J36" s="4"/>
      <c r="K36" s="4"/>
      <c r="L36" s="4"/>
      <c r="M36" s="4"/>
    </row>
    <row r="37" spans="4:13">
      <c r="D37" s="4"/>
      <c r="G37" s="4"/>
      <c r="H37" s="4"/>
      <c r="I37" s="4"/>
      <c r="J37" s="4"/>
      <c r="K37" s="4"/>
      <c r="L37" s="4"/>
      <c r="M37" s="4"/>
    </row>
    <row r="38" spans="4:13">
      <c r="D38" s="4"/>
      <c r="G38" s="4"/>
      <c r="H38" s="4"/>
      <c r="I38" s="4"/>
      <c r="J38" s="4"/>
      <c r="K38" s="4"/>
      <c r="L38" s="4"/>
      <c r="M38" s="4"/>
    </row>
    <row r="39" spans="4:13">
      <c r="D39" s="4"/>
      <c r="G39" s="4"/>
      <c r="H39" s="4"/>
      <c r="I39" s="4"/>
      <c r="J39" s="4"/>
      <c r="K39" s="4"/>
      <c r="L39" s="4"/>
      <c r="M39" s="4"/>
    </row>
    <row r="40" spans="4:13">
      <c r="D40" s="4"/>
      <c r="G40" s="4"/>
      <c r="H40" s="4"/>
      <c r="I40" s="4"/>
      <c r="J40" s="4"/>
      <c r="K40" s="4"/>
      <c r="L40" s="4"/>
      <c r="M40" s="4"/>
    </row>
    <row r="41" spans="4:13">
      <c r="D41" s="4"/>
      <c r="G41" s="4"/>
      <c r="H41" s="4"/>
      <c r="I41" s="4"/>
      <c r="J41" s="4"/>
      <c r="K41" s="4"/>
      <c r="L41" s="4"/>
      <c r="M41" s="4"/>
    </row>
    <row r="42" spans="4:13">
      <c r="D42" s="4"/>
      <c r="G42" s="4"/>
      <c r="H42" s="4"/>
      <c r="I42" s="4"/>
      <c r="J42" s="4"/>
      <c r="K42" s="4"/>
      <c r="L42" s="4"/>
      <c r="M42" s="4"/>
    </row>
    <row r="43" spans="4:13">
      <c r="D43" s="4"/>
      <c r="G43" s="4"/>
      <c r="H43" s="4"/>
      <c r="I43" s="4"/>
      <c r="J43" s="4"/>
      <c r="K43" s="4"/>
      <c r="L43" s="4"/>
      <c r="M43" s="4"/>
    </row>
    <row r="44" spans="4:13">
      <c r="D44" s="4"/>
      <c r="G44" s="4"/>
      <c r="H44" s="4"/>
      <c r="I44" s="4"/>
      <c r="J44" s="4"/>
      <c r="K44" s="4"/>
      <c r="L44" s="4"/>
      <c r="M44" s="4"/>
    </row>
    <row r="45" spans="4:13">
      <c r="D45" s="4"/>
      <c r="G45" s="4"/>
      <c r="H45" s="4"/>
      <c r="I45" s="4"/>
      <c r="J45" s="4"/>
      <c r="K45" s="4"/>
      <c r="L45" s="4"/>
      <c r="M45" s="4"/>
    </row>
    <row r="46" spans="4:13">
      <c r="D46" s="4"/>
      <c r="G46" s="4"/>
      <c r="H46" s="4"/>
      <c r="I46" s="4"/>
      <c r="J46" s="4"/>
      <c r="K46" s="4"/>
      <c r="L46" s="4"/>
      <c r="M46" s="4"/>
    </row>
    <row r="47" spans="4:13">
      <c r="D47" s="4"/>
      <c r="G47" s="4"/>
      <c r="H47" s="4"/>
      <c r="I47" s="4"/>
      <c r="J47" s="4"/>
      <c r="K47" s="4"/>
      <c r="L47" s="4"/>
      <c r="M47" s="4"/>
    </row>
    <row r="48" spans="4:13">
      <c r="D48" s="4"/>
      <c r="G48" s="4"/>
      <c r="H48" s="4"/>
      <c r="I48" s="4"/>
      <c r="J48" s="4"/>
      <c r="K48" s="4"/>
      <c r="L48" s="4"/>
      <c r="M48" s="4"/>
    </row>
    <row r="49" spans="4:13">
      <c r="D49" s="4"/>
      <c r="G49" s="4"/>
      <c r="H49" s="4"/>
      <c r="I49" s="4"/>
      <c r="J49" s="4"/>
      <c r="K49" s="4"/>
      <c r="L49" s="4"/>
      <c r="M49" s="4"/>
    </row>
    <row r="50" spans="4:13">
      <c r="D50" s="4"/>
      <c r="G50" s="4"/>
      <c r="H50" s="4"/>
      <c r="I50" s="4"/>
      <c r="J50" s="4"/>
      <c r="K50" s="4"/>
      <c r="L50" s="4"/>
      <c r="M50" s="4"/>
    </row>
    <row r="51" spans="4:13">
      <c r="D51" s="4"/>
      <c r="G51" s="4"/>
      <c r="H51" s="4"/>
      <c r="I51" s="4"/>
      <c r="J51" s="4"/>
      <c r="K51" s="4"/>
      <c r="L51" s="4"/>
      <c r="M51" s="4"/>
    </row>
    <row r="52" spans="4:13">
      <c r="D52" s="4"/>
      <c r="G52" s="4"/>
      <c r="H52" s="4"/>
      <c r="I52" s="4"/>
      <c r="J52" s="4"/>
      <c r="K52" s="4"/>
      <c r="L52" s="4"/>
      <c r="M52" s="4"/>
    </row>
    <row r="53" spans="4:13">
      <c r="D53" s="4"/>
      <c r="G53" s="4"/>
      <c r="H53" s="4"/>
      <c r="I53" s="4"/>
      <c r="J53" s="4"/>
      <c r="K53" s="4"/>
      <c r="L53" s="4"/>
      <c r="M53" s="4"/>
    </row>
    <row r="54" spans="4:13">
      <c r="D54" s="4"/>
      <c r="G54" s="4"/>
      <c r="H54" s="4"/>
      <c r="I54" s="4"/>
      <c r="J54" s="4"/>
      <c r="K54" s="4"/>
      <c r="L54" s="4"/>
      <c r="M54" s="4"/>
    </row>
    <row r="55" spans="4:13">
      <c r="D55" s="4"/>
      <c r="G55" s="4"/>
      <c r="H55" s="4"/>
      <c r="I55" s="4"/>
      <c r="J55" s="4"/>
      <c r="K55" s="4"/>
      <c r="L55" s="4"/>
      <c r="M55" s="4"/>
    </row>
    <row r="56" spans="4:13">
      <c r="D56" s="4"/>
      <c r="G56" s="4"/>
      <c r="H56" s="4"/>
      <c r="I56" s="4"/>
      <c r="J56" s="4"/>
      <c r="K56" s="4"/>
      <c r="L56" s="4"/>
      <c r="M56" s="4"/>
    </row>
    <row r="57" spans="4:13">
      <c r="D57" s="4"/>
      <c r="G57" s="4"/>
      <c r="H57" s="4"/>
      <c r="I57" s="4"/>
      <c r="J57" s="4"/>
      <c r="K57" s="4"/>
      <c r="L57" s="4"/>
      <c r="M57" s="4"/>
    </row>
    <row r="58" spans="4:13">
      <c r="D58" s="4"/>
      <c r="G58" s="4"/>
      <c r="H58" s="4"/>
      <c r="I58" s="4"/>
      <c r="J58" s="4"/>
      <c r="K58" s="4"/>
      <c r="L58" s="4"/>
      <c r="M58" s="4"/>
    </row>
    <row r="59" spans="4:13">
      <c r="D59" s="4"/>
      <c r="G59" s="4"/>
      <c r="H59" s="4"/>
      <c r="I59" s="4"/>
      <c r="J59" s="4"/>
      <c r="K59" s="4"/>
      <c r="L59" s="4"/>
      <c r="M59" s="4"/>
    </row>
    <row r="60" spans="4:13">
      <c r="D60" s="4"/>
      <c r="G60" s="4"/>
      <c r="H60" s="4"/>
      <c r="I60" s="4"/>
      <c r="J60" s="4"/>
      <c r="K60" s="4"/>
      <c r="L60" s="4"/>
      <c r="M60" s="4"/>
    </row>
    <row r="61" spans="4:13">
      <c r="D61" s="4"/>
      <c r="G61" s="4"/>
      <c r="H61" s="4"/>
      <c r="I61" s="4"/>
      <c r="J61" s="4"/>
      <c r="K61" s="4"/>
      <c r="L61" s="4"/>
      <c r="M61" s="4"/>
    </row>
    <row r="62" spans="4:13">
      <c r="D62" s="4"/>
      <c r="G62" s="4"/>
      <c r="H62" s="4"/>
      <c r="I62" s="4"/>
      <c r="J62" s="4"/>
      <c r="K62" s="4"/>
      <c r="L62" s="4"/>
      <c r="M62" s="4"/>
    </row>
    <row r="63" spans="4:13">
      <c r="D63" s="4"/>
      <c r="G63" s="4"/>
      <c r="H63" s="4"/>
      <c r="I63" s="4"/>
      <c r="J63" s="4"/>
      <c r="K63" s="4"/>
      <c r="L63" s="4"/>
      <c r="M63" s="4"/>
    </row>
    <row r="64" spans="4:13">
      <c r="D64" s="4"/>
      <c r="G64" s="4"/>
      <c r="H64" s="4"/>
      <c r="I64" s="4"/>
      <c r="J64" s="4"/>
      <c r="K64" s="4"/>
      <c r="L64" s="4"/>
      <c r="M64" s="4"/>
    </row>
    <row r="65" spans="4:13">
      <c r="D65" s="4"/>
      <c r="G65" s="4"/>
      <c r="H65" s="4"/>
      <c r="I65" s="4"/>
      <c r="J65" s="4"/>
      <c r="K65" s="4"/>
      <c r="L65" s="4"/>
      <c r="M65" s="4"/>
    </row>
    <row r="66" spans="4:13">
      <c r="D66" s="4"/>
      <c r="G66" s="4"/>
      <c r="H66" s="4"/>
      <c r="I66" s="4"/>
      <c r="J66" s="4"/>
      <c r="K66" s="4"/>
      <c r="L66" s="4"/>
      <c r="M66" s="4"/>
    </row>
    <row r="67" spans="4:13">
      <c r="D67" s="4"/>
      <c r="G67" s="4"/>
      <c r="H67" s="4"/>
      <c r="I67" s="4"/>
      <c r="J67" s="4"/>
      <c r="K67" s="4"/>
      <c r="L67" s="4"/>
      <c r="M67" s="4"/>
    </row>
    <row r="68" spans="4:13">
      <c r="D68" s="4"/>
      <c r="G68" s="4"/>
      <c r="H68" s="4"/>
      <c r="I68" s="4"/>
      <c r="J68" s="4"/>
      <c r="K68" s="4"/>
      <c r="L68" s="4"/>
      <c r="M68" s="4"/>
    </row>
    <row r="69" spans="4:13">
      <c r="D69" s="4"/>
      <c r="G69" s="4"/>
      <c r="H69" s="4"/>
      <c r="I69" s="4"/>
      <c r="J69" s="4"/>
      <c r="K69" s="4"/>
      <c r="L69" s="4"/>
      <c r="M69" s="4"/>
    </row>
    <row r="70" spans="4:13">
      <c r="D70" s="4"/>
      <c r="G70" s="4"/>
      <c r="H70" s="4"/>
      <c r="I70" s="4"/>
      <c r="J70" s="4"/>
      <c r="K70" s="4"/>
      <c r="L70" s="4"/>
      <c r="M70" s="4"/>
    </row>
    <row r="71" spans="4:13">
      <c r="D71" s="4"/>
      <c r="G71" s="4"/>
      <c r="H71" s="4"/>
      <c r="I71" s="4"/>
      <c r="J71" s="4"/>
      <c r="K71" s="4"/>
      <c r="L71" s="4"/>
      <c r="M71" s="4"/>
    </row>
    <row r="72" spans="4:13">
      <c r="D72" s="4"/>
      <c r="G72" s="4"/>
      <c r="H72" s="4"/>
      <c r="I72" s="4"/>
      <c r="J72" s="4"/>
      <c r="K72" s="4"/>
      <c r="L72" s="4"/>
      <c r="M72" s="4"/>
    </row>
    <row r="73" spans="4:13">
      <c r="D73" s="4"/>
      <c r="G73" s="4"/>
      <c r="H73" s="4"/>
      <c r="I73" s="4"/>
      <c r="J73" s="4"/>
      <c r="K73" s="4"/>
      <c r="L73" s="4"/>
      <c r="M73" s="4"/>
    </row>
    <row r="74" spans="4:13">
      <c r="D74" s="4"/>
      <c r="G74" s="4"/>
      <c r="H74" s="4"/>
      <c r="I74" s="4"/>
      <c r="J74" s="4"/>
      <c r="K74" s="4"/>
      <c r="L74" s="4"/>
      <c r="M74" s="4"/>
    </row>
    <row r="75" spans="4:13">
      <c r="D75" s="4"/>
      <c r="G75" s="4"/>
      <c r="H75" s="4"/>
      <c r="I75" s="4"/>
      <c r="J75" s="4"/>
      <c r="K75" s="4"/>
      <c r="L75" s="4"/>
      <c r="M75" s="4"/>
    </row>
    <row r="76" spans="4:13">
      <c r="D76" s="4"/>
      <c r="G76" s="4"/>
      <c r="H76" s="4"/>
      <c r="I76" s="4"/>
      <c r="J76" s="4"/>
      <c r="K76" s="4"/>
      <c r="L76" s="4"/>
      <c r="M76" s="4"/>
    </row>
    <row r="77" spans="4:13">
      <c r="D77" s="4"/>
      <c r="G77" s="4"/>
      <c r="H77" s="4"/>
      <c r="I77" s="4"/>
      <c r="J77" s="4"/>
      <c r="K77" s="4"/>
      <c r="L77" s="4"/>
      <c r="M77" s="4"/>
    </row>
    <row r="78" spans="4:13">
      <c r="D78" s="4"/>
      <c r="G78" s="4"/>
      <c r="H78" s="4"/>
      <c r="I78" s="4"/>
      <c r="J78" s="4"/>
      <c r="K78" s="4"/>
      <c r="L78" s="4"/>
      <c r="M78" s="4"/>
    </row>
    <row r="79" spans="4:13">
      <c r="D79" s="4"/>
      <c r="G79" s="4"/>
      <c r="H79" s="4"/>
      <c r="I79" s="4"/>
      <c r="J79" s="4"/>
      <c r="K79" s="4"/>
      <c r="L79" s="4"/>
      <c r="M79" s="4"/>
    </row>
    <row r="80" spans="4:13">
      <c r="D80" s="4"/>
      <c r="G80" s="4"/>
      <c r="H80" s="4"/>
      <c r="I80" s="4"/>
      <c r="J80" s="4"/>
      <c r="K80" s="4"/>
      <c r="L80" s="4"/>
      <c r="M80" s="4"/>
    </row>
    <row r="81" spans="4:13">
      <c r="D81" s="4"/>
      <c r="G81" s="4"/>
      <c r="H81" s="4"/>
      <c r="I81" s="4"/>
      <c r="J81" s="4"/>
      <c r="K81" s="4"/>
      <c r="L81" s="4"/>
      <c r="M81" s="4"/>
    </row>
    <row r="82" spans="4:13">
      <c r="D82" s="4"/>
      <c r="G82" s="4"/>
      <c r="H82" s="4"/>
      <c r="I82" s="4"/>
      <c r="J82" s="4"/>
      <c r="K82" s="4"/>
      <c r="L82" s="4"/>
      <c r="M82" s="4"/>
    </row>
    <row r="83" spans="4:13">
      <c r="D83" s="4"/>
      <c r="G83" s="4"/>
      <c r="H83" s="4"/>
      <c r="I83" s="4"/>
      <c r="J83" s="4"/>
      <c r="K83" s="4"/>
      <c r="L83" s="4"/>
      <c r="M83" s="4"/>
    </row>
    <row r="84" spans="4:13">
      <c r="D84" s="4"/>
      <c r="G84" s="4"/>
      <c r="H84" s="4"/>
      <c r="I84" s="4"/>
      <c r="J84" s="4"/>
      <c r="K84" s="4"/>
      <c r="L84" s="4"/>
      <c r="M84" s="4"/>
    </row>
    <row r="85" spans="4:13">
      <c r="D85" s="4"/>
      <c r="G85" s="4"/>
      <c r="H85" s="4"/>
      <c r="I85" s="4"/>
      <c r="J85" s="4"/>
      <c r="K85" s="4"/>
      <c r="L85" s="4"/>
      <c r="M85" s="4"/>
    </row>
    <row r="86" spans="4:13">
      <c r="D86" s="4"/>
      <c r="G86" s="4"/>
      <c r="H86" s="4"/>
      <c r="I86" s="4"/>
      <c r="J86" s="4"/>
      <c r="K86" s="4"/>
      <c r="L86" s="4"/>
      <c r="M86" s="4"/>
    </row>
    <row r="87" spans="4:13">
      <c r="D87" s="4"/>
      <c r="G87" s="4"/>
      <c r="H87" s="4"/>
      <c r="I87" s="4"/>
      <c r="J87" s="4"/>
      <c r="K87" s="4"/>
      <c r="L87" s="4"/>
      <c r="M87" s="4"/>
    </row>
    <row r="88" spans="4:13">
      <c r="D88" s="4"/>
      <c r="G88" s="4"/>
      <c r="H88" s="4"/>
      <c r="I88" s="4"/>
      <c r="J88" s="4"/>
      <c r="K88" s="4"/>
      <c r="L88" s="4"/>
      <c r="M88" s="4"/>
    </row>
    <row r="89" spans="4:13">
      <c r="D89" s="4"/>
      <c r="G89" s="4"/>
      <c r="H89" s="4"/>
      <c r="I89" s="4"/>
      <c r="J89" s="4"/>
      <c r="K89" s="4"/>
      <c r="L89" s="4"/>
      <c r="M89" s="4"/>
    </row>
    <row r="90" spans="4:13">
      <c r="D90" s="4"/>
      <c r="G90" s="4"/>
      <c r="H90" s="4"/>
      <c r="I90" s="4"/>
      <c r="J90" s="4"/>
      <c r="K90" s="4"/>
      <c r="L90" s="4"/>
      <c r="M90" s="4"/>
    </row>
    <row r="91" spans="4:13">
      <c r="D91" s="4"/>
      <c r="G91" s="4"/>
      <c r="H91" s="4"/>
      <c r="I91" s="4"/>
      <c r="J91" s="4"/>
      <c r="K91" s="4"/>
      <c r="L91" s="4"/>
      <c r="M91" s="4"/>
    </row>
    <row r="92" spans="4:13">
      <c r="D92" s="4"/>
      <c r="G92" s="4"/>
      <c r="H92" s="4"/>
      <c r="I92" s="4"/>
      <c r="J92" s="4"/>
      <c r="K92" s="4"/>
      <c r="L92" s="4"/>
      <c r="M92" s="4"/>
    </row>
    <row r="93" spans="4:13">
      <c r="D93" s="4"/>
      <c r="G93" s="4"/>
      <c r="H93" s="4"/>
      <c r="I93" s="4"/>
      <c r="J93" s="4"/>
      <c r="K93" s="4"/>
      <c r="L93" s="4"/>
      <c r="M93" s="4"/>
    </row>
    <row r="94" spans="4:13">
      <c r="D94" s="4"/>
      <c r="G94" s="4"/>
      <c r="H94" s="4"/>
      <c r="I94" s="4"/>
      <c r="J94" s="4"/>
      <c r="K94" s="4"/>
      <c r="L94" s="4"/>
      <c r="M94" s="4"/>
    </row>
    <row r="95" spans="4:13">
      <c r="D95" s="4"/>
      <c r="G95" s="4"/>
      <c r="H95" s="4"/>
      <c r="I95" s="4"/>
      <c r="J95" s="4"/>
      <c r="K95" s="4"/>
      <c r="L95" s="4"/>
      <c r="M95" s="4"/>
    </row>
    <row r="96" spans="4:13">
      <c r="D96" s="4"/>
      <c r="G96" s="4"/>
      <c r="H96" s="4"/>
      <c r="I96" s="4"/>
      <c r="J96" s="4"/>
      <c r="K96" s="4"/>
      <c r="L96" s="4"/>
      <c r="M96" s="4"/>
    </row>
    <row r="97" spans="4:13">
      <c r="D97" s="4"/>
      <c r="G97" s="4"/>
      <c r="H97" s="4"/>
      <c r="I97" s="4"/>
      <c r="J97" s="4"/>
      <c r="K97" s="4"/>
      <c r="L97" s="4"/>
      <c r="M97" s="4"/>
    </row>
    <row r="98" spans="4:13">
      <c r="D98" s="4"/>
      <c r="G98" s="4"/>
      <c r="H98" s="4"/>
      <c r="I98" s="4"/>
      <c r="J98" s="4"/>
      <c r="K98" s="4"/>
      <c r="L98" s="4"/>
      <c r="M98" s="4"/>
    </row>
    <row r="99" spans="4:13">
      <c r="D99" s="4"/>
      <c r="G99" s="4"/>
      <c r="H99" s="4"/>
      <c r="I99" s="4"/>
      <c r="J99" s="4"/>
      <c r="K99" s="4"/>
      <c r="L99" s="4"/>
      <c r="M99" s="4"/>
    </row>
    <row r="100" spans="4:13">
      <c r="D100" s="4"/>
      <c r="G100" s="4"/>
      <c r="H100" s="4"/>
      <c r="I100" s="4"/>
      <c r="J100" s="4"/>
      <c r="K100" s="4"/>
      <c r="L100" s="4"/>
      <c r="M100" s="4"/>
    </row>
    <row r="101" spans="4:13">
      <c r="D101" s="4"/>
      <c r="G101" s="4"/>
      <c r="H101" s="4"/>
      <c r="I101" s="4"/>
      <c r="J101" s="4"/>
      <c r="K101" s="4"/>
      <c r="L101" s="4"/>
      <c r="M101" s="4"/>
    </row>
    <row r="102" spans="4:13">
      <c r="D102" s="4"/>
      <c r="G102" s="4"/>
      <c r="H102" s="4"/>
      <c r="I102" s="4"/>
      <c r="J102" s="4"/>
      <c r="K102" s="4"/>
      <c r="L102" s="4"/>
      <c r="M102" s="4"/>
    </row>
    <row r="103" spans="4:13">
      <c r="D103" s="4"/>
      <c r="G103" s="4"/>
      <c r="H103" s="4"/>
      <c r="I103" s="4"/>
      <c r="J103" s="4"/>
      <c r="K103" s="4"/>
      <c r="L103" s="4"/>
      <c r="M103" s="4"/>
    </row>
    <row r="104" spans="4:13">
      <c r="D104" s="4"/>
      <c r="G104" s="4"/>
      <c r="H104" s="4"/>
      <c r="I104" s="4"/>
      <c r="J104" s="4"/>
      <c r="K104" s="4"/>
      <c r="L104" s="4"/>
      <c r="M104" s="4"/>
    </row>
    <row r="105" spans="4:13">
      <c r="D105" s="4"/>
      <c r="G105" s="4"/>
      <c r="H105" s="4"/>
      <c r="I105" s="4"/>
      <c r="J105" s="4"/>
      <c r="K105" s="4"/>
      <c r="L105" s="4"/>
      <c r="M105" s="4"/>
    </row>
    <row r="106" spans="4:13">
      <c r="D106" s="4"/>
      <c r="G106" s="4"/>
      <c r="H106" s="4"/>
      <c r="I106" s="4"/>
      <c r="J106" s="4"/>
      <c r="K106" s="4"/>
      <c r="L106" s="4"/>
      <c r="M106" s="4"/>
    </row>
    <row r="107" spans="4:13">
      <c r="D107" s="4"/>
      <c r="G107" s="4"/>
      <c r="H107" s="4"/>
      <c r="I107" s="4"/>
      <c r="J107" s="4"/>
      <c r="K107" s="4"/>
      <c r="L107" s="4"/>
      <c r="M107" s="4"/>
    </row>
    <row r="108" spans="4:13">
      <c r="D108" s="4"/>
      <c r="G108" s="4"/>
      <c r="H108" s="4"/>
      <c r="I108" s="4"/>
      <c r="J108" s="4"/>
      <c r="K108" s="4"/>
      <c r="L108" s="4"/>
      <c r="M108" s="4"/>
    </row>
    <row r="109" spans="4:13">
      <c r="D109" s="4"/>
      <c r="G109" s="4"/>
      <c r="H109" s="4"/>
      <c r="I109" s="4"/>
      <c r="J109" s="4"/>
      <c r="K109" s="4"/>
      <c r="L109" s="4"/>
      <c r="M109" s="4"/>
    </row>
    <row r="110" spans="4:13">
      <c r="D110" s="4"/>
      <c r="G110" s="4"/>
      <c r="H110" s="4"/>
      <c r="I110" s="4"/>
      <c r="J110" s="4"/>
      <c r="K110" s="4"/>
      <c r="L110" s="4"/>
      <c r="M110" s="4"/>
    </row>
    <row r="111" spans="4:13">
      <c r="D111" s="4"/>
      <c r="G111" s="4"/>
      <c r="H111" s="4"/>
      <c r="I111" s="4"/>
      <c r="J111" s="4"/>
      <c r="K111" s="4"/>
      <c r="L111" s="4"/>
      <c r="M111" s="4"/>
    </row>
    <row r="112" spans="4:13">
      <c r="D112" s="4"/>
      <c r="G112" s="4"/>
      <c r="H112" s="4"/>
      <c r="I112" s="4"/>
      <c r="J112" s="4"/>
      <c r="K112" s="4"/>
      <c r="L112" s="4"/>
      <c r="M112" s="4"/>
    </row>
    <row r="113" spans="4:13">
      <c r="D113" s="4"/>
      <c r="G113" s="4"/>
      <c r="H113" s="4"/>
      <c r="I113" s="4"/>
      <c r="J113" s="4"/>
      <c r="K113" s="4"/>
      <c r="L113" s="4"/>
      <c r="M113" s="4"/>
    </row>
    <row r="114" spans="4:13">
      <c r="D114" s="4"/>
      <c r="G114" s="4"/>
      <c r="H114" s="4"/>
      <c r="I114" s="4"/>
      <c r="J114" s="4"/>
      <c r="K114" s="4"/>
      <c r="L114" s="4"/>
      <c r="M114" s="4"/>
    </row>
    <row r="115" spans="4:13">
      <c r="D115" s="4"/>
      <c r="G115" s="4"/>
      <c r="H115" s="4"/>
      <c r="I115" s="4"/>
      <c r="J115" s="4"/>
      <c r="K115" s="4"/>
      <c r="L115" s="4"/>
      <c r="M115" s="4"/>
    </row>
    <row r="116" spans="4:13">
      <c r="D116" s="4"/>
      <c r="G116" s="4"/>
      <c r="H116" s="4"/>
      <c r="I116" s="4"/>
      <c r="J116" s="4"/>
      <c r="K116" s="4"/>
      <c r="L116" s="4"/>
      <c r="M116" s="4"/>
    </row>
    <row r="117" spans="4:13">
      <c r="D117" s="4"/>
      <c r="G117" s="4"/>
      <c r="H117" s="4"/>
      <c r="I117" s="4"/>
      <c r="J117" s="4"/>
      <c r="K117" s="4"/>
      <c r="L117" s="4"/>
      <c r="M117" s="4"/>
    </row>
    <row r="118" spans="4:13">
      <c r="D118" s="4"/>
      <c r="G118" s="4"/>
      <c r="H118" s="4"/>
      <c r="I118" s="4"/>
      <c r="J118" s="4"/>
      <c r="K118" s="4"/>
      <c r="L118" s="4"/>
      <c r="M118" s="4"/>
    </row>
    <row r="119" spans="4:13">
      <c r="D119" s="4"/>
      <c r="G119" s="4"/>
      <c r="H119" s="4"/>
      <c r="I119" s="4"/>
      <c r="J119" s="4"/>
      <c r="K119" s="4"/>
      <c r="L119" s="4"/>
      <c r="M119" s="4"/>
    </row>
    <row r="120" spans="4:13">
      <c r="D120" s="4"/>
      <c r="G120" s="4"/>
      <c r="H120" s="4"/>
      <c r="I120" s="4"/>
      <c r="J120" s="4"/>
      <c r="K120" s="4"/>
      <c r="L120" s="4"/>
      <c r="M120" s="4"/>
    </row>
    <row r="121" spans="4:13">
      <c r="D121" s="4"/>
      <c r="G121" s="4"/>
      <c r="H121" s="4"/>
      <c r="I121" s="4"/>
      <c r="J121" s="4"/>
      <c r="K121" s="4"/>
      <c r="L121" s="4"/>
      <c r="M121" s="4"/>
    </row>
    <row r="122" spans="4:13">
      <c r="D122" s="4"/>
      <c r="G122" s="4"/>
      <c r="H122" s="4"/>
      <c r="I122" s="4"/>
      <c r="J122" s="4"/>
      <c r="K122" s="4"/>
      <c r="L122" s="4"/>
      <c r="M122" s="4"/>
    </row>
    <row r="123" spans="4:13">
      <c r="D123" s="4"/>
      <c r="G123" s="4"/>
      <c r="H123" s="4"/>
      <c r="I123" s="4"/>
      <c r="J123" s="4"/>
      <c r="K123" s="4"/>
      <c r="L123" s="4"/>
      <c r="M123" s="4"/>
    </row>
    <row r="124" spans="4:13">
      <c r="D124" s="4"/>
      <c r="G124" s="4"/>
      <c r="H124" s="4"/>
      <c r="I124" s="4"/>
      <c r="J124" s="4"/>
      <c r="K124" s="4"/>
      <c r="L124" s="4"/>
      <c r="M124" s="4"/>
    </row>
    <row r="125" spans="4:13">
      <c r="D125" s="4"/>
      <c r="G125" s="4"/>
      <c r="H125" s="4"/>
      <c r="I125" s="4"/>
      <c r="J125" s="4"/>
      <c r="K125" s="4"/>
      <c r="L125" s="4"/>
      <c r="M125" s="4"/>
    </row>
    <row r="126" spans="4:13">
      <c r="D126" s="4"/>
      <c r="G126" s="4"/>
      <c r="H126" s="4"/>
      <c r="I126" s="4"/>
      <c r="J126" s="4"/>
      <c r="K126" s="4"/>
      <c r="L126" s="4"/>
      <c r="M126" s="4"/>
    </row>
    <row r="127" spans="4:13">
      <c r="D127" s="4"/>
      <c r="G127" s="4"/>
      <c r="H127" s="4"/>
      <c r="I127" s="4"/>
      <c r="J127" s="4"/>
      <c r="K127" s="4"/>
      <c r="L127" s="4"/>
      <c r="M127" s="4"/>
    </row>
    <row r="128" spans="4:13">
      <c r="D128" s="4"/>
      <c r="G128" s="4"/>
      <c r="H128" s="4"/>
      <c r="I128" s="4"/>
      <c r="J128" s="4"/>
      <c r="K128" s="4"/>
      <c r="L128" s="4"/>
      <c r="M128" s="4"/>
    </row>
    <row r="129" spans="4:13">
      <c r="D129" s="4"/>
      <c r="G129" s="4"/>
      <c r="H129" s="4"/>
      <c r="I129" s="4"/>
      <c r="J129" s="4"/>
      <c r="K129" s="4"/>
      <c r="L129" s="4"/>
      <c r="M129" s="4"/>
    </row>
    <row r="130" spans="4:13">
      <c r="D130" s="4"/>
      <c r="G130" s="4"/>
      <c r="H130" s="4"/>
      <c r="I130" s="4"/>
      <c r="J130" s="4"/>
      <c r="K130" s="4"/>
      <c r="L130" s="4"/>
      <c r="M130" s="4"/>
    </row>
    <row r="131" spans="4:13">
      <c r="D131" s="4"/>
      <c r="G131" s="4"/>
      <c r="H131" s="4"/>
      <c r="I131" s="4"/>
      <c r="J131" s="4"/>
      <c r="K131" s="4"/>
      <c r="L131" s="4"/>
      <c r="M131" s="4"/>
    </row>
    <row r="132" spans="4:13">
      <c r="D132" s="4"/>
      <c r="G132" s="4"/>
      <c r="H132" s="4"/>
      <c r="I132" s="4"/>
      <c r="J132" s="4"/>
      <c r="K132" s="4"/>
      <c r="L132" s="4"/>
      <c r="M132" s="4"/>
    </row>
    <row r="133" spans="4:13">
      <c r="D133" s="4"/>
      <c r="G133" s="4"/>
      <c r="H133" s="4"/>
      <c r="I133" s="4"/>
      <c r="J133" s="4"/>
      <c r="K133" s="4"/>
      <c r="L133" s="4"/>
      <c r="M133" s="4"/>
    </row>
    <row r="134" spans="4:13">
      <c r="D134" s="4"/>
      <c r="G134" s="4"/>
      <c r="H134" s="4"/>
      <c r="I134" s="4"/>
      <c r="J134" s="4"/>
      <c r="K134" s="4"/>
      <c r="L134" s="4"/>
      <c r="M134" s="4"/>
    </row>
    <row r="135" spans="4:13">
      <c r="D135" s="4"/>
      <c r="G135" s="4"/>
      <c r="H135" s="4"/>
      <c r="I135" s="4"/>
      <c r="J135" s="4"/>
      <c r="K135" s="4"/>
      <c r="L135" s="4"/>
      <c r="M135" s="4"/>
    </row>
    <row r="136" spans="4:13">
      <c r="D136" s="4"/>
      <c r="G136" s="4"/>
      <c r="H136" s="4"/>
      <c r="I136" s="4"/>
      <c r="J136" s="4"/>
      <c r="K136" s="4"/>
      <c r="L136" s="4"/>
      <c r="M136" s="4"/>
    </row>
    <row r="137" spans="4:13">
      <c r="D137" s="4"/>
      <c r="G137" s="4"/>
      <c r="H137" s="4"/>
      <c r="I137" s="4"/>
      <c r="J137" s="4"/>
      <c r="K137" s="4"/>
      <c r="L137" s="4"/>
      <c r="M137" s="4"/>
    </row>
    <row r="138" spans="4:13">
      <c r="D138" s="4"/>
      <c r="G138" s="4"/>
      <c r="H138" s="4"/>
      <c r="I138" s="4"/>
      <c r="J138" s="4"/>
      <c r="K138" s="4"/>
      <c r="L138" s="4"/>
      <c r="M138" s="4"/>
    </row>
    <row r="139" spans="4:13">
      <c r="D139" s="4"/>
      <c r="G139" s="4"/>
      <c r="H139" s="4"/>
      <c r="I139" s="4"/>
      <c r="J139" s="4"/>
      <c r="K139" s="4"/>
      <c r="L139" s="4"/>
      <c r="M139" s="4"/>
    </row>
    <row r="140" spans="4:13">
      <c r="D140" s="4"/>
      <c r="G140" s="4"/>
      <c r="H140" s="4"/>
      <c r="I140" s="4"/>
      <c r="J140" s="4"/>
      <c r="K140" s="4"/>
      <c r="L140" s="4"/>
      <c r="M140" s="4"/>
    </row>
    <row r="141" spans="4:13">
      <c r="D141" s="4"/>
      <c r="G141" s="4"/>
      <c r="H141" s="4"/>
      <c r="I141" s="4"/>
      <c r="J141" s="4"/>
      <c r="K141" s="4"/>
      <c r="L141" s="4"/>
      <c r="M141" s="4"/>
    </row>
    <row r="142" spans="4:13">
      <c r="D142" s="4"/>
      <c r="G142" s="4"/>
      <c r="H142" s="4"/>
      <c r="I142" s="4"/>
      <c r="J142" s="4"/>
      <c r="K142" s="4"/>
      <c r="L142" s="4"/>
      <c r="M142" s="4"/>
    </row>
    <row r="143" spans="4:13">
      <c r="D143" s="4"/>
      <c r="G143" s="4"/>
      <c r="H143" s="4"/>
      <c r="I143" s="4"/>
      <c r="J143" s="4"/>
      <c r="K143" s="4"/>
      <c r="L143" s="4"/>
      <c r="M143" s="4"/>
    </row>
    <row r="144" spans="4:13">
      <c r="D144" s="4"/>
      <c r="G144" s="4"/>
      <c r="H144" s="4"/>
      <c r="I144" s="4"/>
      <c r="J144" s="4"/>
      <c r="K144" s="4"/>
      <c r="L144" s="4"/>
      <c r="M144" s="4"/>
    </row>
    <row r="145" spans="4:13">
      <c r="D145" s="4"/>
      <c r="G145" s="4"/>
      <c r="H145" s="4"/>
      <c r="I145" s="4"/>
      <c r="J145" s="4"/>
      <c r="K145" s="4"/>
      <c r="L145" s="4"/>
      <c r="M145" s="4"/>
    </row>
    <row r="146" spans="4:13">
      <c r="D146" s="4"/>
      <c r="G146" s="4"/>
      <c r="H146" s="4"/>
      <c r="I146" s="4"/>
      <c r="J146" s="4"/>
      <c r="K146" s="4"/>
      <c r="L146" s="4"/>
      <c r="M146" s="4"/>
    </row>
    <row r="147" spans="4:13">
      <c r="D147" s="4"/>
      <c r="G147" s="4"/>
      <c r="H147" s="4"/>
      <c r="I147" s="4"/>
      <c r="J147" s="4"/>
      <c r="K147" s="4"/>
      <c r="L147" s="4"/>
      <c r="M147" s="4"/>
    </row>
    <row r="148" spans="4:13">
      <c r="D148" s="4"/>
      <c r="G148" s="4"/>
      <c r="H148" s="4"/>
      <c r="I148" s="4"/>
      <c r="J148" s="4"/>
      <c r="K148" s="4"/>
      <c r="L148" s="4"/>
      <c r="M148" s="4"/>
    </row>
    <row r="149" spans="4:13">
      <c r="D149" s="4"/>
      <c r="G149" s="4"/>
      <c r="H149" s="4"/>
      <c r="I149" s="4"/>
      <c r="J149" s="4"/>
      <c r="K149" s="4"/>
      <c r="L149" s="4"/>
      <c r="M149" s="4"/>
    </row>
    <row r="150" spans="4:13">
      <c r="D150" s="4"/>
      <c r="G150" s="4"/>
      <c r="H150" s="4"/>
      <c r="I150" s="4"/>
      <c r="J150" s="4"/>
      <c r="K150" s="4"/>
      <c r="L150" s="4"/>
      <c r="M150" s="4"/>
    </row>
    <row r="151" spans="4:13">
      <c r="D151" s="4"/>
      <c r="G151" s="4"/>
      <c r="H151" s="4"/>
      <c r="I151" s="4"/>
      <c r="J151" s="4"/>
      <c r="K151" s="4"/>
      <c r="L151" s="4"/>
      <c r="M151" s="4"/>
    </row>
    <row r="152" spans="4:13">
      <c r="D152" s="4"/>
      <c r="G152" s="4"/>
      <c r="H152" s="4"/>
      <c r="I152" s="4"/>
      <c r="J152" s="4"/>
      <c r="K152" s="4"/>
      <c r="L152" s="4"/>
      <c r="M152" s="4"/>
    </row>
    <row r="153" spans="4:13">
      <c r="D153" s="4"/>
      <c r="G153" s="4"/>
      <c r="H153" s="4"/>
      <c r="I153" s="4"/>
      <c r="J153" s="4"/>
      <c r="K153" s="4"/>
      <c r="L153" s="4"/>
      <c r="M153" s="4"/>
    </row>
    <row r="154" spans="4:13">
      <c r="D154" s="4"/>
      <c r="G154" s="4"/>
      <c r="H154" s="4"/>
      <c r="I154" s="4"/>
      <c r="J154" s="4"/>
      <c r="K154" s="4"/>
      <c r="L154" s="4"/>
      <c r="M154" s="4"/>
    </row>
    <row r="155" spans="4:13">
      <c r="D155" s="4"/>
      <c r="G155" s="4"/>
      <c r="H155" s="4"/>
      <c r="I155" s="4"/>
      <c r="J155" s="4"/>
      <c r="K155" s="4"/>
      <c r="L155" s="4"/>
      <c r="M155" s="4"/>
    </row>
    <row r="156" spans="4:13">
      <c r="D156" s="4"/>
      <c r="G156" s="4"/>
      <c r="H156" s="4"/>
      <c r="I156" s="4"/>
      <c r="J156" s="4"/>
      <c r="K156" s="4"/>
      <c r="L156" s="4"/>
      <c r="M156" s="4"/>
    </row>
    <row r="157" spans="4:13">
      <c r="D157" s="4"/>
      <c r="G157" s="4"/>
      <c r="H157" s="4"/>
      <c r="I157" s="4"/>
      <c r="J157" s="4"/>
      <c r="K157" s="4"/>
      <c r="L157" s="4"/>
      <c r="M157" s="4"/>
    </row>
    <row r="158" spans="4:13">
      <c r="D158" s="4"/>
      <c r="G158" s="4"/>
      <c r="H158" s="4"/>
      <c r="I158" s="4"/>
      <c r="J158" s="4"/>
      <c r="K158" s="4"/>
      <c r="L158" s="4"/>
      <c r="M158" s="4"/>
    </row>
    <row r="159" spans="4:13">
      <c r="D159" s="4"/>
      <c r="G159" s="4"/>
      <c r="H159" s="4"/>
      <c r="I159" s="4"/>
      <c r="J159" s="4"/>
      <c r="K159" s="4"/>
      <c r="L159" s="4"/>
      <c r="M159" s="4"/>
    </row>
    <row r="160" spans="4:13">
      <c r="D160" s="4"/>
      <c r="G160" s="4"/>
      <c r="H160" s="4"/>
      <c r="I160" s="4"/>
      <c r="J160" s="4"/>
      <c r="K160" s="4"/>
      <c r="L160" s="4"/>
      <c r="M160" s="4"/>
    </row>
    <row r="161" spans="4:13">
      <c r="D161" s="4"/>
      <c r="G161" s="4"/>
      <c r="H161" s="4"/>
      <c r="I161" s="4"/>
      <c r="J161" s="4"/>
      <c r="K161" s="4"/>
      <c r="L161" s="4"/>
      <c r="M161" s="4"/>
    </row>
    <row r="162" spans="4:13">
      <c r="D162" s="4"/>
      <c r="G162" s="4"/>
      <c r="H162" s="4"/>
      <c r="I162" s="4"/>
      <c r="J162" s="4"/>
      <c r="K162" s="4"/>
      <c r="L162" s="4"/>
      <c r="M162" s="4"/>
    </row>
    <row r="163" spans="4:13">
      <c r="D163" s="4"/>
      <c r="G163" s="4"/>
      <c r="H163" s="4"/>
      <c r="I163" s="4"/>
      <c r="J163" s="4"/>
      <c r="K163" s="4"/>
      <c r="L163" s="4"/>
      <c r="M163" s="4"/>
    </row>
    <row r="164" spans="4:13">
      <c r="D164" s="4"/>
      <c r="G164" s="4"/>
      <c r="H164" s="4"/>
      <c r="I164" s="4"/>
      <c r="J164" s="4"/>
      <c r="K164" s="4"/>
      <c r="L164" s="4"/>
      <c r="M164" s="4"/>
    </row>
    <row r="165" spans="4:13">
      <c r="D165" s="4"/>
      <c r="G165" s="4"/>
      <c r="H165" s="4"/>
      <c r="I165" s="4"/>
      <c r="J165" s="4"/>
      <c r="K165" s="4"/>
      <c r="L165" s="4"/>
      <c r="M165" s="4"/>
    </row>
    <row r="166" spans="4:13">
      <c r="D166" s="4"/>
      <c r="G166" s="4"/>
      <c r="H166" s="4"/>
      <c r="I166" s="4"/>
      <c r="J166" s="4"/>
      <c r="K166" s="4"/>
      <c r="L166" s="4"/>
      <c r="M166" s="4"/>
    </row>
    <row r="167" spans="4:13">
      <c r="D167" s="4"/>
      <c r="G167" s="4"/>
      <c r="H167" s="4"/>
      <c r="I167" s="4"/>
      <c r="J167" s="4"/>
      <c r="K167" s="4"/>
      <c r="L167" s="4"/>
      <c r="M167" s="4"/>
    </row>
    <row r="168" spans="4:13">
      <c r="D168" s="4"/>
      <c r="G168" s="4"/>
      <c r="H168" s="4"/>
      <c r="I168" s="4"/>
      <c r="J168" s="4"/>
      <c r="K168" s="4"/>
      <c r="L168" s="4"/>
      <c r="M168" s="4"/>
    </row>
    <row r="169" spans="4:13">
      <c r="D169" s="4"/>
      <c r="G169" s="4"/>
      <c r="H169" s="4"/>
      <c r="I169" s="4"/>
      <c r="J169" s="4"/>
      <c r="K169" s="4"/>
      <c r="L169" s="4"/>
      <c r="M169" s="4"/>
    </row>
    <row r="170" spans="4:13">
      <c r="D170" s="4"/>
      <c r="G170" s="4"/>
      <c r="H170" s="4"/>
      <c r="I170" s="4"/>
      <c r="J170" s="4"/>
      <c r="K170" s="4"/>
      <c r="L170" s="4"/>
      <c r="M170" s="4"/>
    </row>
    <row r="171" spans="4:13">
      <c r="D171" s="4"/>
      <c r="G171" s="4"/>
      <c r="H171" s="4"/>
      <c r="I171" s="4"/>
      <c r="J171" s="4"/>
      <c r="K171" s="4"/>
      <c r="L171" s="4"/>
      <c r="M171" s="4"/>
    </row>
    <row r="172" spans="4:13">
      <c r="D172" s="4"/>
      <c r="G172" s="4"/>
      <c r="H172" s="4"/>
      <c r="I172" s="4"/>
      <c r="J172" s="4"/>
      <c r="K172" s="4"/>
      <c r="L172" s="4"/>
      <c r="M172" s="4"/>
    </row>
    <row r="173" spans="4:13">
      <c r="D173" s="4"/>
      <c r="G173" s="4"/>
      <c r="H173" s="4"/>
      <c r="I173" s="4"/>
      <c r="J173" s="4"/>
      <c r="K173" s="4"/>
      <c r="L173" s="4"/>
      <c r="M173" s="4"/>
    </row>
    <row r="174" spans="4:13">
      <c r="D174" s="4"/>
      <c r="G174" s="4"/>
      <c r="H174" s="4"/>
      <c r="I174" s="4"/>
      <c r="J174" s="4"/>
      <c r="K174" s="4"/>
      <c r="L174" s="4"/>
      <c r="M174" s="4"/>
    </row>
    <row r="175" spans="4:13">
      <c r="D175" s="4"/>
      <c r="G175" s="4"/>
      <c r="H175" s="4"/>
      <c r="I175" s="4"/>
      <c r="J175" s="4"/>
      <c r="K175" s="4"/>
      <c r="L175" s="4"/>
      <c r="M175" s="4"/>
    </row>
    <row r="176" spans="4:13">
      <c r="D176" s="4"/>
      <c r="G176" s="4"/>
      <c r="H176" s="4"/>
      <c r="I176" s="4"/>
      <c r="J176" s="4"/>
      <c r="K176" s="4"/>
      <c r="L176" s="4"/>
      <c r="M176" s="4"/>
    </row>
    <row r="177" spans="4:13">
      <c r="D177" s="4"/>
      <c r="G177" s="4"/>
      <c r="H177" s="4"/>
      <c r="I177" s="4"/>
      <c r="J177" s="4"/>
      <c r="K177" s="4"/>
      <c r="L177" s="4"/>
      <c r="M177" s="4"/>
    </row>
    <row r="178" spans="4:13">
      <c r="D178" s="4"/>
      <c r="G178" s="4"/>
      <c r="H178" s="4"/>
      <c r="I178" s="4"/>
      <c r="J178" s="4"/>
      <c r="K178" s="4"/>
      <c r="L178" s="4"/>
      <c r="M178" s="4"/>
    </row>
    <row r="179" spans="4:13">
      <c r="D179" s="4"/>
      <c r="G179" s="4"/>
      <c r="H179" s="4"/>
      <c r="I179" s="4"/>
      <c r="J179" s="4"/>
      <c r="K179" s="4"/>
      <c r="L179" s="4"/>
      <c r="M179" s="4"/>
    </row>
    <row r="180" spans="4:13">
      <c r="D180" s="4"/>
      <c r="G180" s="4"/>
      <c r="H180" s="4"/>
      <c r="I180" s="4"/>
      <c r="J180" s="4"/>
      <c r="K180" s="4"/>
      <c r="L180" s="4"/>
      <c r="M180" s="4"/>
    </row>
    <row r="181" spans="4:13">
      <c r="D181" s="4"/>
      <c r="G181" s="4"/>
      <c r="H181" s="4"/>
      <c r="I181" s="4"/>
      <c r="J181" s="4"/>
      <c r="K181" s="4"/>
      <c r="L181" s="4"/>
      <c r="M181" s="4"/>
    </row>
    <row r="182" spans="4:13">
      <c r="D182" s="4"/>
      <c r="G182" s="4"/>
      <c r="H182" s="4"/>
      <c r="I182" s="4"/>
      <c r="J182" s="4"/>
      <c r="K182" s="4"/>
      <c r="L182" s="4"/>
      <c r="M182" s="4"/>
    </row>
    <row r="183" spans="4:13">
      <c r="D183" s="4"/>
      <c r="G183" s="4"/>
      <c r="H183" s="4"/>
      <c r="I183" s="4"/>
      <c r="J183" s="4"/>
      <c r="K183" s="4"/>
      <c r="L183" s="4"/>
      <c r="M183" s="4"/>
    </row>
    <row r="184" spans="4:13">
      <c r="D184" s="4"/>
      <c r="G184" s="4"/>
      <c r="H184" s="4"/>
      <c r="I184" s="4"/>
      <c r="J184" s="4"/>
      <c r="K184" s="4"/>
      <c r="L184" s="4"/>
      <c r="M184" s="4"/>
    </row>
    <row r="185" spans="4:13">
      <c r="D185" s="4"/>
      <c r="G185" s="4"/>
      <c r="H185" s="4"/>
      <c r="I185" s="4"/>
      <c r="J185" s="4"/>
      <c r="K185" s="4"/>
      <c r="L185" s="4"/>
      <c r="M185" s="4"/>
    </row>
    <row r="186" spans="4:13">
      <c r="D186" s="4"/>
      <c r="G186" s="4"/>
      <c r="H186" s="4"/>
      <c r="I186" s="4"/>
      <c r="J186" s="4"/>
      <c r="K186" s="4"/>
      <c r="L186" s="4"/>
      <c r="M186" s="4"/>
    </row>
    <row r="187" spans="4:13">
      <c r="D187" s="4"/>
      <c r="G187" s="4"/>
      <c r="H187" s="4"/>
      <c r="I187" s="4"/>
      <c r="J187" s="4"/>
      <c r="K187" s="4"/>
      <c r="L187" s="4"/>
      <c r="M187" s="4"/>
    </row>
    <row r="188" spans="4:13">
      <c r="D188" s="4"/>
      <c r="G188" s="4"/>
      <c r="H188" s="4"/>
      <c r="I188" s="4"/>
      <c r="J188" s="4"/>
      <c r="K188" s="4"/>
      <c r="L188" s="4"/>
      <c r="M188" s="4"/>
    </row>
    <row r="189" spans="4:13">
      <c r="D189" s="4"/>
      <c r="G189" s="4"/>
      <c r="H189" s="4"/>
      <c r="I189" s="4"/>
      <c r="J189" s="4"/>
      <c r="K189" s="4"/>
      <c r="L189" s="4"/>
      <c r="M189" s="4"/>
    </row>
    <row r="190" spans="4:13">
      <c r="D190" s="4"/>
      <c r="G190" s="4"/>
      <c r="H190" s="4"/>
      <c r="I190" s="4"/>
      <c r="J190" s="4"/>
      <c r="K190" s="4"/>
      <c r="L190" s="4"/>
      <c r="M190" s="4"/>
    </row>
    <row r="191" spans="4:13">
      <c r="D191" s="4"/>
      <c r="G191" s="4"/>
      <c r="H191" s="4"/>
      <c r="I191" s="4"/>
      <c r="J191" s="4"/>
      <c r="K191" s="4"/>
      <c r="L191" s="4"/>
      <c r="M191" s="4"/>
    </row>
    <row r="192" spans="4:13">
      <c r="D192" s="4"/>
      <c r="G192" s="4"/>
      <c r="H192" s="4"/>
      <c r="I192" s="4"/>
      <c r="J192" s="4"/>
      <c r="K192" s="4"/>
      <c r="L192" s="4"/>
      <c r="M192" s="4"/>
    </row>
    <row r="193" spans="4:13">
      <c r="D193" s="4"/>
      <c r="G193" s="4"/>
      <c r="H193" s="4"/>
      <c r="I193" s="4"/>
      <c r="J193" s="4"/>
      <c r="K193" s="4"/>
      <c r="L193" s="4"/>
      <c r="M193" s="4"/>
    </row>
    <row r="194" spans="4:13">
      <c r="D194" s="4"/>
      <c r="G194" s="4"/>
      <c r="H194" s="4"/>
      <c r="I194" s="4"/>
      <c r="J194" s="4"/>
      <c r="K194" s="4"/>
      <c r="L194" s="4"/>
      <c r="M194" s="4"/>
    </row>
    <row r="195" spans="4:13">
      <c r="D195" s="4"/>
      <c r="G195" s="4"/>
      <c r="H195" s="4"/>
      <c r="I195" s="4"/>
      <c r="J195" s="4"/>
      <c r="K195" s="4"/>
      <c r="L195" s="4"/>
      <c r="M195" s="4"/>
    </row>
    <row r="196" spans="4:13">
      <c r="D196" s="4"/>
      <c r="G196" s="4"/>
      <c r="H196" s="4"/>
      <c r="I196" s="4"/>
      <c r="J196" s="4"/>
      <c r="K196" s="4"/>
      <c r="L196" s="4"/>
      <c r="M196" s="4"/>
    </row>
    <row r="197" spans="4:13">
      <c r="D197" s="4"/>
      <c r="G197" s="4"/>
      <c r="H197" s="4"/>
      <c r="I197" s="4"/>
      <c r="J197" s="4"/>
      <c r="K197" s="4"/>
      <c r="L197" s="4"/>
      <c r="M197" s="4"/>
    </row>
    <row r="198" spans="4:13">
      <c r="D198" s="4"/>
      <c r="G198" s="4"/>
      <c r="H198" s="4"/>
      <c r="I198" s="4"/>
      <c r="J198" s="4"/>
      <c r="K198" s="4"/>
      <c r="L198" s="4"/>
      <c r="M198" s="4"/>
    </row>
    <row r="199" spans="4:13">
      <c r="D199" s="4"/>
      <c r="G199" s="4"/>
      <c r="H199" s="4"/>
      <c r="I199" s="4"/>
      <c r="J199" s="4"/>
      <c r="K199" s="4"/>
      <c r="L199" s="4"/>
      <c r="M199" s="4"/>
    </row>
    <row r="200" spans="4:13">
      <c r="D200" s="4"/>
      <c r="G200" s="4"/>
      <c r="H200" s="4"/>
      <c r="I200" s="4"/>
      <c r="J200" s="4"/>
      <c r="K200" s="4"/>
      <c r="L200" s="4"/>
      <c r="M200" s="4"/>
    </row>
    <row r="201" spans="4:13">
      <c r="D201" s="4"/>
      <c r="G201" s="4"/>
      <c r="H201" s="4"/>
      <c r="I201" s="4"/>
      <c r="J201" s="4"/>
      <c r="K201" s="4"/>
      <c r="L201" s="4"/>
      <c r="M201" s="4"/>
    </row>
    <row r="202" spans="4:13">
      <c r="D202" s="4"/>
      <c r="G202" s="4"/>
      <c r="H202" s="4"/>
      <c r="I202" s="4"/>
      <c r="J202" s="4"/>
      <c r="K202" s="4"/>
      <c r="L202" s="4"/>
      <c r="M202" s="4"/>
    </row>
    <row r="203" spans="4:13">
      <c r="D203" s="4"/>
      <c r="G203" s="4"/>
      <c r="H203" s="4"/>
      <c r="I203" s="4"/>
      <c r="J203" s="4"/>
      <c r="K203" s="4"/>
      <c r="L203" s="4"/>
      <c r="M203" s="4"/>
    </row>
    <row r="204" spans="4:13">
      <c r="D204" s="4"/>
      <c r="G204" s="4"/>
      <c r="H204" s="4"/>
      <c r="I204" s="4"/>
      <c r="J204" s="4"/>
      <c r="K204" s="4"/>
      <c r="L204" s="4"/>
      <c r="M204" s="4"/>
    </row>
    <row r="205" spans="4:13">
      <c r="D205" s="4"/>
      <c r="G205" s="4"/>
      <c r="H205" s="4"/>
      <c r="I205" s="4"/>
      <c r="J205" s="4"/>
      <c r="K205" s="4"/>
      <c r="L205" s="4"/>
      <c r="M205" s="4"/>
    </row>
    <row r="206" spans="4:13">
      <c r="D206" s="4"/>
      <c r="G206" s="4"/>
      <c r="H206" s="4"/>
      <c r="I206" s="4"/>
      <c r="J206" s="4"/>
      <c r="K206" s="4"/>
      <c r="L206" s="4"/>
      <c r="M206" s="4"/>
    </row>
    <row r="207" spans="4:13">
      <c r="D207" s="4"/>
      <c r="G207" s="4"/>
      <c r="H207" s="4"/>
      <c r="I207" s="4"/>
      <c r="J207" s="4"/>
      <c r="K207" s="4"/>
      <c r="L207" s="4"/>
      <c r="M207" s="4"/>
    </row>
    <row r="208" spans="4:13">
      <c r="D208" s="4"/>
      <c r="G208" s="4"/>
      <c r="H208" s="4"/>
      <c r="I208" s="4"/>
      <c r="J208" s="4"/>
      <c r="K208" s="4"/>
      <c r="L208" s="4"/>
      <c r="M208" s="4"/>
    </row>
    <row r="209" spans="4:13">
      <c r="D209" s="4"/>
      <c r="G209" s="4"/>
      <c r="H209" s="4"/>
      <c r="I209" s="4"/>
      <c r="J209" s="4"/>
      <c r="K209" s="4"/>
      <c r="L209" s="4"/>
      <c r="M209" s="4"/>
    </row>
    <row r="210" spans="4:13">
      <c r="D210" s="4"/>
      <c r="G210" s="4"/>
      <c r="H210" s="4"/>
      <c r="I210" s="4"/>
      <c r="J210" s="4"/>
      <c r="K210" s="4"/>
      <c r="L210" s="4"/>
      <c r="M210" s="4"/>
    </row>
    <row r="211" spans="4:13">
      <c r="D211" s="4"/>
      <c r="G211" s="4"/>
      <c r="H211" s="4"/>
      <c r="I211" s="4"/>
      <c r="J211" s="4"/>
      <c r="K211" s="4"/>
      <c r="L211" s="4"/>
      <c r="M211" s="4"/>
    </row>
    <row r="212" spans="4:13">
      <c r="D212" s="4"/>
      <c r="G212" s="4"/>
      <c r="H212" s="4"/>
      <c r="I212" s="4"/>
      <c r="J212" s="4"/>
      <c r="K212" s="4"/>
      <c r="L212" s="4"/>
      <c r="M212" s="4"/>
    </row>
    <row r="213" spans="4:13">
      <c r="D213" s="4"/>
      <c r="G213" s="4"/>
      <c r="H213" s="4"/>
      <c r="I213" s="4"/>
      <c r="J213" s="4"/>
      <c r="K213" s="4"/>
      <c r="L213" s="4"/>
      <c r="M213" s="4"/>
    </row>
    <row r="214" spans="4:13">
      <c r="D214" s="4"/>
      <c r="G214" s="4"/>
      <c r="H214" s="4"/>
      <c r="I214" s="4"/>
      <c r="J214" s="4"/>
      <c r="K214" s="4"/>
      <c r="L214" s="4"/>
      <c r="M214" s="4"/>
    </row>
    <row r="215" spans="4:13">
      <c r="D215" s="4"/>
      <c r="G215" s="4"/>
      <c r="H215" s="4"/>
      <c r="I215" s="4"/>
      <c r="J215" s="4"/>
      <c r="K215" s="4"/>
      <c r="L215" s="4"/>
      <c r="M215" s="4"/>
    </row>
    <row r="216" spans="4:13">
      <c r="D216" s="4"/>
      <c r="G216" s="4"/>
      <c r="H216" s="4"/>
      <c r="I216" s="4"/>
      <c r="J216" s="4"/>
      <c r="K216" s="4"/>
      <c r="L216" s="4"/>
      <c r="M216" s="4"/>
    </row>
    <row r="217" spans="4:13">
      <c r="D217" s="4"/>
      <c r="G217" s="4"/>
      <c r="H217" s="4"/>
      <c r="I217" s="4"/>
      <c r="J217" s="4"/>
      <c r="K217" s="4"/>
      <c r="L217" s="4"/>
      <c r="M217" s="4"/>
    </row>
    <row r="218" spans="4:13">
      <c r="D218" s="4"/>
      <c r="G218" s="4"/>
      <c r="H218" s="4"/>
      <c r="I218" s="4"/>
      <c r="J218" s="4"/>
      <c r="K218" s="4"/>
      <c r="L218" s="4"/>
      <c r="M218" s="4"/>
    </row>
    <row r="219" spans="4:13">
      <c r="D219" s="4"/>
      <c r="G219" s="4"/>
      <c r="H219" s="4"/>
      <c r="I219" s="4"/>
      <c r="J219" s="4"/>
      <c r="K219" s="4"/>
      <c r="L219" s="4"/>
      <c r="M219" s="4"/>
    </row>
    <row r="220" spans="4:13">
      <c r="D220" s="4"/>
      <c r="G220" s="4"/>
      <c r="H220" s="4"/>
      <c r="I220" s="4"/>
      <c r="J220" s="4"/>
      <c r="K220" s="4"/>
      <c r="L220" s="4"/>
      <c r="M220" s="4"/>
    </row>
    <row r="221" spans="4:13">
      <c r="D221" s="4"/>
      <c r="G221" s="4"/>
      <c r="H221" s="4"/>
      <c r="I221" s="4"/>
      <c r="J221" s="4"/>
      <c r="K221" s="4"/>
      <c r="L221" s="4"/>
      <c r="M221" s="4"/>
    </row>
    <row r="222" spans="4:13">
      <c r="D222" s="4"/>
      <c r="G222" s="4"/>
      <c r="H222" s="4"/>
      <c r="I222" s="4"/>
      <c r="J222" s="4"/>
      <c r="K222" s="4"/>
      <c r="L222" s="4"/>
      <c r="M222" s="4"/>
    </row>
    <row r="223" spans="4:13">
      <c r="D223" s="4"/>
      <c r="G223" s="4"/>
      <c r="H223" s="4"/>
      <c r="I223" s="4"/>
      <c r="J223" s="4"/>
      <c r="K223" s="4"/>
      <c r="L223" s="4"/>
      <c r="M223" s="4"/>
    </row>
    <row r="224" spans="4:13">
      <c r="D224" s="4"/>
      <c r="G224" s="4"/>
      <c r="H224" s="4"/>
      <c r="I224" s="4"/>
      <c r="J224" s="4"/>
      <c r="K224" s="4"/>
      <c r="L224" s="4"/>
      <c r="M224" s="4"/>
    </row>
    <row r="225" spans="4:13">
      <c r="D225" s="4"/>
      <c r="G225" s="4"/>
      <c r="H225" s="4"/>
      <c r="I225" s="4"/>
      <c r="J225" s="4"/>
      <c r="K225" s="4"/>
      <c r="L225" s="4"/>
      <c r="M225" s="4"/>
    </row>
    <row r="226" spans="4:13">
      <c r="D226" s="4"/>
      <c r="G226" s="4"/>
      <c r="H226" s="4"/>
      <c r="I226" s="4"/>
      <c r="J226" s="4"/>
      <c r="K226" s="4"/>
      <c r="L226" s="4"/>
      <c r="M226" s="4"/>
    </row>
    <row r="227" spans="4:13">
      <c r="D227" s="4"/>
      <c r="G227" s="4"/>
      <c r="H227" s="4"/>
      <c r="I227" s="4"/>
      <c r="J227" s="4"/>
      <c r="K227" s="4"/>
      <c r="L227" s="4"/>
      <c r="M227" s="4"/>
    </row>
    <row r="228" spans="4:13">
      <c r="D228" s="4"/>
      <c r="G228" s="4"/>
      <c r="H228" s="4"/>
      <c r="I228" s="4"/>
      <c r="J228" s="4"/>
      <c r="K228" s="4"/>
      <c r="L228" s="4"/>
      <c r="M228" s="4"/>
    </row>
    <row r="229" spans="4:13">
      <c r="D229" s="4"/>
      <c r="G229" s="4"/>
      <c r="H229" s="4"/>
      <c r="I229" s="4"/>
      <c r="J229" s="4"/>
      <c r="K229" s="4"/>
      <c r="L229" s="4"/>
      <c r="M229" s="4"/>
    </row>
    <row r="230" spans="4:13">
      <c r="D230" s="4"/>
      <c r="G230" s="4"/>
      <c r="H230" s="4"/>
      <c r="I230" s="4"/>
      <c r="J230" s="4"/>
      <c r="K230" s="4"/>
      <c r="L230" s="4"/>
      <c r="M230" s="4"/>
    </row>
    <row r="231" spans="4:13">
      <c r="D231" s="4"/>
      <c r="G231" s="4"/>
      <c r="H231" s="4"/>
      <c r="I231" s="4"/>
      <c r="J231" s="4"/>
      <c r="K231" s="4"/>
      <c r="L231" s="4"/>
      <c r="M231" s="4"/>
    </row>
    <row r="232" spans="4:13">
      <c r="D232" s="4"/>
      <c r="G232" s="4"/>
      <c r="H232" s="4"/>
      <c r="I232" s="4"/>
      <c r="J232" s="4"/>
      <c r="K232" s="4"/>
      <c r="L232" s="4"/>
      <c r="M232" s="4"/>
    </row>
    <row r="233" spans="4:13">
      <c r="D233" s="4"/>
      <c r="G233" s="4"/>
      <c r="H233" s="4"/>
      <c r="I233" s="4"/>
      <c r="J233" s="4"/>
      <c r="K233" s="4"/>
      <c r="L233" s="4"/>
      <c r="M233" s="4"/>
    </row>
    <row r="234" spans="4:13">
      <c r="D234" s="4"/>
      <c r="G234" s="4"/>
      <c r="H234" s="4"/>
      <c r="I234" s="4"/>
      <c r="J234" s="4"/>
      <c r="K234" s="4"/>
      <c r="L234" s="4"/>
      <c r="M234" s="4"/>
    </row>
    <row r="235" spans="4:13">
      <c r="D235" s="4"/>
      <c r="G235" s="4"/>
      <c r="H235" s="4"/>
      <c r="I235" s="4"/>
      <c r="J235" s="4"/>
      <c r="K235" s="4"/>
      <c r="L235" s="4"/>
      <c r="M235" s="4"/>
    </row>
    <row r="236" spans="4:13">
      <c r="D236" s="4"/>
      <c r="G236" s="4"/>
      <c r="H236" s="4"/>
      <c r="I236" s="4"/>
      <c r="J236" s="4"/>
      <c r="K236" s="4"/>
      <c r="L236" s="4"/>
      <c r="M236" s="4"/>
    </row>
    <row r="237" spans="4:13">
      <c r="D237" s="4"/>
      <c r="G237" s="4"/>
      <c r="H237" s="4"/>
      <c r="I237" s="4"/>
      <c r="J237" s="4"/>
      <c r="K237" s="4"/>
      <c r="L237" s="4"/>
      <c r="M237" s="4"/>
    </row>
    <row r="238" spans="4:13">
      <c r="D238" s="4"/>
      <c r="G238" s="4"/>
      <c r="H238" s="4"/>
      <c r="I238" s="4"/>
      <c r="J238" s="4"/>
      <c r="K238" s="4"/>
      <c r="L238" s="4"/>
      <c r="M238" s="4"/>
    </row>
    <row r="239" spans="4:13">
      <c r="D239" s="4"/>
      <c r="G239" s="4"/>
      <c r="H239" s="4"/>
      <c r="I239" s="4"/>
      <c r="J239" s="4"/>
      <c r="K239" s="4"/>
      <c r="L239" s="4"/>
      <c r="M239" s="4"/>
    </row>
    <row r="240" spans="4:13">
      <c r="D240" s="4"/>
      <c r="G240" s="4"/>
      <c r="H240" s="4"/>
      <c r="I240" s="4"/>
      <c r="J240" s="4"/>
      <c r="K240" s="4"/>
      <c r="L240" s="4"/>
      <c r="M240" s="4"/>
    </row>
    <row r="241" spans="4:13">
      <c r="D241" s="4"/>
      <c r="G241" s="4"/>
      <c r="H241" s="4"/>
      <c r="I241" s="4"/>
      <c r="J241" s="4"/>
      <c r="K241" s="4"/>
      <c r="L241" s="4"/>
      <c r="M241" s="4"/>
    </row>
    <row r="242" spans="4:13">
      <c r="D242" s="4"/>
      <c r="G242" s="4"/>
      <c r="H242" s="4"/>
      <c r="I242" s="4"/>
      <c r="J242" s="4"/>
      <c r="K242" s="4"/>
      <c r="L242" s="4"/>
      <c r="M242" s="4"/>
    </row>
    <row r="243" spans="4:13">
      <c r="D243" s="4"/>
      <c r="G243" s="4"/>
      <c r="H243" s="4"/>
      <c r="I243" s="4"/>
      <c r="J243" s="4"/>
      <c r="K243" s="4"/>
      <c r="L243" s="4"/>
      <c r="M243" s="4"/>
    </row>
    <row r="244" spans="4:13">
      <c r="D244" s="4"/>
      <c r="G244" s="4"/>
      <c r="H244" s="4"/>
      <c r="I244" s="4"/>
      <c r="J244" s="4"/>
      <c r="K244" s="4"/>
      <c r="L244" s="4"/>
      <c r="M244" s="4"/>
    </row>
    <row r="245" spans="4:13">
      <c r="D245" s="4"/>
      <c r="G245" s="4"/>
      <c r="H245" s="4"/>
      <c r="I245" s="4"/>
      <c r="J245" s="4"/>
      <c r="K245" s="4"/>
      <c r="L245" s="4"/>
      <c r="M245" s="4"/>
    </row>
    <row r="246" spans="4:13">
      <c r="D246" s="4"/>
      <c r="G246" s="4"/>
      <c r="H246" s="4"/>
      <c r="I246" s="4"/>
      <c r="J246" s="4"/>
      <c r="K246" s="4"/>
      <c r="L246" s="4"/>
      <c r="M246" s="4"/>
    </row>
    <row r="247" spans="4:13">
      <c r="D247" s="4"/>
      <c r="G247" s="4"/>
      <c r="H247" s="4"/>
      <c r="I247" s="4"/>
      <c r="J247" s="4"/>
      <c r="K247" s="4"/>
      <c r="L247" s="4"/>
      <c r="M247" s="4"/>
    </row>
    <row r="248" spans="4:13">
      <c r="D248" s="4"/>
      <c r="G248" s="4"/>
      <c r="H248" s="4"/>
      <c r="I248" s="4"/>
      <c r="J248" s="4"/>
      <c r="K248" s="4"/>
      <c r="L248" s="4"/>
      <c r="M248" s="4"/>
    </row>
    <row r="249" spans="4:13">
      <c r="D249" s="4"/>
      <c r="G249" s="4"/>
      <c r="H249" s="4"/>
      <c r="I249" s="4"/>
      <c r="J249" s="4"/>
      <c r="K249" s="4"/>
      <c r="L249" s="4"/>
      <c r="M249" s="4"/>
    </row>
    <row r="250" spans="4:13">
      <c r="D250" s="4"/>
      <c r="G250" s="4"/>
      <c r="H250" s="4"/>
      <c r="I250" s="4"/>
      <c r="J250" s="4"/>
      <c r="K250" s="4"/>
      <c r="L250" s="4"/>
      <c r="M250" s="4"/>
    </row>
    <row r="251" spans="4:13">
      <c r="D251" s="4"/>
      <c r="G251" s="4"/>
      <c r="H251" s="4"/>
      <c r="I251" s="4"/>
      <c r="J251" s="4"/>
      <c r="K251" s="4"/>
      <c r="L251" s="4"/>
      <c r="M251" s="4"/>
    </row>
    <row r="252" spans="4:13">
      <c r="D252" s="4"/>
      <c r="G252" s="4"/>
      <c r="H252" s="4"/>
      <c r="I252" s="4"/>
      <c r="J252" s="4"/>
      <c r="K252" s="4"/>
      <c r="L252" s="4"/>
      <c r="M252" s="4"/>
    </row>
    <row r="253" spans="4:13">
      <c r="D253" s="4"/>
      <c r="G253" s="4"/>
      <c r="H253" s="4"/>
      <c r="I253" s="4"/>
      <c r="J253" s="4"/>
      <c r="K253" s="4"/>
      <c r="L253" s="4"/>
      <c r="M253" s="4"/>
    </row>
    <row r="254" spans="4:13">
      <c r="D254" s="4"/>
      <c r="G254" s="4"/>
      <c r="H254" s="4"/>
      <c r="I254" s="4"/>
      <c r="J254" s="4"/>
      <c r="K254" s="4"/>
      <c r="L254" s="4"/>
      <c r="M254" s="4"/>
    </row>
    <row r="255" spans="4:13">
      <c r="D255" s="4"/>
      <c r="G255" s="4"/>
      <c r="H255" s="4"/>
      <c r="I255" s="4"/>
      <c r="J255" s="4"/>
      <c r="K255" s="4"/>
      <c r="L255" s="4"/>
      <c r="M255" s="4"/>
    </row>
    <row r="256" spans="4:13">
      <c r="D256" s="4"/>
      <c r="G256" s="4"/>
      <c r="H256" s="4"/>
      <c r="I256" s="4"/>
      <c r="J256" s="4"/>
      <c r="K256" s="4"/>
      <c r="L256" s="4"/>
      <c r="M256" s="4"/>
    </row>
    <row r="257" spans="4:13">
      <c r="D257" s="4"/>
      <c r="G257" s="4"/>
      <c r="H257" s="4"/>
      <c r="I257" s="4"/>
      <c r="J257" s="4"/>
      <c r="K257" s="4"/>
      <c r="L257" s="4"/>
      <c r="M257" s="4"/>
    </row>
    <row r="258" spans="4:13">
      <c r="D258" s="4"/>
      <c r="G258" s="4"/>
      <c r="H258" s="4"/>
      <c r="I258" s="4"/>
      <c r="J258" s="4"/>
      <c r="K258" s="4"/>
      <c r="L258" s="4"/>
      <c r="M258" s="4"/>
    </row>
    <row r="259" spans="4:13">
      <c r="D259" s="4"/>
      <c r="G259" s="4"/>
      <c r="H259" s="4"/>
      <c r="I259" s="4"/>
      <c r="J259" s="4"/>
      <c r="K259" s="4"/>
      <c r="L259" s="4"/>
      <c r="M259" s="4"/>
    </row>
    <row r="260" spans="4:13">
      <c r="D260" s="4"/>
      <c r="G260" s="4"/>
      <c r="H260" s="4"/>
      <c r="I260" s="4"/>
      <c r="J260" s="4"/>
      <c r="K260" s="4"/>
      <c r="L260" s="4"/>
      <c r="M260" s="4"/>
    </row>
    <row r="261" spans="4:13">
      <c r="D261" s="4"/>
      <c r="G261" s="4"/>
      <c r="H261" s="4"/>
      <c r="I261" s="4"/>
      <c r="J261" s="4"/>
      <c r="K261" s="4"/>
      <c r="L261" s="4"/>
      <c r="M261" s="4"/>
    </row>
    <row r="262" spans="4:13">
      <c r="D262" s="4"/>
      <c r="G262" s="4"/>
      <c r="H262" s="4"/>
      <c r="I262" s="4"/>
      <c r="J262" s="4"/>
      <c r="K262" s="4"/>
      <c r="L262" s="4"/>
      <c r="M262" s="4"/>
    </row>
    <row r="263" spans="4:13">
      <c r="D263" s="4"/>
      <c r="G263" s="4"/>
      <c r="H263" s="4"/>
      <c r="I263" s="4"/>
      <c r="J263" s="4"/>
      <c r="K263" s="4"/>
      <c r="L263" s="4"/>
      <c r="M263" s="4"/>
    </row>
    <row r="264" spans="4:13">
      <c r="D264" s="4"/>
      <c r="G264" s="4"/>
      <c r="H264" s="4"/>
      <c r="I264" s="4"/>
      <c r="J264" s="4"/>
      <c r="K264" s="4"/>
      <c r="L264" s="4"/>
      <c r="M264" s="4"/>
    </row>
    <row r="265" spans="4:13">
      <c r="D265" s="4"/>
      <c r="G265" s="4"/>
      <c r="H265" s="4"/>
      <c r="I265" s="4"/>
      <c r="J265" s="4"/>
      <c r="K265" s="4"/>
      <c r="L265" s="4"/>
      <c r="M265" s="4"/>
    </row>
    <row r="266" spans="4:13">
      <c r="D266" s="4"/>
      <c r="G266" s="4"/>
      <c r="H266" s="4"/>
      <c r="I266" s="4"/>
      <c r="J266" s="4"/>
      <c r="K266" s="4"/>
      <c r="L266" s="4"/>
      <c r="M266" s="4"/>
    </row>
    <row r="267" spans="4:13">
      <c r="D267" s="4"/>
      <c r="G267" s="4"/>
      <c r="H267" s="4"/>
      <c r="I267" s="4"/>
      <c r="J267" s="4"/>
      <c r="K267" s="4"/>
      <c r="L267" s="4"/>
      <c r="M267" s="4"/>
    </row>
    <row r="268" spans="4:13">
      <c r="D268" s="4"/>
      <c r="G268" s="4"/>
      <c r="H268" s="4"/>
      <c r="I268" s="4"/>
      <c r="J268" s="4"/>
      <c r="K268" s="4"/>
      <c r="L268" s="4"/>
      <c r="M268" s="4"/>
    </row>
    <row r="269" spans="4:13">
      <c r="D269" s="4"/>
      <c r="G269" s="4"/>
      <c r="H269" s="4"/>
      <c r="I269" s="4"/>
      <c r="J269" s="4"/>
      <c r="K269" s="4"/>
      <c r="L269" s="4"/>
      <c r="M269" s="4"/>
    </row>
    <row r="270" spans="4:13">
      <c r="D270" s="4"/>
      <c r="G270" s="4"/>
      <c r="H270" s="4"/>
      <c r="I270" s="4"/>
      <c r="J270" s="4"/>
      <c r="K270" s="4"/>
      <c r="L270" s="4"/>
      <c r="M270" s="4"/>
    </row>
    <row r="271" spans="4:13">
      <c r="D271" s="4"/>
      <c r="G271" s="4"/>
      <c r="H271" s="4"/>
      <c r="I271" s="4"/>
      <c r="J271" s="4"/>
      <c r="K271" s="4"/>
      <c r="L271" s="4"/>
      <c r="M271" s="4"/>
    </row>
    <row r="272" spans="4:13">
      <c r="D272" s="4"/>
      <c r="G272" s="4"/>
      <c r="H272" s="4"/>
      <c r="I272" s="4"/>
      <c r="J272" s="4"/>
      <c r="K272" s="4"/>
      <c r="L272" s="4"/>
      <c r="M272" s="4"/>
    </row>
    <row r="273" spans="4:13">
      <c r="D273" s="4"/>
      <c r="G273" s="4"/>
      <c r="H273" s="4"/>
      <c r="I273" s="4"/>
      <c r="J273" s="4"/>
      <c r="K273" s="4"/>
      <c r="L273" s="4"/>
      <c r="M273" s="4"/>
    </row>
    <row r="274" spans="4:13">
      <c r="D274" s="4"/>
      <c r="G274" s="4"/>
      <c r="H274" s="4"/>
      <c r="I274" s="4"/>
      <c r="J274" s="4"/>
      <c r="K274" s="4"/>
      <c r="L274" s="4"/>
      <c r="M274" s="4"/>
    </row>
    <row r="275" spans="4:13">
      <c r="D275" s="4"/>
      <c r="G275" s="4"/>
      <c r="H275" s="4"/>
      <c r="I275" s="4"/>
      <c r="J275" s="4"/>
      <c r="K275" s="4"/>
      <c r="L275" s="4"/>
      <c r="M275" s="4"/>
    </row>
    <row r="276" spans="4:13">
      <c r="D276" s="4"/>
      <c r="G276" s="4"/>
      <c r="H276" s="4"/>
      <c r="I276" s="4"/>
      <c r="J276" s="4"/>
      <c r="K276" s="4"/>
      <c r="L276" s="4"/>
      <c r="M276" s="4"/>
    </row>
    <row r="277" spans="4:13">
      <c r="D277" s="4"/>
      <c r="G277" s="4"/>
      <c r="H277" s="4"/>
      <c r="I277" s="4"/>
      <c r="J277" s="4"/>
      <c r="K277" s="4"/>
      <c r="L277" s="4"/>
      <c r="M277" s="4"/>
    </row>
    <row r="278" spans="4:13">
      <c r="D278" s="4"/>
      <c r="G278" s="4"/>
      <c r="H278" s="4"/>
      <c r="I278" s="4"/>
      <c r="J278" s="4"/>
      <c r="K278" s="4"/>
      <c r="L278" s="4"/>
      <c r="M278" s="4"/>
    </row>
    <row r="279" spans="4:13">
      <c r="D279" s="4"/>
      <c r="G279" s="4"/>
      <c r="H279" s="4"/>
      <c r="I279" s="4"/>
      <c r="J279" s="4"/>
      <c r="K279" s="4"/>
      <c r="L279" s="4"/>
      <c r="M279" s="4"/>
    </row>
    <row r="280" spans="4:13">
      <c r="D280" s="4"/>
      <c r="G280" s="4"/>
      <c r="H280" s="4"/>
      <c r="I280" s="4"/>
      <c r="J280" s="4"/>
      <c r="K280" s="4"/>
      <c r="L280" s="4"/>
      <c r="M280" s="4"/>
    </row>
    <row r="281" spans="4:13">
      <c r="D281" s="4"/>
      <c r="G281" s="4"/>
      <c r="H281" s="4"/>
      <c r="I281" s="4"/>
      <c r="J281" s="4"/>
      <c r="K281" s="4"/>
      <c r="L281" s="4"/>
      <c r="M281" s="4"/>
    </row>
    <row r="282" spans="4:13">
      <c r="D282" s="4"/>
      <c r="G282" s="4"/>
      <c r="H282" s="4"/>
      <c r="I282" s="4"/>
      <c r="J282" s="4"/>
      <c r="K282" s="4"/>
      <c r="L282" s="4"/>
      <c r="M282" s="4"/>
    </row>
    <row r="283" spans="4:13">
      <c r="D283" s="4"/>
      <c r="G283" s="4"/>
      <c r="H283" s="4"/>
      <c r="I283" s="4"/>
      <c r="J283" s="4"/>
      <c r="K283" s="4"/>
      <c r="L283" s="4"/>
      <c r="M283" s="4"/>
    </row>
    <row r="284" spans="4:13">
      <c r="D284" s="4"/>
      <c r="G284" s="4"/>
      <c r="H284" s="4"/>
      <c r="I284" s="4"/>
      <c r="J284" s="4"/>
      <c r="K284" s="4"/>
      <c r="L284" s="4"/>
      <c r="M284" s="4"/>
    </row>
    <row r="285" spans="4:13">
      <c r="D285" s="4"/>
      <c r="G285" s="4"/>
      <c r="H285" s="4"/>
      <c r="I285" s="4"/>
      <c r="J285" s="4"/>
      <c r="K285" s="4"/>
      <c r="L285" s="4"/>
      <c r="M285" s="4"/>
    </row>
    <row r="286" spans="4:13">
      <c r="D286" s="4"/>
      <c r="G286" s="4"/>
      <c r="H286" s="4"/>
      <c r="I286" s="4"/>
      <c r="J286" s="4"/>
      <c r="K286" s="4"/>
      <c r="L286" s="4"/>
      <c r="M286" s="4"/>
    </row>
    <row r="287" spans="4:13">
      <c r="D287" s="4"/>
      <c r="G287" s="4"/>
      <c r="H287" s="4"/>
      <c r="I287" s="4"/>
      <c r="J287" s="4"/>
      <c r="K287" s="4"/>
      <c r="L287" s="4"/>
      <c r="M287" s="4"/>
    </row>
    <row r="288" spans="4:13">
      <c r="D288" s="4"/>
      <c r="G288" s="4"/>
      <c r="H288" s="4"/>
      <c r="I288" s="4"/>
      <c r="J288" s="4"/>
      <c r="K288" s="4"/>
      <c r="L288" s="4"/>
      <c r="M288" s="4"/>
    </row>
    <row r="289" spans="4:13">
      <c r="D289" s="4"/>
      <c r="G289" s="4"/>
      <c r="H289" s="4"/>
      <c r="I289" s="4"/>
      <c r="J289" s="4"/>
      <c r="K289" s="4"/>
      <c r="L289" s="4"/>
      <c r="M289" s="4"/>
    </row>
    <row r="290" spans="4:13">
      <c r="D290" s="4"/>
      <c r="G290" s="4"/>
      <c r="H290" s="4"/>
      <c r="I290" s="4"/>
      <c r="J290" s="4"/>
      <c r="K290" s="4"/>
      <c r="L290" s="4"/>
      <c r="M290" s="4"/>
    </row>
    <row r="291" spans="4:13">
      <c r="D291" s="4"/>
      <c r="G291" s="4"/>
      <c r="H291" s="4"/>
      <c r="I291" s="4"/>
      <c r="J291" s="4"/>
      <c r="K291" s="4"/>
      <c r="L291" s="4"/>
      <c r="M291" s="4"/>
    </row>
    <row r="292" spans="4:13">
      <c r="D292" s="4"/>
      <c r="G292" s="4"/>
      <c r="H292" s="4"/>
      <c r="I292" s="4"/>
      <c r="J292" s="4"/>
      <c r="K292" s="4"/>
      <c r="L292" s="4"/>
      <c r="M292" s="4"/>
    </row>
    <row r="293" spans="4:13">
      <c r="D293" s="4"/>
      <c r="G293" s="4"/>
      <c r="H293" s="4"/>
      <c r="I293" s="4"/>
      <c r="J293" s="4"/>
      <c r="K293" s="4"/>
      <c r="L293" s="4"/>
      <c r="M293" s="4"/>
    </row>
    <row r="294" spans="4:13">
      <c r="D294" s="4"/>
      <c r="G294" s="4"/>
      <c r="H294" s="4"/>
      <c r="I294" s="4"/>
      <c r="J294" s="4"/>
      <c r="K294" s="4"/>
      <c r="L294" s="4"/>
      <c r="M294" s="4"/>
    </row>
    <row r="295" spans="4:13">
      <c r="D295" s="4"/>
      <c r="G295" s="4"/>
      <c r="H295" s="4"/>
      <c r="I295" s="4"/>
      <c r="J295" s="4"/>
      <c r="K295" s="4"/>
      <c r="L295" s="4"/>
      <c r="M295" s="4"/>
    </row>
    <row r="296" spans="4:13">
      <c r="D296" s="4"/>
      <c r="G296" s="4"/>
      <c r="H296" s="4"/>
      <c r="I296" s="4"/>
      <c r="J296" s="4"/>
      <c r="K296" s="4"/>
      <c r="L296" s="4"/>
      <c r="M296" s="4"/>
    </row>
    <row r="297" spans="4:13">
      <c r="D297" s="4"/>
      <c r="G297" s="4"/>
      <c r="H297" s="4"/>
      <c r="I297" s="4"/>
      <c r="J297" s="4"/>
      <c r="K297" s="4"/>
      <c r="L297" s="4"/>
      <c r="M297" s="4"/>
    </row>
    <row r="298" spans="4:13">
      <c r="D298" s="4"/>
      <c r="G298" s="4"/>
      <c r="H298" s="4"/>
      <c r="I298" s="4"/>
      <c r="J298" s="4"/>
      <c r="K298" s="4"/>
      <c r="L298" s="4"/>
      <c r="M298" s="4"/>
    </row>
    <row r="299" spans="4:13">
      <c r="D299" s="4"/>
      <c r="G299" s="4"/>
      <c r="H299" s="4"/>
      <c r="I299" s="4"/>
      <c r="J299" s="4"/>
      <c r="K299" s="4"/>
      <c r="L299" s="4"/>
      <c r="M299" s="4"/>
    </row>
    <row r="300" spans="4:13">
      <c r="D300" s="4"/>
      <c r="G300" s="4"/>
      <c r="H300" s="4"/>
      <c r="I300" s="4"/>
      <c r="J300" s="4"/>
      <c r="K300" s="4"/>
      <c r="L300" s="4"/>
      <c r="M300" s="4"/>
    </row>
    <row r="301" spans="4:13">
      <c r="D301" s="4"/>
      <c r="G301" s="4"/>
      <c r="H301" s="4"/>
      <c r="I301" s="4"/>
      <c r="J301" s="4"/>
      <c r="K301" s="4"/>
      <c r="L301" s="4"/>
      <c r="M301" s="4"/>
    </row>
    <row r="302" spans="4:13">
      <c r="D302" s="4"/>
      <c r="G302" s="4"/>
      <c r="H302" s="4"/>
      <c r="I302" s="4"/>
      <c r="J302" s="4"/>
      <c r="K302" s="4"/>
      <c r="L302" s="4"/>
      <c r="M302" s="4"/>
    </row>
    <row r="303" spans="4:13">
      <c r="D303" s="4"/>
      <c r="G303" s="4"/>
      <c r="H303" s="4"/>
      <c r="I303" s="4"/>
      <c r="J303" s="4"/>
      <c r="K303" s="4"/>
      <c r="L303" s="4"/>
      <c r="M303" s="4"/>
    </row>
    <row r="304" spans="4:13">
      <c r="D304" s="4"/>
      <c r="G304" s="4"/>
      <c r="H304" s="4"/>
      <c r="I304" s="4"/>
      <c r="J304" s="4"/>
      <c r="K304" s="4"/>
      <c r="L304" s="4"/>
      <c r="M304" s="4"/>
    </row>
    <row r="305" spans="4:13">
      <c r="D305" s="4"/>
      <c r="G305" s="4"/>
      <c r="H305" s="4"/>
      <c r="I305" s="4"/>
      <c r="J305" s="4"/>
      <c r="K305" s="4"/>
      <c r="L305" s="4"/>
      <c r="M305" s="4"/>
    </row>
    <row r="306" spans="4:13">
      <c r="D306" s="4"/>
      <c r="G306" s="4"/>
      <c r="H306" s="4"/>
      <c r="I306" s="4"/>
      <c r="J306" s="4"/>
      <c r="K306" s="4"/>
      <c r="L306" s="4"/>
      <c r="M306" s="4"/>
    </row>
    <row r="307" spans="4:13">
      <c r="D307" s="4"/>
      <c r="G307" s="4"/>
      <c r="H307" s="4"/>
      <c r="I307" s="4"/>
      <c r="J307" s="4"/>
      <c r="K307" s="4"/>
      <c r="L307" s="4"/>
      <c r="M307" s="4"/>
    </row>
    <row r="308" spans="4:13">
      <c r="D308" s="4"/>
      <c r="G308" s="4"/>
      <c r="H308" s="4"/>
      <c r="I308" s="4"/>
      <c r="J308" s="4"/>
      <c r="K308" s="4"/>
      <c r="L308" s="4"/>
      <c r="M308" s="4"/>
    </row>
    <row r="309" spans="4:13">
      <c r="D309" s="4"/>
      <c r="G309" s="4"/>
      <c r="H309" s="4"/>
      <c r="I309" s="4"/>
      <c r="J309" s="4"/>
      <c r="K309" s="4"/>
      <c r="L309" s="4"/>
      <c r="M309" s="4"/>
    </row>
    <row r="310" spans="4:13">
      <c r="D310" s="4"/>
      <c r="G310" s="4"/>
      <c r="H310" s="4"/>
      <c r="I310" s="4"/>
      <c r="J310" s="4"/>
      <c r="K310" s="4"/>
      <c r="L310" s="4"/>
      <c r="M310" s="4"/>
    </row>
    <row r="311" spans="4:13">
      <c r="D311" s="4"/>
      <c r="G311" s="4"/>
      <c r="H311" s="4"/>
      <c r="I311" s="4"/>
      <c r="J311" s="4"/>
      <c r="K311" s="4"/>
      <c r="L311" s="4"/>
      <c r="M311" s="4"/>
    </row>
    <row r="312" spans="4:13">
      <c r="D312" s="4"/>
      <c r="G312" s="4"/>
      <c r="H312" s="4"/>
      <c r="I312" s="4"/>
      <c r="J312" s="4"/>
      <c r="K312" s="4"/>
      <c r="L312" s="4"/>
      <c r="M312" s="4"/>
    </row>
    <row r="313" spans="4:13">
      <c r="D313" s="4"/>
      <c r="G313" s="4"/>
      <c r="H313" s="4"/>
      <c r="I313" s="4"/>
      <c r="J313" s="4"/>
      <c r="K313" s="4"/>
      <c r="L313" s="4"/>
      <c r="M313" s="4"/>
    </row>
    <row r="314" spans="4:13">
      <c r="D314" s="4"/>
      <c r="G314" s="4"/>
      <c r="H314" s="4"/>
      <c r="I314" s="4"/>
      <c r="J314" s="4"/>
      <c r="K314" s="4"/>
      <c r="L314" s="4"/>
      <c r="M314" s="4"/>
    </row>
    <row r="315" spans="4:13">
      <c r="D315" s="4"/>
      <c r="G315" s="4"/>
      <c r="H315" s="4"/>
      <c r="I315" s="4"/>
      <c r="J315" s="4"/>
      <c r="K315" s="4"/>
      <c r="L315" s="4"/>
      <c r="M315" s="4"/>
    </row>
    <row r="316" spans="4:13">
      <c r="D316" s="4"/>
      <c r="G316" s="4"/>
      <c r="H316" s="4"/>
      <c r="I316" s="4"/>
      <c r="J316" s="4"/>
      <c r="K316" s="4"/>
      <c r="L316" s="4"/>
      <c r="M316" s="4"/>
    </row>
    <row r="317" spans="4:13">
      <c r="D317" s="4"/>
      <c r="G317" s="4"/>
      <c r="H317" s="4"/>
      <c r="I317" s="4"/>
      <c r="J317" s="4"/>
      <c r="K317" s="4"/>
      <c r="L317" s="4"/>
      <c r="M317" s="4"/>
    </row>
    <row r="318" spans="4:13">
      <c r="D318" s="4"/>
      <c r="G318" s="4"/>
      <c r="H318" s="4"/>
      <c r="I318" s="4"/>
      <c r="J318" s="4"/>
      <c r="K318" s="4"/>
      <c r="L318" s="4"/>
      <c r="M318" s="4"/>
    </row>
    <row r="319" spans="4:13">
      <c r="D319" s="4"/>
      <c r="G319" s="4"/>
      <c r="H319" s="4"/>
      <c r="I319" s="4"/>
      <c r="J319" s="4"/>
      <c r="K319" s="4"/>
      <c r="L319" s="4"/>
      <c r="M319" s="4"/>
    </row>
    <row r="320" spans="4:13">
      <c r="D320" s="4"/>
      <c r="G320" s="4"/>
      <c r="H320" s="4"/>
      <c r="I320" s="4"/>
      <c r="J320" s="4"/>
      <c r="K320" s="4"/>
      <c r="L320" s="4"/>
      <c r="M320" s="4"/>
    </row>
    <row r="321" spans="4:13">
      <c r="D321" s="4"/>
      <c r="G321" s="4"/>
      <c r="H321" s="4"/>
      <c r="I321" s="4"/>
      <c r="J321" s="4"/>
      <c r="K321" s="4"/>
      <c r="L321" s="4"/>
      <c r="M321" s="4"/>
    </row>
    <row r="322" spans="4:13">
      <c r="D322" s="4"/>
      <c r="G322" s="4"/>
      <c r="H322" s="4"/>
      <c r="I322" s="4"/>
      <c r="J322" s="4"/>
      <c r="K322" s="4"/>
      <c r="L322" s="4"/>
      <c r="M322" s="4"/>
    </row>
    <row r="323" spans="4:13">
      <c r="D323" s="4"/>
      <c r="G323" s="4"/>
      <c r="H323" s="4"/>
      <c r="I323" s="4"/>
      <c r="J323" s="4"/>
      <c r="K323" s="4"/>
      <c r="L323" s="4"/>
      <c r="M323" s="4"/>
    </row>
    <row r="324" spans="4:13">
      <c r="D324" s="4"/>
      <c r="G324" s="4"/>
      <c r="H324" s="4"/>
      <c r="I324" s="4"/>
      <c r="J324" s="4"/>
      <c r="K324" s="4"/>
      <c r="L324" s="4"/>
      <c r="M324" s="4"/>
    </row>
    <row r="325" spans="4:13">
      <c r="D325" s="4"/>
      <c r="G325" s="4"/>
      <c r="H325" s="4"/>
      <c r="I325" s="4"/>
      <c r="J325" s="4"/>
      <c r="K325" s="4"/>
      <c r="L325" s="4"/>
      <c r="M325" s="4"/>
    </row>
    <row r="326" spans="4:13">
      <c r="D326" s="4"/>
      <c r="G326" s="4"/>
      <c r="H326" s="4"/>
      <c r="I326" s="4"/>
      <c r="J326" s="4"/>
      <c r="K326" s="4"/>
      <c r="L326" s="4"/>
      <c r="M326" s="4"/>
    </row>
    <row r="327" spans="4:13">
      <c r="D327" s="4"/>
      <c r="G327" s="4"/>
      <c r="H327" s="4"/>
      <c r="I327" s="4"/>
      <c r="J327" s="4"/>
      <c r="K327" s="4"/>
      <c r="L327" s="4"/>
      <c r="M327" s="4"/>
    </row>
    <row r="328" spans="4:13">
      <c r="D328" s="4"/>
      <c r="G328" s="4"/>
      <c r="H328" s="4"/>
      <c r="I328" s="4"/>
      <c r="J328" s="4"/>
      <c r="K328" s="4"/>
      <c r="L328" s="4"/>
      <c r="M328" s="4"/>
    </row>
    <row r="329" spans="4:13">
      <c r="D329" s="4"/>
      <c r="G329" s="4"/>
      <c r="H329" s="4"/>
      <c r="I329" s="4"/>
      <c r="J329" s="4"/>
      <c r="K329" s="4"/>
      <c r="L329" s="4"/>
      <c r="M329" s="4"/>
    </row>
    <row r="330" spans="4:13">
      <c r="D330" s="4"/>
      <c r="G330" s="4"/>
      <c r="H330" s="4"/>
      <c r="I330" s="4"/>
      <c r="J330" s="4"/>
      <c r="K330" s="4"/>
      <c r="L330" s="4"/>
      <c r="M330" s="4"/>
    </row>
    <row r="331" spans="4:13">
      <c r="D331" s="4"/>
      <c r="G331" s="4"/>
      <c r="H331" s="4"/>
      <c r="I331" s="4"/>
      <c r="J331" s="4"/>
      <c r="K331" s="4"/>
      <c r="L331" s="4"/>
      <c r="M331" s="4"/>
    </row>
    <row r="332" spans="4:13">
      <c r="D332" s="4"/>
      <c r="G332" s="4"/>
      <c r="H332" s="4"/>
      <c r="I332" s="4"/>
      <c r="J332" s="4"/>
      <c r="K332" s="4"/>
      <c r="L332" s="4"/>
      <c r="M332" s="4"/>
    </row>
    <row r="333" spans="4:13">
      <c r="D333" s="4"/>
      <c r="G333" s="4"/>
      <c r="H333" s="4"/>
      <c r="I333" s="4"/>
      <c r="J333" s="4"/>
      <c r="K333" s="4"/>
      <c r="L333" s="4"/>
      <c r="M333" s="4"/>
    </row>
    <row r="334" spans="4:13">
      <c r="D334" s="4"/>
      <c r="G334" s="4"/>
      <c r="H334" s="4"/>
      <c r="I334" s="4"/>
      <c r="J334" s="4"/>
      <c r="K334" s="4"/>
      <c r="L334" s="4"/>
      <c r="M334" s="4"/>
    </row>
    <row r="335" spans="4:13">
      <c r="D335" s="4"/>
      <c r="G335" s="4"/>
      <c r="H335" s="4"/>
      <c r="I335" s="4"/>
      <c r="J335" s="4"/>
      <c r="K335" s="4"/>
      <c r="L335" s="4"/>
      <c r="M335" s="4"/>
    </row>
    <row r="336" spans="4:13">
      <c r="D336" s="4"/>
      <c r="G336" s="4"/>
      <c r="H336" s="4"/>
      <c r="I336" s="4"/>
      <c r="J336" s="4"/>
      <c r="K336" s="4"/>
      <c r="L336" s="4"/>
      <c r="M336" s="4"/>
    </row>
    <row r="337" spans="4:13">
      <c r="D337" s="4"/>
      <c r="G337" s="4"/>
      <c r="H337" s="4"/>
      <c r="I337" s="4"/>
      <c r="J337" s="4"/>
      <c r="K337" s="4"/>
      <c r="L337" s="4"/>
      <c r="M337" s="4"/>
    </row>
    <row r="338" spans="4:13">
      <c r="D338" s="4"/>
      <c r="G338" s="4"/>
      <c r="H338" s="4"/>
      <c r="I338" s="4"/>
      <c r="J338" s="4"/>
      <c r="K338" s="4"/>
      <c r="L338" s="4"/>
      <c r="M338" s="4"/>
    </row>
    <row r="339" spans="4:13">
      <c r="D339" s="4"/>
      <c r="G339" s="4"/>
      <c r="H339" s="4"/>
      <c r="I339" s="4"/>
      <c r="J339" s="4"/>
      <c r="K339" s="4"/>
      <c r="L339" s="4"/>
      <c r="M339" s="4"/>
    </row>
    <row r="340" spans="4:13">
      <c r="D340" s="4"/>
      <c r="G340" s="4"/>
      <c r="H340" s="4"/>
      <c r="I340" s="4"/>
      <c r="J340" s="4"/>
      <c r="K340" s="4"/>
      <c r="L340" s="4"/>
      <c r="M340" s="4"/>
    </row>
    <row r="341" spans="4:13">
      <c r="D341" s="4"/>
      <c r="G341" s="4"/>
      <c r="H341" s="4"/>
      <c r="I341" s="4"/>
      <c r="J341" s="4"/>
      <c r="K341" s="4"/>
      <c r="L341" s="4"/>
      <c r="M341" s="4"/>
    </row>
    <row r="342" spans="4:13">
      <c r="D342" s="4"/>
      <c r="G342" s="4"/>
      <c r="H342" s="4"/>
      <c r="I342" s="4"/>
      <c r="J342" s="4"/>
      <c r="K342" s="4"/>
      <c r="L342" s="4"/>
      <c r="M342" s="4"/>
    </row>
    <row r="343" spans="4:13">
      <c r="D343" s="4"/>
      <c r="G343" s="4"/>
      <c r="H343" s="4"/>
      <c r="I343" s="4"/>
      <c r="J343" s="4"/>
      <c r="K343" s="4"/>
      <c r="L343" s="4"/>
      <c r="M343" s="4"/>
    </row>
    <row r="344" spans="4:13">
      <c r="D344" s="4"/>
      <c r="G344" s="4"/>
      <c r="H344" s="4"/>
      <c r="I344" s="4"/>
      <c r="J344" s="4"/>
      <c r="K344" s="4"/>
      <c r="L344" s="4"/>
      <c r="M344" s="4"/>
    </row>
    <row r="345" spans="4:13">
      <c r="D345" s="4"/>
      <c r="G345" s="4"/>
      <c r="H345" s="4"/>
      <c r="I345" s="4"/>
      <c r="J345" s="4"/>
      <c r="K345" s="4"/>
      <c r="L345" s="4"/>
      <c r="M345" s="4"/>
    </row>
    <row r="346" spans="4:13">
      <c r="D346" s="4"/>
      <c r="G346" s="4"/>
      <c r="H346" s="4"/>
      <c r="I346" s="4"/>
      <c r="J346" s="4"/>
      <c r="K346" s="4"/>
      <c r="L346" s="4"/>
      <c r="M346" s="4"/>
    </row>
    <row r="347" spans="4:13">
      <c r="D347" s="4"/>
      <c r="G347" s="4"/>
      <c r="H347" s="4"/>
      <c r="I347" s="4"/>
      <c r="J347" s="4"/>
      <c r="K347" s="4"/>
      <c r="L347" s="4"/>
      <c r="M347" s="4"/>
    </row>
    <row r="348" spans="4:13">
      <c r="D348" s="4"/>
      <c r="G348" s="4"/>
      <c r="H348" s="4"/>
      <c r="I348" s="4"/>
      <c r="J348" s="4"/>
      <c r="K348" s="4"/>
      <c r="L348" s="4"/>
      <c r="M348" s="4"/>
    </row>
    <row r="349" spans="4:13">
      <c r="D349" s="4"/>
      <c r="G349" s="4"/>
      <c r="H349" s="4"/>
      <c r="I349" s="4"/>
      <c r="J349" s="4"/>
      <c r="K349" s="4"/>
      <c r="L349" s="4"/>
      <c r="M349" s="4"/>
    </row>
    <row r="350" spans="4:13">
      <c r="D350" s="4"/>
      <c r="G350" s="4"/>
      <c r="H350" s="4"/>
      <c r="I350" s="4"/>
      <c r="J350" s="4"/>
      <c r="K350" s="4"/>
      <c r="L350" s="4"/>
      <c r="M350" s="4"/>
    </row>
    <row r="351" spans="4:13">
      <c r="D351" s="4"/>
      <c r="G351" s="4"/>
      <c r="H351" s="4"/>
      <c r="I351" s="4"/>
      <c r="J351" s="4"/>
      <c r="K351" s="4"/>
      <c r="L351" s="4"/>
      <c r="M351" s="4"/>
    </row>
    <row r="352" spans="4:13">
      <c r="D352" s="4"/>
      <c r="G352" s="4"/>
      <c r="H352" s="4"/>
      <c r="I352" s="4"/>
      <c r="J352" s="4"/>
      <c r="K352" s="4"/>
      <c r="L352" s="4"/>
      <c r="M352" s="4"/>
    </row>
    <row r="353" spans="4:13">
      <c r="D353" s="4"/>
      <c r="G353" s="4"/>
      <c r="H353" s="4"/>
      <c r="I353" s="4"/>
      <c r="J353" s="4"/>
      <c r="K353" s="4"/>
      <c r="L353" s="4"/>
      <c r="M353" s="4"/>
    </row>
    <row r="354" spans="4:13">
      <c r="D354" s="4"/>
      <c r="G354" s="4"/>
      <c r="H354" s="4"/>
      <c r="I354" s="4"/>
      <c r="J354" s="4"/>
      <c r="K354" s="4"/>
      <c r="L354" s="4"/>
      <c r="M354" s="4"/>
    </row>
    <row r="355" spans="4:13">
      <c r="D355" s="4"/>
      <c r="G355" s="4"/>
      <c r="H355" s="4"/>
      <c r="I355" s="4"/>
      <c r="J355" s="4"/>
      <c r="K355" s="4"/>
      <c r="L355" s="4"/>
      <c r="M355" s="4"/>
    </row>
    <row r="356" spans="4:13">
      <c r="D356" s="4"/>
      <c r="G356" s="4"/>
      <c r="H356" s="4"/>
      <c r="I356" s="4"/>
      <c r="J356" s="4"/>
      <c r="K356" s="4"/>
      <c r="L356" s="4"/>
      <c r="M356" s="4"/>
    </row>
    <row r="357" spans="4:13">
      <c r="D357" s="4"/>
      <c r="G357" s="4"/>
      <c r="H357" s="4"/>
      <c r="I357" s="4"/>
      <c r="J357" s="4"/>
      <c r="K357" s="4"/>
      <c r="L357" s="4"/>
      <c r="M357" s="4"/>
    </row>
    <row r="358" spans="4:13">
      <c r="D358" s="4"/>
      <c r="G358" s="4"/>
      <c r="H358" s="4"/>
      <c r="I358" s="4"/>
      <c r="J358" s="4"/>
      <c r="K358" s="4"/>
      <c r="L358" s="4"/>
      <c r="M358" s="4"/>
    </row>
    <row r="359" spans="4:13">
      <c r="D359" s="4"/>
      <c r="G359" s="4"/>
      <c r="H359" s="4"/>
      <c r="I359" s="4"/>
      <c r="J359" s="4"/>
      <c r="K359" s="4"/>
      <c r="L359" s="4"/>
      <c r="M359" s="4"/>
    </row>
    <row r="360" spans="4:13">
      <c r="D360" s="4"/>
      <c r="G360" s="4"/>
      <c r="H360" s="4"/>
      <c r="I360" s="4"/>
      <c r="J360" s="4"/>
      <c r="K360" s="4"/>
      <c r="L360" s="4"/>
      <c r="M360" s="4"/>
    </row>
    <row r="361" spans="4:13">
      <c r="D361" s="4"/>
      <c r="G361" s="4"/>
      <c r="H361" s="4"/>
      <c r="I361" s="4"/>
      <c r="J361" s="4"/>
      <c r="K361" s="4"/>
      <c r="L361" s="4"/>
      <c r="M361" s="4"/>
    </row>
    <row r="362" spans="4:13">
      <c r="D362" s="4"/>
      <c r="G362" s="4"/>
      <c r="H362" s="4"/>
      <c r="I362" s="4"/>
      <c r="J362" s="4"/>
      <c r="K362" s="4"/>
      <c r="L362" s="4"/>
      <c r="M362" s="4"/>
    </row>
    <row r="363" spans="4:13">
      <c r="D363" s="4"/>
      <c r="G363" s="4"/>
      <c r="H363" s="4"/>
      <c r="I363" s="4"/>
      <c r="J363" s="4"/>
      <c r="K363" s="4"/>
      <c r="L363" s="4"/>
      <c r="M363" s="4"/>
    </row>
    <row r="364" spans="4:13">
      <c r="D364" s="4"/>
      <c r="G364" s="4"/>
      <c r="H364" s="4"/>
      <c r="I364" s="4"/>
      <c r="J364" s="4"/>
      <c r="K364" s="4"/>
      <c r="L364" s="4"/>
      <c r="M364" s="4"/>
    </row>
    <row r="365" spans="4:13">
      <c r="D365" s="4"/>
      <c r="G365" s="4"/>
      <c r="H365" s="4"/>
      <c r="I365" s="4"/>
      <c r="J365" s="4"/>
      <c r="K365" s="4"/>
      <c r="L365" s="4"/>
      <c r="M365" s="4"/>
    </row>
    <row r="366" spans="4:13">
      <c r="D366" s="4"/>
      <c r="G366" s="4"/>
      <c r="H366" s="4"/>
      <c r="I366" s="4"/>
      <c r="J366" s="4"/>
      <c r="K366" s="4"/>
      <c r="L366" s="4"/>
      <c r="M366" s="4"/>
    </row>
    <row r="367" spans="4:13">
      <c r="D367" s="4"/>
      <c r="G367" s="4"/>
      <c r="H367" s="4"/>
      <c r="I367" s="4"/>
      <c r="J367" s="4"/>
      <c r="K367" s="4"/>
      <c r="L367" s="4"/>
      <c r="M367" s="4"/>
    </row>
    <row r="368" spans="4:13">
      <c r="D368" s="4"/>
      <c r="G368" s="4"/>
      <c r="H368" s="4"/>
      <c r="I368" s="4"/>
      <c r="J368" s="4"/>
      <c r="K368" s="4"/>
      <c r="L368" s="4"/>
      <c r="M368" s="4"/>
    </row>
    <row r="369" spans="4:13">
      <c r="D369" s="4"/>
      <c r="G369" s="4"/>
      <c r="H369" s="4"/>
      <c r="I369" s="4"/>
      <c r="J369" s="4"/>
      <c r="K369" s="4"/>
      <c r="L369" s="4"/>
      <c r="M369" s="4"/>
    </row>
    <row r="370" spans="4:13">
      <c r="D370" s="4"/>
      <c r="G370" s="4"/>
      <c r="H370" s="4"/>
      <c r="I370" s="4"/>
      <c r="J370" s="4"/>
      <c r="K370" s="4"/>
      <c r="L370" s="4"/>
      <c r="M370" s="4"/>
    </row>
    <row r="371" spans="4:13">
      <c r="D371" s="4"/>
      <c r="G371" s="4"/>
      <c r="H371" s="4"/>
      <c r="I371" s="4"/>
      <c r="J371" s="4"/>
      <c r="K371" s="4"/>
      <c r="L371" s="4"/>
      <c r="M371" s="4"/>
    </row>
    <row r="372" spans="4:13">
      <c r="D372" s="4"/>
      <c r="G372" s="4"/>
      <c r="H372" s="4"/>
      <c r="I372" s="4"/>
      <c r="J372" s="4"/>
      <c r="K372" s="4"/>
      <c r="L372" s="4"/>
      <c r="M372" s="4"/>
    </row>
    <row r="373" spans="4:13">
      <c r="D373" s="4"/>
      <c r="G373" s="4"/>
      <c r="H373" s="4"/>
      <c r="I373" s="4"/>
      <c r="J373" s="4"/>
      <c r="K373" s="4"/>
      <c r="L373" s="4"/>
      <c r="M373" s="4"/>
    </row>
    <row r="374" spans="4:13">
      <c r="D374" s="4"/>
      <c r="G374" s="4"/>
      <c r="H374" s="4"/>
      <c r="I374" s="4"/>
      <c r="J374" s="4"/>
      <c r="K374" s="4"/>
      <c r="L374" s="4"/>
      <c r="M374" s="4"/>
    </row>
    <row r="375" spans="4:13">
      <c r="D375" s="4"/>
      <c r="G375" s="4"/>
      <c r="H375" s="4"/>
      <c r="I375" s="4"/>
      <c r="J375" s="4"/>
      <c r="K375" s="4"/>
      <c r="L375" s="4"/>
      <c r="M375" s="4"/>
    </row>
    <row r="376" spans="4:13">
      <c r="D376" s="4"/>
      <c r="G376" s="4"/>
      <c r="H376" s="4"/>
      <c r="I376" s="4"/>
      <c r="J376" s="4"/>
      <c r="K376" s="4"/>
      <c r="L376" s="4"/>
      <c r="M376" s="4"/>
    </row>
    <row r="377" spans="4:13">
      <c r="D377" s="4"/>
      <c r="G377" s="4"/>
      <c r="H377" s="4"/>
      <c r="I377" s="4"/>
      <c r="J377" s="4"/>
      <c r="K377" s="4"/>
      <c r="L377" s="4"/>
      <c r="M377" s="4"/>
    </row>
    <row r="378" spans="4:13">
      <c r="D378" s="4"/>
      <c r="G378" s="4"/>
      <c r="H378" s="4"/>
      <c r="I378" s="4"/>
      <c r="J378" s="4"/>
      <c r="K378" s="4"/>
      <c r="L378" s="4"/>
      <c r="M378" s="4"/>
    </row>
    <row r="379" spans="4:13">
      <c r="D379" s="4"/>
      <c r="G379" s="4"/>
      <c r="H379" s="4"/>
      <c r="I379" s="4"/>
      <c r="J379" s="4"/>
      <c r="K379" s="4"/>
      <c r="L379" s="4"/>
      <c r="M379" s="4"/>
    </row>
    <row r="380" spans="4:13">
      <c r="D380" s="4"/>
      <c r="G380" s="4"/>
      <c r="H380" s="4"/>
      <c r="I380" s="4"/>
      <c r="J380" s="4"/>
      <c r="K380" s="4"/>
      <c r="L380" s="4"/>
      <c r="M380" s="4"/>
    </row>
    <row r="381" spans="4:13">
      <c r="D381" s="4"/>
      <c r="G381" s="4"/>
      <c r="H381" s="4"/>
      <c r="I381" s="4"/>
      <c r="J381" s="4"/>
      <c r="K381" s="4"/>
      <c r="L381" s="4"/>
      <c r="M381" s="4"/>
    </row>
    <row r="382" spans="4:13">
      <c r="D382" s="4"/>
      <c r="G382" s="4"/>
      <c r="H382" s="4"/>
      <c r="I382" s="4"/>
      <c r="J382" s="4"/>
      <c r="K382" s="4"/>
      <c r="L382" s="4"/>
      <c r="M382" s="4"/>
    </row>
    <row r="383" spans="4:13">
      <c r="D383" s="4"/>
      <c r="G383" s="4"/>
      <c r="H383" s="4"/>
      <c r="I383" s="4"/>
      <c r="J383" s="4"/>
      <c r="K383" s="4"/>
      <c r="L383" s="4"/>
      <c r="M383" s="4"/>
    </row>
    <row r="384" spans="4:13">
      <c r="D384" s="4"/>
      <c r="G384" s="4"/>
      <c r="H384" s="4"/>
      <c r="I384" s="4"/>
      <c r="J384" s="4"/>
      <c r="K384" s="4"/>
      <c r="L384" s="4"/>
      <c r="M384" s="4"/>
    </row>
    <row r="385" spans="4:13">
      <c r="D385" s="4"/>
      <c r="G385" s="4"/>
      <c r="H385" s="4"/>
      <c r="I385" s="4"/>
      <c r="J385" s="4"/>
      <c r="K385" s="4"/>
      <c r="L385" s="4"/>
      <c r="M385" s="4"/>
    </row>
    <row r="386" spans="4:13">
      <c r="D386" s="4"/>
      <c r="G386" s="4"/>
      <c r="H386" s="4"/>
      <c r="I386" s="4"/>
      <c r="J386" s="4"/>
      <c r="K386" s="4"/>
      <c r="L386" s="4"/>
      <c r="M386" s="4"/>
    </row>
    <row r="387" spans="4:13">
      <c r="D387" s="4"/>
      <c r="G387" s="4"/>
      <c r="H387" s="4"/>
      <c r="I387" s="4"/>
      <c r="J387" s="4"/>
      <c r="K387" s="4"/>
      <c r="L387" s="4"/>
      <c r="M387" s="4"/>
    </row>
    <row r="388" spans="4:13">
      <c r="D388" s="4"/>
      <c r="G388" s="4"/>
      <c r="H388" s="4"/>
      <c r="I388" s="4"/>
      <c r="J388" s="4"/>
      <c r="K388" s="4"/>
      <c r="L388" s="4"/>
      <c r="M388" s="4"/>
    </row>
    <row r="389" spans="4:13">
      <c r="D389" s="4"/>
      <c r="G389" s="4"/>
      <c r="H389" s="4"/>
      <c r="I389" s="4"/>
      <c r="J389" s="4"/>
      <c r="K389" s="4"/>
      <c r="L389" s="4"/>
      <c r="M389" s="4"/>
    </row>
    <row r="390" spans="4:13">
      <c r="D390" s="4"/>
      <c r="G390" s="4"/>
      <c r="H390" s="4"/>
      <c r="I390" s="4"/>
      <c r="J390" s="4"/>
      <c r="K390" s="4"/>
      <c r="L390" s="4"/>
      <c r="M390" s="4"/>
    </row>
    <row r="391" spans="4:13">
      <c r="D391" s="4"/>
      <c r="G391" s="4"/>
      <c r="H391" s="4"/>
      <c r="I391" s="4"/>
      <c r="J391" s="4"/>
      <c r="K391" s="4"/>
      <c r="L391" s="4"/>
      <c r="M391" s="4"/>
    </row>
    <row r="392" spans="4:13">
      <c r="D392" s="4"/>
      <c r="G392" s="4"/>
      <c r="H392" s="4"/>
      <c r="I392" s="4"/>
      <c r="J392" s="4"/>
      <c r="K392" s="4"/>
      <c r="L392" s="4"/>
      <c r="M392" s="4"/>
    </row>
    <row r="393" spans="4:13">
      <c r="D393" s="4"/>
      <c r="G393" s="4"/>
      <c r="H393" s="4"/>
      <c r="I393" s="4"/>
      <c r="J393" s="4"/>
      <c r="K393" s="4"/>
      <c r="L393" s="4"/>
      <c r="M393" s="4"/>
    </row>
    <row r="394" spans="4:13">
      <c r="D394" s="4"/>
      <c r="G394" s="4"/>
      <c r="H394" s="4"/>
      <c r="I394" s="4"/>
      <c r="J394" s="4"/>
      <c r="K394" s="4"/>
      <c r="L394" s="4"/>
      <c r="M394" s="4"/>
    </row>
    <row r="395" spans="4:13">
      <c r="D395" s="4"/>
      <c r="G395" s="4"/>
      <c r="H395" s="4"/>
      <c r="I395" s="4"/>
      <c r="J395" s="4"/>
      <c r="K395" s="4"/>
      <c r="L395" s="4"/>
      <c r="M395" s="4"/>
    </row>
    <row r="396" spans="4:13">
      <c r="D396" s="4"/>
      <c r="G396" s="4"/>
      <c r="H396" s="4"/>
      <c r="I396" s="4"/>
      <c r="J396" s="4"/>
      <c r="K396" s="4"/>
      <c r="L396" s="4"/>
      <c r="M396" s="4"/>
    </row>
    <row r="397" spans="4:13">
      <c r="D397" s="4"/>
      <c r="G397" s="4"/>
      <c r="H397" s="4"/>
      <c r="I397" s="4"/>
      <c r="J397" s="4"/>
      <c r="K397" s="4"/>
      <c r="L397" s="4"/>
      <c r="M397" s="4"/>
    </row>
    <row r="398" spans="4:13">
      <c r="D398" s="4"/>
      <c r="G398" s="4"/>
      <c r="H398" s="4"/>
      <c r="I398" s="4"/>
      <c r="J398" s="4"/>
      <c r="K398" s="4"/>
      <c r="L398" s="4"/>
      <c r="M398" s="4"/>
    </row>
    <row r="399" spans="4:13">
      <c r="D399" s="4"/>
      <c r="G399" s="4"/>
      <c r="H399" s="4"/>
      <c r="I399" s="4"/>
      <c r="J399" s="4"/>
      <c r="K399" s="4"/>
      <c r="L399" s="4"/>
      <c r="M399" s="4"/>
    </row>
    <row r="400" spans="4:13">
      <c r="D400" s="4"/>
      <c r="G400" s="4"/>
      <c r="H400" s="4"/>
      <c r="I400" s="4"/>
      <c r="J400" s="4"/>
      <c r="K400" s="4"/>
      <c r="L400" s="4"/>
      <c r="M400" s="4"/>
    </row>
    <row r="401" spans="4:13">
      <c r="D401" s="4"/>
      <c r="G401" s="4"/>
      <c r="H401" s="4"/>
      <c r="I401" s="4"/>
      <c r="J401" s="4"/>
      <c r="K401" s="4"/>
      <c r="L401" s="4"/>
      <c r="M401" s="4"/>
    </row>
    <row r="402" spans="4:13">
      <c r="D402" s="4"/>
      <c r="G402" s="4"/>
      <c r="H402" s="4"/>
      <c r="I402" s="4"/>
      <c r="J402" s="4"/>
      <c r="K402" s="4"/>
      <c r="L402" s="4"/>
      <c r="M402" s="4"/>
    </row>
    <row r="403" spans="4:13">
      <c r="D403" s="4"/>
      <c r="G403" s="4"/>
      <c r="H403" s="4"/>
      <c r="I403" s="4"/>
      <c r="J403" s="4"/>
      <c r="K403" s="4"/>
      <c r="L403" s="4"/>
      <c r="M403" s="4"/>
    </row>
    <row r="404" spans="4:13">
      <c r="D404" s="4"/>
      <c r="G404" s="4"/>
      <c r="H404" s="4"/>
      <c r="I404" s="4"/>
      <c r="J404" s="4"/>
      <c r="K404" s="4"/>
      <c r="L404" s="4"/>
      <c r="M404" s="4"/>
    </row>
    <row r="405" spans="4:13">
      <c r="D405" s="4"/>
      <c r="G405" s="4"/>
      <c r="H405" s="4"/>
      <c r="I405" s="4"/>
      <c r="J405" s="4"/>
      <c r="K405" s="4"/>
      <c r="L405" s="4"/>
      <c r="M405" s="4"/>
    </row>
    <row r="406" spans="4:13">
      <c r="D406" s="4"/>
      <c r="G406" s="4"/>
      <c r="H406" s="4"/>
      <c r="I406" s="4"/>
      <c r="J406" s="4"/>
      <c r="K406" s="4"/>
      <c r="L406" s="4"/>
      <c r="M406" s="4"/>
    </row>
    <row r="407" spans="4:13">
      <c r="D407" s="4"/>
      <c r="G407" s="4"/>
      <c r="H407" s="4"/>
      <c r="I407" s="4"/>
      <c r="J407" s="4"/>
      <c r="K407" s="4"/>
      <c r="L407" s="4"/>
      <c r="M407" s="4"/>
    </row>
    <row r="408" spans="4:13">
      <c r="D408" s="4"/>
      <c r="G408" s="4"/>
      <c r="H408" s="4"/>
      <c r="I408" s="4"/>
      <c r="J408" s="4"/>
      <c r="K408" s="4"/>
      <c r="L408" s="4"/>
      <c r="M408" s="4"/>
    </row>
    <row r="409" spans="4:13">
      <c r="D409" s="4"/>
      <c r="G409" s="4"/>
      <c r="H409" s="4"/>
      <c r="I409" s="4"/>
      <c r="J409" s="4"/>
      <c r="K409" s="4"/>
      <c r="L409" s="4"/>
      <c r="M409" s="4"/>
    </row>
    <row r="410" spans="4:13">
      <c r="D410" s="4"/>
      <c r="G410" s="4"/>
      <c r="H410" s="4"/>
      <c r="I410" s="4"/>
      <c r="J410" s="4"/>
      <c r="K410" s="4"/>
      <c r="L410" s="4"/>
      <c r="M410" s="4"/>
    </row>
    <row r="411" spans="4:13">
      <c r="D411" s="4"/>
      <c r="G411" s="4"/>
      <c r="H411" s="4"/>
      <c r="I411" s="4"/>
      <c r="J411" s="4"/>
      <c r="K411" s="4"/>
      <c r="L411" s="4"/>
      <c r="M411" s="4"/>
    </row>
    <row r="412" spans="4:13">
      <c r="D412" s="4"/>
      <c r="G412" s="4"/>
      <c r="H412" s="4"/>
      <c r="I412" s="4"/>
      <c r="J412" s="4"/>
      <c r="K412" s="4"/>
      <c r="L412" s="4"/>
      <c r="M412" s="4"/>
    </row>
    <row r="413" spans="4:13">
      <c r="D413" s="4"/>
      <c r="G413" s="4"/>
      <c r="H413" s="4"/>
      <c r="I413" s="4"/>
      <c r="J413" s="4"/>
      <c r="K413" s="4"/>
      <c r="L413" s="4"/>
      <c r="M413" s="4"/>
    </row>
    <row r="414" spans="4:13">
      <c r="D414" s="4"/>
      <c r="G414" s="4"/>
      <c r="H414" s="4"/>
      <c r="I414" s="4"/>
      <c r="J414" s="4"/>
      <c r="K414" s="4"/>
      <c r="L414" s="4"/>
      <c r="M414" s="4"/>
    </row>
    <row r="415" spans="4:13">
      <c r="D415" s="4"/>
      <c r="G415" s="4"/>
      <c r="H415" s="4"/>
      <c r="I415" s="4"/>
      <c r="J415" s="4"/>
      <c r="K415" s="4"/>
      <c r="L415" s="4"/>
      <c r="M415" s="4"/>
    </row>
    <row r="416" spans="4:13">
      <c r="D416" s="4"/>
      <c r="G416" s="4"/>
      <c r="H416" s="4"/>
      <c r="I416" s="4"/>
      <c r="J416" s="4"/>
      <c r="K416" s="4"/>
      <c r="L416" s="4"/>
      <c r="M416" s="4"/>
    </row>
    <row r="417" spans="4:13">
      <c r="D417" s="4"/>
      <c r="G417" s="4"/>
      <c r="H417" s="4"/>
      <c r="I417" s="4"/>
      <c r="J417" s="4"/>
      <c r="K417" s="4"/>
      <c r="L417" s="4"/>
      <c r="M417" s="4"/>
    </row>
    <row r="418" spans="4:13">
      <c r="D418" s="4"/>
      <c r="G418" s="4"/>
      <c r="H418" s="4"/>
      <c r="I418" s="4"/>
      <c r="J418" s="4"/>
      <c r="K418" s="4"/>
      <c r="L418" s="4"/>
      <c r="M418" s="4"/>
    </row>
    <row r="419" spans="4:13">
      <c r="D419" s="4"/>
      <c r="G419" s="4"/>
      <c r="H419" s="4"/>
      <c r="I419" s="4"/>
      <c r="J419" s="4"/>
      <c r="K419" s="4"/>
      <c r="L419" s="4"/>
      <c r="M419" s="4"/>
    </row>
    <row r="420" spans="4:13">
      <c r="D420" s="4"/>
      <c r="G420" s="4"/>
      <c r="H420" s="4"/>
      <c r="I420" s="4"/>
      <c r="J420" s="4"/>
      <c r="K420" s="4"/>
      <c r="L420" s="4"/>
      <c r="M420" s="4"/>
    </row>
    <row r="421" spans="4:13">
      <c r="D421" s="4"/>
      <c r="G421" s="4"/>
      <c r="H421" s="4"/>
      <c r="I421" s="4"/>
      <c r="J421" s="4"/>
      <c r="K421" s="4"/>
      <c r="L421" s="4"/>
      <c r="M421" s="4"/>
    </row>
    <row r="422" spans="4:13">
      <c r="D422" s="4"/>
      <c r="G422" s="4"/>
      <c r="H422" s="4"/>
      <c r="I422" s="4"/>
      <c r="J422" s="4"/>
      <c r="K422" s="4"/>
      <c r="L422" s="4"/>
      <c r="M422" s="4"/>
    </row>
    <row r="423" spans="4:13">
      <c r="D423" s="4"/>
      <c r="G423" s="4"/>
      <c r="H423" s="4"/>
      <c r="I423" s="4"/>
      <c r="J423" s="4"/>
      <c r="K423" s="4"/>
      <c r="L423" s="4"/>
      <c r="M423" s="4"/>
    </row>
    <row r="424" spans="4:13">
      <c r="D424" s="4"/>
      <c r="G424" s="4"/>
      <c r="H424" s="4"/>
      <c r="I424" s="4"/>
      <c r="J424" s="4"/>
      <c r="K424" s="4"/>
      <c r="L424" s="4"/>
      <c r="M424" s="4"/>
    </row>
    <row r="425" spans="4:13">
      <c r="D425" s="4"/>
      <c r="G425" s="4"/>
      <c r="H425" s="4"/>
      <c r="I425" s="4"/>
      <c r="J425" s="4"/>
      <c r="K425" s="4"/>
      <c r="L425" s="4"/>
      <c r="M425" s="4"/>
    </row>
    <row r="426" spans="4:13">
      <c r="D426" s="4"/>
      <c r="G426" s="4"/>
      <c r="H426" s="4"/>
      <c r="I426" s="4"/>
      <c r="J426" s="4"/>
      <c r="K426" s="4"/>
      <c r="L426" s="4"/>
      <c r="M426" s="4"/>
    </row>
    <row r="427" spans="4:13">
      <c r="D427" s="4"/>
      <c r="G427" s="4"/>
      <c r="H427" s="4"/>
      <c r="I427" s="4"/>
      <c r="J427" s="4"/>
      <c r="K427" s="4"/>
      <c r="L427" s="4"/>
      <c r="M427" s="4"/>
    </row>
    <row r="428" spans="4:13">
      <c r="D428" s="4"/>
      <c r="G428" s="4"/>
      <c r="H428" s="4"/>
      <c r="I428" s="4"/>
      <c r="J428" s="4"/>
      <c r="K428" s="4"/>
      <c r="L428" s="4"/>
      <c r="M428" s="4"/>
    </row>
    <row r="429" spans="4:13">
      <c r="D429" s="4"/>
      <c r="G429" s="4"/>
      <c r="H429" s="4"/>
      <c r="I429" s="4"/>
      <c r="J429" s="4"/>
      <c r="K429" s="4"/>
      <c r="L429" s="4"/>
      <c r="M429" s="4"/>
    </row>
    <row r="430" spans="4:13">
      <c r="D430" s="4"/>
      <c r="G430" s="4"/>
      <c r="H430" s="4"/>
      <c r="I430" s="4"/>
      <c r="J430" s="4"/>
      <c r="K430" s="4"/>
      <c r="L430" s="4"/>
      <c r="M430" s="4"/>
    </row>
    <row r="431" spans="4:13">
      <c r="D431" s="4"/>
      <c r="G431" s="4"/>
      <c r="H431" s="4"/>
      <c r="I431" s="4"/>
      <c r="J431" s="4"/>
      <c r="K431" s="4"/>
      <c r="L431" s="4"/>
      <c r="M431" s="4"/>
    </row>
    <row r="432" spans="4:13">
      <c r="D432" s="4"/>
      <c r="G432" s="4"/>
      <c r="H432" s="4"/>
      <c r="I432" s="4"/>
      <c r="J432" s="4"/>
      <c r="K432" s="4"/>
      <c r="L432" s="4"/>
      <c r="M432" s="4"/>
    </row>
    <row r="433" spans="4:13">
      <c r="D433" s="4"/>
      <c r="G433" s="4"/>
      <c r="H433" s="4"/>
      <c r="I433" s="4"/>
      <c r="J433" s="4"/>
      <c r="K433" s="4"/>
      <c r="L433" s="4"/>
      <c r="M433" s="4"/>
    </row>
    <row r="434" spans="4:13">
      <c r="D434" s="4"/>
      <c r="G434" s="4"/>
      <c r="H434" s="4"/>
      <c r="I434" s="4"/>
      <c r="J434" s="4"/>
      <c r="K434" s="4"/>
      <c r="L434" s="4"/>
      <c r="M434" s="4"/>
    </row>
    <row r="435" spans="4:13">
      <c r="D435" s="4"/>
      <c r="G435" s="4"/>
      <c r="H435" s="4"/>
      <c r="I435" s="4"/>
      <c r="J435" s="4"/>
      <c r="K435" s="4"/>
      <c r="L435" s="4"/>
      <c r="M435" s="4"/>
    </row>
    <row r="436" spans="4:13">
      <c r="D436" s="4"/>
      <c r="G436" s="4"/>
      <c r="H436" s="4"/>
      <c r="I436" s="4"/>
      <c r="J436" s="4"/>
      <c r="K436" s="4"/>
      <c r="L436" s="4"/>
      <c r="M436" s="4"/>
    </row>
    <row r="437" spans="4:13">
      <c r="D437" s="4"/>
      <c r="G437" s="4"/>
      <c r="H437" s="4"/>
      <c r="I437" s="4"/>
      <c r="J437" s="4"/>
      <c r="K437" s="4"/>
      <c r="L437" s="4"/>
      <c r="M437" s="4"/>
    </row>
    <row r="438" spans="4:13">
      <c r="D438" s="4"/>
      <c r="G438" s="4"/>
      <c r="H438" s="4"/>
      <c r="I438" s="4"/>
      <c r="J438" s="4"/>
      <c r="K438" s="4"/>
      <c r="L438" s="4"/>
      <c r="M438" s="4"/>
    </row>
    <row r="439" spans="4:13">
      <c r="D439" s="4"/>
      <c r="G439" s="4"/>
      <c r="H439" s="4"/>
      <c r="I439" s="4"/>
      <c r="J439" s="4"/>
      <c r="K439" s="4"/>
      <c r="L439" s="4"/>
      <c r="M439" s="4"/>
    </row>
    <row r="440" spans="4:13">
      <c r="D440" s="4"/>
      <c r="G440" s="4"/>
      <c r="H440" s="4"/>
      <c r="I440" s="4"/>
      <c r="J440" s="4"/>
      <c r="K440" s="4"/>
      <c r="L440" s="4"/>
      <c r="M440" s="4"/>
    </row>
    <row r="441" spans="4:13">
      <c r="D441" s="4"/>
      <c r="G441" s="4"/>
      <c r="H441" s="4"/>
      <c r="I441" s="4"/>
      <c r="J441" s="4"/>
      <c r="K441" s="4"/>
      <c r="L441" s="4"/>
      <c r="M441" s="4"/>
    </row>
    <row r="442" spans="4:13">
      <c r="D442" s="4"/>
      <c r="G442" s="4"/>
      <c r="H442" s="4"/>
      <c r="I442" s="4"/>
      <c r="J442" s="4"/>
      <c r="K442" s="4"/>
      <c r="L442" s="4"/>
      <c r="M442" s="4"/>
    </row>
    <row r="443" spans="4:13">
      <c r="D443" s="4"/>
      <c r="G443" s="4"/>
      <c r="H443" s="4"/>
      <c r="I443" s="4"/>
      <c r="J443" s="4"/>
      <c r="K443" s="4"/>
      <c r="L443" s="4"/>
      <c r="M443" s="4"/>
    </row>
    <row r="444" spans="4:13">
      <c r="D444" s="4"/>
      <c r="G444" s="4"/>
      <c r="H444" s="4"/>
      <c r="I444" s="4"/>
      <c r="J444" s="4"/>
      <c r="K444" s="4"/>
      <c r="L444" s="4"/>
      <c r="M444" s="4"/>
    </row>
    <row r="445" spans="4:13">
      <c r="D445" s="4"/>
      <c r="G445" s="4"/>
      <c r="H445" s="4"/>
      <c r="I445" s="4"/>
      <c r="J445" s="4"/>
      <c r="K445" s="4"/>
      <c r="L445" s="4"/>
      <c r="M445" s="4"/>
    </row>
    <row r="446" spans="4:13">
      <c r="D446" s="4"/>
      <c r="G446" s="4"/>
      <c r="H446" s="4"/>
      <c r="I446" s="4"/>
      <c r="J446" s="4"/>
      <c r="K446" s="4"/>
      <c r="L446" s="4"/>
      <c r="M446" s="4"/>
    </row>
    <row r="447" spans="4:13">
      <c r="D447" s="4"/>
      <c r="G447" s="4"/>
      <c r="H447" s="4"/>
      <c r="I447" s="4"/>
      <c r="J447" s="4"/>
      <c r="K447" s="4"/>
      <c r="L447" s="4"/>
      <c r="M447" s="4"/>
    </row>
    <row r="448" spans="4:13">
      <c r="D448" s="4"/>
      <c r="G448" s="4"/>
      <c r="H448" s="4"/>
      <c r="I448" s="4"/>
      <c r="J448" s="4"/>
      <c r="K448" s="4"/>
      <c r="L448" s="4"/>
      <c r="M448" s="4"/>
    </row>
    <row r="449" spans="4:13">
      <c r="D449" s="4"/>
      <c r="G449" s="4"/>
      <c r="H449" s="4"/>
      <c r="I449" s="4"/>
      <c r="J449" s="4"/>
      <c r="K449" s="4"/>
      <c r="L449" s="4"/>
      <c r="M449" s="4"/>
    </row>
    <row r="450" spans="4:13">
      <c r="D450" s="4"/>
      <c r="G450" s="4"/>
      <c r="H450" s="4"/>
      <c r="I450" s="4"/>
      <c r="J450" s="4"/>
      <c r="K450" s="4"/>
      <c r="L450" s="4"/>
      <c r="M450" s="4"/>
    </row>
    <row r="451" spans="4:13">
      <c r="D451" s="4"/>
      <c r="G451" s="4"/>
      <c r="H451" s="4"/>
      <c r="I451" s="4"/>
      <c r="J451" s="4"/>
      <c r="K451" s="4"/>
      <c r="L451" s="4"/>
      <c r="M451" s="4"/>
    </row>
    <row r="452" spans="4:13">
      <c r="D452" s="4"/>
      <c r="G452" s="4"/>
      <c r="H452" s="4"/>
      <c r="I452" s="4"/>
      <c r="J452" s="4"/>
      <c r="K452" s="4"/>
      <c r="L452" s="4"/>
      <c r="M452" s="4"/>
    </row>
    <row r="453" spans="4:13">
      <c r="D453" s="4"/>
      <c r="G453" s="4"/>
      <c r="H453" s="4"/>
      <c r="I453" s="4"/>
      <c r="J453" s="4"/>
      <c r="K453" s="4"/>
      <c r="L453" s="4"/>
      <c r="M453" s="4"/>
    </row>
    <row r="454" spans="4:13">
      <c r="D454" s="4"/>
      <c r="G454" s="4"/>
      <c r="H454" s="4"/>
      <c r="I454" s="4"/>
      <c r="J454" s="4"/>
      <c r="K454" s="4"/>
      <c r="L454" s="4"/>
      <c r="M454" s="4"/>
    </row>
    <row r="455" spans="4:13">
      <c r="D455" s="4"/>
      <c r="G455" s="4"/>
      <c r="H455" s="4"/>
      <c r="I455" s="4"/>
      <c r="J455" s="4"/>
      <c r="K455" s="4"/>
      <c r="L455" s="4"/>
      <c r="M455" s="4"/>
    </row>
    <row r="456" spans="4:13">
      <c r="D456" s="4"/>
      <c r="G456" s="4"/>
      <c r="H456" s="4"/>
      <c r="I456" s="4"/>
      <c r="J456" s="4"/>
      <c r="K456" s="4"/>
      <c r="L456" s="4"/>
      <c r="M456" s="4"/>
    </row>
    <row r="457" spans="4:13">
      <c r="D457" s="4"/>
      <c r="G457" s="4"/>
      <c r="H457" s="4"/>
      <c r="I457" s="4"/>
      <c r="J457" s="4"/>
      <c r="K457" s="4"/>
      <c r="L457" s="4"/>
      <c r="M457" s="4"/>
    </row>
    <row r="458" spans="4:13">
      <c r="D458" s="4"/>
      <c r="G458" s="4"/>
      <c r="H458" s="4"/>
      <c r="I458" s="4"/>
      <c r="J458" s="4"/>
      <c r="K458" s="4"/>
      <c r="L458" s="4"/>
      <c r="M458" s="4"/>
    </row>
    <row r="459" spans="4:13">
      <c r="D459" s="4"/>
      <c r="G459" s="4"/>
      <c r="H459" s="4"/>
      <c r="I459" s="4"/>
      <c r="J459" s="4"/>
      <c r="K459" s="4"/>
      <c r="L459" s="4"/>
      <c r="M459" s="4"/>
    </row>
    <row r="460" spans="4:13">
      <c r="D460" s="4"/>
      <c r="G460" s="4"/>
      <c r="H460" s="4"/>
      <c r="I460" s="4"/>
      <c r="J460" s="4"/>
      <c r="K460" s="4"/>
      <c r="L460" s="4"/>
      <c r="M460" s="4"/>
    </row>
    <row r="461" spans="4:13">
      <c r="D461" s="4"/>
      <c r="G461" s="4"/>
      <c r="H461" s="4"/>
      <c r="I461" s="4"/>
      <c r="J461" s="4"/>
      <c r="K461" s="4"/>
      <c r="L461" s="4"/>
      <c r="M461" s="4"/>
    </row>
    <row r="462" spans="4:13">
      <c r="D462" s="4"/>
      <c r="G462" s="4"/>
      <c r="H462" s="4"/>
      <c r="I462" s="4"/>
      <c r="J462" s="4"/>
      <c r="K462" s="4"/>
      <c r="L462" s="4"/>
      <c r="M462" s="4"/>
    </row>
    <row r="463" spans="4:13">
      <c r="D463" s="4"/>
      <c r="G463" s="4"/>
      <c r="H463" s="4"/>
      <c r="I463" s="4"/>
      <c r="J463" s="4"/>
      <c r="K463" s="4"/>
      <c r="L463" s="4"/>
      <c r="M463" s="4"/>
    </row>
    <row r="464" spans="4:13">
      <c r="D464" s="4"/>
      <c r="G464" s="4"/>
      <c r="H464" s="4"/>
      <c r="I464" s="4"/>
      <c r="J464" s="4"/>
      <c r="K464" s="4"/>
      <c r="L464" s="4"/>
      <c r="M464" s="4"/>
    </row>
    <row r="465" spans="4:13">
      <c r="D465" s="4"/>
      <c r="G465" s="4"/>
      <c r="H465" s="4"/>
      <c r="I465" s="4"/>
      <c r="J465" s="4"/>
      <c r="K465" s="4"/>
      <c r="L465" s="4"/>
      <c r="M465" s="4"/>
    </row>
    <row r="466" spans="4:13">
      <c r="D466" s="4"/>
      <c r="G466" s="4"/>
      <c r="H466" s="4"/>
      <c r="I466" s="4"/>
      <c r="J466" s="4"/>
      <c r="K466" s="4"/>
      <c r="L466" s="4"/>
      <c r="M466" s="4"/>
    </row>
    <row r="467" spans="4:13">
      <c r="D467" s="4"/>
      <c r="G467" s="4"/>
      <c r="H467" s="4"/>
      <c r="I467" s="4"/>
      <c r="J467" s="4"/>
      <c r="K467" s="4"/>
      <c r="L467" s="4"/>
      <c r="M467" s="4"/>
    </row>
    <row r="468" spans="4:13">
      <c r="D468" s="4"/>
      <c r="G468" s="4"/>
      <c r="H468" s="4"/>
      <c r="I468" s="4"/>
      <c r="J468" s="4"/>
      <c r="K468" s="4"/>
      <c r="L468" s="4"/>
      <c r="M468" s="4"/>
    </row>
    <row r="469" spans="4:13">
      <c r="D469" s="4"/>
      <c r="G469" s="4"/>
      <c r="H469" s="4"/>
      <c r="I469" s="4"/>
      <c r="J469" s="4"/>
      <c r="K469" s="4"/>
      <c r="L469" s="4"/>
      <c r="M469" s="4"/>
    </row>
    <row r="470" spans="4:13">
      <c r="D470" s="4"/>
      <c r="G470" s="4"/>
      <c r="H470" s="4"/>
      <c r="I470" s="4"/>
      <c r="J470" s="4"/>
      <c r="K470" s="4"/>
      <c r="L470" s="4"/>
      <c r="M470" s="4"/>
    </row>
    <row r="471" spans="4:13">
      <c r="D471" s="4"/>
      <c r="G471" s="4"/>
      <c r="H471" s="4"/>
      <c r="I471" s="4"/>
      <c r="J471" s="4"/>
      <c r="K471" s="4"/>
      <c r="L471" s="4"/>
      <c r="M471" s="4"/>
    </row>
    <row r="472" spans="4:13">
      <c r="D472" s="4"/>
      <c r="G472" s="4"/>
      <c r="H472" s="4"/>
      <c r="I472" s="4"/>
      <c r="J472" s="4"/>
      <c r="K472" s="4"/>
      <c r="L472" s="4"/>
      <c r="M472" s="4"/>
    </row>
    <row r="473" spans="4:13">
      <c r="D473" s="4"/>
      <c r="G473" s="4"/>
      <c r="H473" s="4"/>
      <c r="I473" s="4"/>
      <c r="J473" s="4"/>
      <c r="K473" s="4"/>
      <c r="L473" s="4"/>
      <c r="M473" s="4"/>
    </row>
    <row r="474" spans="4:13">
      <c r="D474" s="4"/>
      <c r="G474" s="4"/>
      <c r="H474" s="4"/>
      <c r="I474" s="4"/>
      <c r="J474" s="4"/>
      <c r="K474" s="4"/>
      <c r="L474" s="4"/>
      <c r="M474" s="4"/>
    </row>
    <row r="475" spans="4:13">
      <c r="D475" s="4"/>
      <c r="G475" s="4"/>
      <c r="H475" s="4"/>
      <c r="I475" s="4"/>
      <c r="J475" s="4"/>
      <c r="K475" s="4"/>
      <c r="L475" s="4"/>
      <c r="M475" s="4"/>
    </row>
    <row r="476" spans="4:13">
      <c r="D476" s="4"/>
      <c r="G476" s="4"/>
      <c r="H476" s="4"/>
      <c r="I476" s="4"/>
      <c r="J476" s="4"/>
      <c r="K476" s="4"/>
      <c r="L476" s="4"/>
      <c r="M476" s="4"/>
    </row>
    <row r="477" spans="4:13">
      <c r="D477" s="4"/>
      <c r="G477" s="4"/>
      <c r="H477" s="4"/>
      <c r="I477" s="4"/>
      <c r="J477" s="4"/>
      <c r="K477" s="4"/>
      <c r="L477" s="4"/>
      <c r="M477" s="4"/>
    </row>
    <row r="478" spans="4:13">
      <c r="D478" s="4"/>
      <c r="G478" s="4"/>
      <c r="H478" s="4"/>
      <c r="I478" s="4"/>
      <c r="J478" s="4"/>
      <c r="K478" s="4"/>
      <c r="L478" s="4"/>
      <c r="M478" s="4"/>
    </row>
    <row r="479" spans="4:13">
      <c r="D479" s="4"/>
      <c r="G479" s="4"/>
      <c r="H479" s="4"/>
      <c r="I479" s="4"/>
      <c r="J479" s="4"/>
      <c r="K479" s="4"/>
      <c r="L479" s="4"/>
      <c r="M479" s="4"/>
    </row>
    <row r="480" spans="4:13">
      <c r="D480" s="4"/>
      <c r="G480" s="4"/>
      <c r="H480" s="4"/>
      <c r="I480" s="4"/>
      <c r="J480" s="4"/>
      <c r="K480" s="4"/>
      <c r="L480" s="4"/>
      <c r="M480" s="4"/>
    </row>
    <row r="481" spans="4:13">
      <c r="D481" s="4"/>
      <c r="G481" s="4"/>
      <c r="H481" s="4"/>
      <c r="I481" s="4"/>
      <c r="J481" s="4"/>
      <c r="K481" s="4"/>
      <c r="L481" s="4"/>
      <c r="M481" s="4"/>
    </row>
    <row r="482" spans="4:13">
      <c r="D482" s="4"/>
      <c r="G482" s="4"/>
      <c r="H482" s="4"/>
      <c r="I482" s="4"/>
      <c r="J482" s="4"/>
      <c r="K482" s="4"/>
      <c r="L482" s="4"/>
      <c r="M482" s="4"/>
    </row>
    <row r="483" spans="4:13">
      <c r="D483" s="4"/>
      <c r="G483" s="4"/>
      <c r="H483" s="4"/>
      <c r="I483" s="4"/>
      <c r="J483" s="4"/>
      <c r="K483" s="4"/>
      <c r="L483" s="4"/>
      <c r="M483" s="4"/>
    </row>
    <row r="484" spans="4:13">
      <c r="D484" s="4"/>
      <c r="G484" s="4"/>
      <c r="H484" s="4"/>
      <c r="I484" s="4"/>
      <c r="J484" s="4"/>
      <c r="K484" s="4"/>
      <c r="L484" s="4"/>
      <c r="M484" s="4"/>
    </row>
    <row r="485" spans="4:13">
      <c r="D485" s="4"/>
      <c r="G485" s="4"/>
      <c r="H485" s="4"/>
      <c r="I485" s="4"/>
      <c r="J485" s="4"/>
      <c r="K485" s="4"/>
      <c r="L485" s="4"/>
      <c r="M485" s="4"/>
    </row>
    <row r="486" spans="4:13">
      <c r="D486" s="4"/>
      <c r="G486" s="4"/>
      <c r="H486" s="4"/>
      <c r="I486" s="4"/>
      <c r="J486" s="4"/>
      <c r="K486" s="4"/>
      <c r="L486" s="4"/>
      <c r="M486" s="4"/>
    </row>
    <row r="487" spans="4:13">
      <c r="D487" s="4"/>
      <c r="G487" s="4"/>
      <c r="H487" s="4"/>
      <c r="I487" s="4"/>
      <c r="J487" s="4"/>
      <c r="K487" s="4"/>
      <c r="L487" s="4"/>
      <c r="M487" s="4"/>
    </row>
    <row r="488" spans="4:13">
      <c r="D488" s="4"/>
      <c r="G488" s="4"/>
      <c r="H488" s="4"/>
      <c r="I488" s="4"/>
      <c r="J488" s="4"/>
      <c r="K488" s="4"/>
      <c r="L488" s="4"/>
      <c r="M488" s="4"/>
    </row>
    <row r="489" spans="4:13">
      <c r="D489" s="4"/>
      <c r="G489" s="4"/>
      <c r="H489" s="4"/>
      <c r="I489" s="4"/>
      <c r="J489" s="4"/>
      <c r="K489" s="4"/>
      <c r="L489" s="4"/>
      <c r="M489" s="4"/>
    </row>
    <row r="490" spans="4:13">
      <c r="D490" s="4"/>
      <c r="G490" s="4"/>
      <c r="H490" s="4"/>
      <c r="I490" s="4"/>
      <c r="J490" s="4"/>
      <c r="K490" s="4"/>
      <c r="L490" s="4"/>
      <c r="M490" s="4"/>
    </row>
    <row r="491" spans="4:13">
      <c r="D491" s="4"/>
      <c r="G491" s="4"/>
      <c r="H491" s="4"/>
      <c r="I491" s="4"/>
      <c r="J491" s="4"/>
      <c r="K491" s="4"/>
      <c r="L491" s="4"/>
      <c r="M491" s="4"/>
    </row>
    <row r="492" spans="4:13">
      <c r="D492" s="4"/>
      <c r="G492" s="4"/>
      <c r="H492" s="4"/>
      <c r="I492" s="4"/>
      <c r="J492" s="4"/>
      <c r="K492" s="4"/>
      <c r="L492" s="4"/>
      <c r="M492" s="4"/>
    </row>
    <row r="493" spans="4:13">
      <c r="D493" s="4"/>
      <c r="G493" s="4"/>
      <c r="H493" s="4"/>
      <c r="I493" s="4"/>
      <c r="J493" s="4"/>
      <c r="K493" s="4"/>
      <c r="L493" s="4"/>
      <c r="M493" s="4"/>
    </row>
    <row r="494" spans="4:13">
      <c r="D494" s="4"/>
      <c r="G494" s="4"/>
      <c r="H494" s="4"/>
      <c r="I494" s="4"/>
      <c r="J494" s="4"/>
      <c r="K494" s="4"/>
      <c r="L494" s="4"/>
      <c r="M494" s="4"/>
    </row>
    <row r="495" spans="4:13">
      <c r="D495" s="4"/>
      <c r="G495" s="4"/>
      <c r="H495" s="4"/>
      <c r="I495" s="4"/>
      <c r="J495" s="4"/>
      <c r="K495" s="4"/>
      <c r="L495" s="4"/>
      <c r="M495" s="4"/>
    </row>
    <row r="496" spans="4:13">
      <c r="D496" s="4"/>
      <c r="G496" s="4"/>
      <c r="H496" s="4"/>
      <c r="I496" s="4"/>
      <c r="J496" s="4"/>
      <c r="K496" s="4"/>
      <c r="L496" s="4"/>
      <c r="M496" s="4"/>
    </row>
    <row r="497" spans="4:13">
      <c r="D497" s="4"/>
      <c r="G497" s="4"/>
      <c r="H497" s="4"/>
      <c r="I497" s="4"/>
      <c r="J497" s="4"/>
      <c r="K497" s="4"/>
      <c r="L497" s="4"/>
      <c r="M497" s="4"/>
    </row>
    <row r="498" spans="4:13">
      <c r="D498" s="4"/>
      <c r="G498" s="4"/>
      <c r="H498" s="4"/>
      <c r="I498" s="4"/>
      <c r="J498" s="4"/>
      <c r="K498" s="4"/>
      <c r="L498" s="4"/>
      <c r="M498" s="4"/>
    </row>
    <row r="499" spans="4:13">
      <c r="D499" s="4"/>
      <c r="G499" s="4"/>
      <c r="H499" s="4"/>
      <c r="I499" s="4"/>
      <c r="J499" s="4"/>
      <c r="K499" s="4"/>
      <c r="L499" s="4"/>
      <c r="M499" s="4"/>
    </row>
    <row r="500" spans="4:13">
      <c r="D500" s="4"/>
      <c r="G500" s="4"/>
      <c r="H500" s="4"/>
      <c r="I500" s="4"/>
      <c r="J500" s="4"/>
      <c r="K500" s="4"/>
      <c r="L500" s="4"/>
      <c r="M500" s="4"/>
    </row>
    <row r="501" spans="4:13">
      <c r="D501" s="4"/>
      <c r="G501" s="4"/>
      <c r="H501" s="4"/>
      <c r="I501" s="4"/>
      <c r="J501" s="4"/>
      <c r="K501" s="4"/>
      <c r="L501" s="4"/>
      <c r="M501" s="4"/>
    </row>
    <row r="502" spans="4:13">
      <c r="D502" s="4"/>
      <c r="G502" s="4"/>
      <c r="H502" s="4"/>
      <c r="I502" s="4"/>
      <c r="J502" s="4"/>
      <c r="K502" s="4"/>
      <c r="L502" s="4"/>
      <c r="M502" s="4"/>
    </row>
    <row r="503" spans="4:13">
      <c r="D503" s="4"/>
      <c r="G503" s="4"/>
      <c r="H503" s="4"/>
      <c r="I503" s="4"/>
      <c r="J503" s="4"/>
      <c r="K503" s="4"/>
      <c r="L503" s="4"/>
      <c r="M503" s="4"/>
    </row>
    <row r="504" spans="4:13">
      <c r="D504" s="4"/>
      <c r="G504" s="4"/>
      <c r="H504" s="4"/>
      <c r="I504" s="4"/>
      <c r="J504" s="4"/>
      <c r="K504" s="4"/>
      <c r="L504" s="4"/>
      <c r="M504" s="4"/>
    </row>
    <row r="505" spans="4:13">
      <c r="D505" s="4"/>
      <c r="G505" s="4"/>
      <c r="H505" s="4"/>
      <c r="I505" s="4"/>
      <c r="J505" s="4"/>
      <c r="K505" s="4"/>
      <c r="L505" s="4"/>
      <c r="M505" s="4"/>
    </row>
    <row r="506" spans="4:13">
      <c r="D506" s="4"/>
      <c r="G506" s="4"/>
      <c r="H506" s="4"/>
      <c r="I506" s="4"/>
      <c r="J506" s="4"/>
      <c r="K506" s="4"/>
      <c r="L506" s="4"/>
      <c r="M506" s="4"/>
    </row>
    <row r="507" spans="4:13">
      <c r="D507" s="4"/>
      <c r="G507" s="4"/>
      <c r="H507" s="4"/>
      <c r="I507" s="4"/>
      <c r="J507" s="4"/>
      <c r="K507" s="4"/>
      <c r="L507" s="4"/>
      <c r="M507" s="4"/>
    </row>
    <row r="508" spans="4:13">
      <c r="D508" s="4"/>
      <c r="G508" s="4"/>
      <c r="H508" s="4"/>
      <c r="I508" s="4"/>
      <c r="J508" s="4"/>
      <c r="K508" s="4"/>
      <c r="L508" s="4"/>
      <c r="M508" s="4"/>
    </row>
    <row r="509" spans="4:13">
      <c r="D509" s="4"/>
      <c r="G509" s="4"/>
      <c r="H509" s="4"/>
      <c r="I509" s="4"/>
      <c r="J509" s="4"/>
      <c r="K509" s="4"/>
      <c r="L509" s="4"/>
      <c r="M509" s="4"/>
    </row>
    <row r="510" spans="4:13">
      <c r="D510" s="4"/>
      <c r="G510" s="4"/>
      <c r="H510" s="4"/>
      <c r="I510" s="4"/>
      <c r="J510" s="4"/>
      <c r="K510" s="4"/>
      <c r="L510" s="4"/>
      <c r="M510" s="4"/>
    </row>
    <row r="511" spans="4:13">
      <c r="D511" s="4"/>
      <c r="G511" s="4"/>
      <c r="H511" s="4"/>
      <c r="I511" s="4"/>
      <c r="J511" s="4"/>
      <c r="K511" s="4"/>
      <c r="L511" s="4"/>
      <c r="M511" s="4"/>
    </row>
    <row r="512" spans="4:13">
      <c r="D512" s="4"/>
      <c r="G512" s="4"/>
      <c r="H512" s="4"/>
      <c r="I512" s="4"/>
      <c r="J512" s="4"/>
      <c r="K512" s="4"/>
      <c r="L512" s="4"/>
      <c r="M512" s="4"/>
    </row>
    <row r="513" spans="4:13">
      <c r="D513" s="4"/>
      <c r="G513" s="4"/>
      <c r="H513" s="4"/>
      <c r="I513" s="4"/>
      <c r="J513" s="4"/>
      <c r="K513" s="4"/>
      <c r="L513" s="4"/>
      <c r="M513" s="4"/>
    </row>
    <row r="514" spans="4:13">
      <c r="D514" s="4"/>
      <c r="G514" s="4"/>
      <c r="H514" s="4"/>
      <c r="I514" s="4"/>
      <c r="J514" s="4"/>
      <c r="K514" s="4"/>
      <c r="L514" s="4"/>
      <c r="M514" s="4"/>
    </row>
    <row r="515" spans="4:13">
      <c r="D515" s="4"/>
      <c r="G515" s="4"/>
      <c r="H515" s="4"/>
      <c r="I515" s="4"/>
      <c r="J515" s="4"/>
      <c r="K515" s="4"/>
      <c r="L515" s="4"/>
      <c r="M515" s="4"/>
    </row>
    <row r="516" spans="4:13">
      <c r="D516" s="4"/>
      <c r="G516" s="4"/>
      <c r="H516" s="4"/>
      <c r="I516" s="4"/>
      <c r="J516" s="4"/>
      <c r="K516" s="4"/>
      <c r="L516" s="4"/>
      <c r="M516" s="4"/>
    </row>
    <row r="517" spans="4:13">
      <c r="D517" s="4"/>
      <c r="G517" s="4"/>
      <c r="H517" s="4"/>
      <c r="I517" s="4"/>
      <c r="J517" s="4"/>
      <c r="K517" s="4"/>
      <c r="L517" s="4"/>
      <c r="M517" s="4"/>
    </row>
    <row r="518" spans="4:13">
      <c r="D518" s="4"/>
      <c r="G518" s="4"/>
      <c r="H518" s="4"/>
      <c r="I518" s="4"/>
      <c r="J518" s="4"/>
      <c r="K518" s="4"/>
      <c r="L518" s="4"/>
      <c r="M518" s="4"/>
    </row>
    <row r="519" spans="4:13">
      <c r="D519" s="4"/>
      <c r="G519" s="4"/>
      <c r="H519" s="4"/>
      <c r="I519" s="4"/>
      <c r="J519" s="4"/>
      <c r="K519" s="4"/>
      <c r="L519" s="4"/>
      <c r="M519" s="4"/>
    </row>
    <row r="520" spans="4:13">
      <c r="D520" s="4"/>
      <c r="G520" s="4"/>
      <c r="H520" s="4"/>
      <c r="I520" s="4"/>
      <c r="J520" s="4"/>
      <c r="K520" s="4"/>
      <c r="L520" s="4"/>
      <c r="M520" s="4"/>
    </row>
    <row r="521" spans="4:13">
      <c r="D521" s="4"/>
      <c r="G521" s="4"/>
      <c r="H521" s="4"/>
      <c r="I521" s="4"/>
      <c r="J521" s="4"/>
      <c r="K521" s="4"/>
      <c r="L521" s="4"/>
      <c r="M521" s="4"/>
    </row>
    <row r="522" spans="4:13">
      <c r="D522" s="4"/>
      <c r="G522" s="4"/>
      <c r="H522" s="4"/>
      <c r="I522" s="4"/>
      <c r="J522" s="4"/>
      <c r="K522" s="4"/>
      <c r="L522" s="4"/>
      <c r="M522" s="4"/>
    </row>
    <row r="523" spans="4:13">
      <c r="D523" s="4"/>
      <c r="G523" s="4"/>
      <c r="H523" s="4"/>
      <c r="I523" s="4"/>
      <c r="J523" s="4"/>
      <c r="K523" s="4"/>
      <c r="L523" s="4"/>
      <c r="M523" s="4"/>
    </row>
    <row r="524" spans="4:13">
      <c r="D524" s="4"/>
      <c r="G524" s="4"/>
      <c r="H524" s="4"/>
      <c r="I524" s="4"/>
      <c r="J524" s="4"/>
      <c r="K524" s="4"/>
      <c r="L524" s="4"/>
      <c r="M524" s="4"/>
    </row>
    <row r="525" spans="4:13">
      <c r="D525" s="4"/>
      <c r="G525" s="4"/>
      <c r="H525" s="4"/>
      <c r="I525" s="4"/>
      <c r="J525" s="4"/>
      <c r="K525" s="4"/>
      <c r="L525" s="4"/>
      <c r="M525" s="4"/>
    </row>
    <row r="526" spans="4:13">
      <c r="D526" s="4"/>
      <c r="G526" s="4"/>
      <c r="H526" s="4"/>
      <c r="I526" s="4"/>
      <c r="J526" s="4"/>
      <c r="K526" s="4"/>
      <c r="L526" s="4"/>
      <c r="M526" s="4"/>
    </row>
    <row r="527" spans="4:13">
      <c r="D527" s="4"/>
      <c r="G527" s="4"/>
      <c r="H527" s="4"/>
      <c r="I527" s="4"/>
      <c r="J527" s="4"/>
      <c r="K527" s="4"/>
      <c r="L527" s="4"/>
      <c r="M527" s="4"/>
    </row>
    <row r="528" spans="4:13">
      <c r="D528" s="4"/>
      <c r="G528" s="4"/>
      <c r="H528" s="4"/>
      <c r="I528" s="4"/>
      <c r="J528" s="4"/>
      <c r="K528" s="4"/>
      <c r="L528" s="4"/>
      <c r="M528" s="4"/>
    </row>
    <row r="529" spans="4:13">
      <c r="D529" s="4"/>
      <c r="G529" s="4"/>
      <c r="H529" s="4"/>
      <c r="I529" s="4"/>
      <c r="J529" s="4"/>
      <c r="K529" s="4"/>
      <c r="L529" s="4"/>
      <c r="M529" s="4"/>
    </row>
    <row r="530" spans="4:13">
      <c r="D530" s="4"/>
      <c r="G530" s="4"/>
      <c r="H530" s="4"/>
      <c r="I530" s="4"/>
      <c r="J530" s="4"/>
      <c r="K530" s="4"/>
      <c r="L530" s="4"/>
      <c r="M530" s="4"/>
    </row>
    <row r="531" spans="4:13">
      <c r="D531" s="4"/>
      <c r="G531" s="4"/>
      <c r="H531" s="4"/>
      <c r="I531" s="4"/>
      <c r="J531" s="4"/>
      <c r="K531" s="4"/>
      <c r="L531" s="4"/>
      <c r="M531" s="4"/>
    </row>
    <row r="532" spans="4:13">
      <c r="D532" s="4"/>
      <c r="G532" s="4"/>
      <c r="H532" s="4"/>
      <c r="I532" s="4"/>
      <c r="J532" s="4"/>
      <c r="K532" s="4"/>
      <c r="L532" s="4"/>
      <c r="M532" s="4"/>
    </row>
    <row r="533" spans="4:13">
      <c r="D533" s="4"/>
      <c r="G533" s="4"/>
      <c r="H533" s="4"/>
      <c r="I533" s="4"/>
      <c r="J533" s="4"/>
      <c r="K533" s="4"/>
      <c r="L533" s="4"/>
      <c r="M533" s="4"/>
    </row>
    <row r="534" spans="4:13">
      <c r="D534" s="4"/>
      <c r="G534" s="4"/>
      <c r="H534" s="4"/>
      <c r="I534" s="4"/>
      <c r="J534" s="4"/>
      <c r="K534" s="4"/>
      <c r="L534" s="4"/>
      <c r="M534" s="4"/>
    </row>
    <row r="535" spans="4:13">
      <c r="D535" s="4"/>
      <c r="G535" s="4"/>
      <c r="H535" s="4"/>
      <c r="I535" s="4"/>
      <c r="J535" s="4"/>
      <c r="K535" s="4"/>
      <c r="L535" s="4"/>
      <c r="M535" s="4"/>
    </row>
    <row r="536" spans="4:13">
      <c r="D536" s="4"/>
      <c r="G536" s="4"/>
      <c r="H536" s="4"/>
      <c r="I536" s="4"/>
      <c r="J536" s="4"/>
      <c r="K536" s="4"/>
      <c r="L536" s="4"/>
      <c r="M536" s="4"/>
    </row>
    <row r="537" spans="4:13">
      <c r="D537" s="4"/>
      <c r="G537" s="4"/>
      <c r="H537" s="4"/>
      <c r="I537" s="4"/>
      <c r="J537" s="4"/>
      <c r="K537" s="4"/>
      <c r="L537" s="4"/>
      <c r="M537" s="4"/>
    </row>
    <row r="538" spans="4:13">
      <c r="D538" s="4"/>
      <c r="G538" s="4"/>
      <c r="H538" s="4"/>
      <c r="I538" s="4"/>
      <c r="J538" s="4"/>
      <c r="K538" s="4"/>
      <c r="L538" s="4"/>
      <c r="M538" s="4"/>
    </row>
    <row r="539" spans="4:13">
      <c r="D539" s="4"/>
      <c r="G539" s="4"/>
      <c r="H539" s="4"/>
      <c r="I539" s="4"/>
      <c r="J539" s="4"/>
      <c r="K539" s="4"/>
      <c r="L539" s="4"/>
      <c r="M539" s="4"/>
    </row>
    <row r="540" spans="4:13">
      <c r="D540" s="4"/>
      <c r="G540" s="4"/>
      <c r="H540" s="4"/>
      <c r="I540" s="4"/>
      <c r="J540" s="4"/>
      <c r="K540" s="4"/>
      <c r="L540" s="4"/>
      <c r="M540" s="4"/>
    </row>
    <row r="541" spans="4:13">
      <c r="D541" s="4"/>
      <c r="G541" s="4"/>
      <c r="H541" s="4"/>
      <c r="I541" s="4"/>
      <c r="J541" s="4"/>
      <c r="K541" s="4"/>
      <c r="L541" s="4"/>
      <c r="M541" s="4"/>
    </row>
    <row r="542" spans="4:13">
      <c r="D542" s="4"/>
      <c r="G542" s="4"/>
      <c r="H542" s="4"/>
      <c r="I542" s="4"/>
      <c r="J542" s="4"/>
      <c r="K542" s="4"/>
      <c r="L542" s="4"/>
      <c r="M542" s="4"/>
    </row>
    <row r="543" spans="4:13">
      <c r="D543" s="4"/>
      <c r="G543" s="4"/>
      <c r="H543" s="4"/>
      <c r="I543" s="4"/>
      <c r="J543" s="4"/>
      <c r="K543" s="4"/>
      <c r="L543" s="4"/>
      <c r="M543" s="4"/>
    </row>
    <row r="544" spans="4:13">
      <c r="D544" s="4"/>
      <c r="G544" s="4"/>
      <c r="H544" s="4"/>
      <c r="I544" s="4"/>
      <c r="J544" s="4"/>
      <c r="K544" s="4"/>
      <c r="L544" s="4"/>
      <c r="M544" s="4"/>
    </row>
    <row r="545" spans="4:13">
      <c r="D545" s="4"/>
      <c r="G545" s="4"/>
      <c r="H545" s="4"/>
      <c r="I545" s="4"/>
      <c r="J545" s="4"/>
      <c r="K545" s="4"/>
      <c r="L545" s="4"/>
      <c r="M545" s="4"/>
    </row>
    <row r="546" spans="4:13">
      <c r="D546" s="4"/>
      <c r="G546" s="4"/>
      <c r="H546" s="4"/>
      <c r="I546" s="4"/>
      <c r="J546" s="4"/>
      <c r="K546" s="4"/>
      <c r="L546" s="4"/>
      <c r="M546" s="4"/>
    </row>
    <row r="547" spans="4:13">
      <c r="D547" s="4"/>
      <c r="G547" s="4"/>
      <c r="H547" s="4"/>
      <c r="I547" s="4"/>
      <c r="J547" s="4"/>
      <c r="K547" s="4"/>
      <c r="L547" s="4"/>
      <c r="M547" s="4"/>
    </row>
    <row r="548" spans="4:13">
      <c r="D548" s="4"/>
      <c r="G548" s="4"/>
      <c r="H548" s="4"/>
      <c r="I548" s="4"/>
      <c r="J548" s="4"/>
      <c r="K548" s="4"/>
      <c r="L548" s="4"/>
      <c r="M548" s="4"/>
    </row>
    <row r="549" spans="4:13">
      <c r="D549" s="4"/>
      <c r="G549" s="4"/>
      <c r="H549" s="4"/>
      <c r="I549" s="4"/>
      <c r="J549" s="4"/>
      <c r="K549" s="4"/>
      <c r="L549" s="4"/>
      <c r="M549" s="4"/>
    </row>
    <row r="550" spans="4:13">
      <c r="D550" s="4"/>
      <c r="G550" s="4"/>
      <c r="H550" s="4"/>
      <c r="I550" s="4"/>
      <c r="J550" s="4"/>
      <c r="K550" s="4"/>
      <c r="L550" s="4"/>
      <c r="M550" s="4"/>
    </row>
    <row r="551" spans="4:13">
      <c r="D551" s="4"/>
      <c r="G551" s="4"/>
      <c r="H551" s="4"/>
      <c r="I551" s="4"/>
      <c r="J551" s="4"/>
      <c r="K551" s="4"/>
      <c r="L551" s="4"/>
      <c r="M551" s="4"/>
    </row>
    <row r="552" spans="4:13">
      <c r="D552" s="4"/>
      <c r="G552" s="4"/>
      <c r="H552" s="4"/>
      <c r="I552" s="4"/>
      <c r="J552" s="4"/>
      <c r="K552" s="4"/>
      <c r="L552" s="4"/>
      <c r="M552" s="4"/>
    </row>
    <row r="553" spans="4:13">
      <c r="D553" s="4"/>
      <c r="G553" s="4"/>
      <c r="H553" s="4"/>
      <c r="I553" s="4"/>
      <c r="J553" s="4"/>
      <c r="K553" s="4"/>
      <c r="L553" s="4"/>
      <c r="M553" s="4"/>
    </row>
    <row r="554" spans="4:13">
      <c r="D554" s="4"/>
      <c r="G554" s="4"/>
      <c r="H554" s="4"/>
      <c r="I554" s="4"/>
      <c r="J554" s="4"/>
      <c r="K554" s="4"/>
      <c r="L554" s="4"/>
      <c r="M554" s="4"/>
    </row>
    <row r="555" spans="4:13">
      <c r="D555" s="4"/>
      <c r="G555" s="4"/>
      <c r="H555" s="4"/>
      <c r="I555" s="4"/>
      <c r="J555" s="4"/>
      <c r="K555" s="4"/>
      <c r="L555" s="4"/>
      <c r="M555" s="4"/>
    </row>
    <row r="556" spans="4:13">
      <c r="D556" s="4"/>
      <c r="G556" s="4"/>
      <c r="H556" s="4"/>
      <c r="I556" s="4"/>
      <c r="J556" s="4"/>
      <c r="K556" s="4"/>
      <c r="L556" s="4"/>
      <c r="M556" s="4"/>
    </row>
    <row r="557" spans="4:13">
      <c r="D557" s="4"/>
      <c r="G557" s="4"/>
      <c r="H557" s="4"/>
      <c r="I557" s="4"/>
      <c r="J557" s="4"/>
      <c r="K557" s="4"/>
      <c r="L557" s="4"/>
      <c r="M557" s="4"/>
    </row>
    <row r="558" spans="4:13">
      <c r="D558" s="4"/>
      <c r="G558" s="4"/>
      <c r="H558" s="4"/>
      <c r="I558" s="4"/>
      <c r="J558" s="4"/>
      <c r="K558" s="4"/>
      <c r="L558" s="4"/>
      <c r="M558" s="4"/>
    </row>
    <row r="559" spans="4:13">
      <c r="D559" s="4"/>
      <c r="G559" s="4"/>
      <c r="H559" s="4"/>
      <c r="I559" s="4"/>
      <c r="J559" s="4"/>
      <c r="K559" s="4"/>
      <c r="L559" s="4"/>
      <c r="M559" s="4"/>
    </row>
    <row r="560" spans="4:13">
      <c r="D560" s="4"/>
      <c r="G560" s="4"/>
      <c r="H560" s="4"/>
      <c r="I560" s="4"/>
      <c r="J560" s="4"/>
      <c r="K560" s="4"/>
      <c r="L560" s="4"/>
      <c r="M560" s="4"/>
    </row>
    <row r="561" spans="4:13">
      <c r="D561" s="4"/>
      <c r="G561" s="4"/>
      <c r="H561" s="4"/>
      <c r="I561" s="4"/>
      <c r="J561" s="4"/>
      <c r="K561" s="4"/>
      <c r="L561" s="4"/>
      <c r="M561" s="4"/>
    </row>
    <row r="562" spans="4:13">
      <c r="D562" s="4"/>
      <c r="G562" s="4"/>
      <c r="H562" s="4"/>
      <c r="I562" s="4"/>
      <c r="J562" s="4"/>
      <c r="K562" s="4"/>
      <c r="L562" s="4"/>
      <c r="M562" s="4"/>
    </row>
    <row r="563" spans="4:13">
      <c r="D563" s="4"/>
      <c r="G563" s="4"/>
      <c r="H563" s="4"/>
      <c r="I563" s="4"/>
      <c r="J563" s="4"/>
      <c r="K563" s="4"/>
      <c r="L563" s="4"/>
      <c r="M563" s="4"/>
    </row>
    <row r="564" spans="4:13">
      <c r="D564" s="4"/>
      <c r="G564" s="4"/>
      <c r="H564" s="4"/>
      <c r="I564" s="4"/>
      <c r="J564" s="4"/>
      <c r="K564" s="4"/>
      <c r="L564" s="4"/>
      <c r="M564" s="4"/>
    </row>
    <row r="565" spans="4:13">
      <c r="D565" s="4"/>
      <c r="G565" s="4"/>
      <c r="H565" s="4"/>
      <c r="I565" s="4"/>
      <c r="J565" s="4"/>
      <c r="K565" s="4"/>
      <c r="L565" s="4"/>
      <c r="M565" s="4"/>
    </row>
    <row r="566" spans="4:13">
      <c r="D566" s="4"/>
      <c r="G566" s="4"/>
      <c r="H566" s="4"/>
      <c r="I566" s="4"/>
      <c r="J566" s="4"/>
      <c r="K566" s="4"/>
      <c r="L566" s="4"/>
      <c r="M566" s="4"/>
    </row>
    <row r="567" spans="4:13">
      <c r="D567" s="4"/>
      <c r="G567" s="4"/>
      <c r="H567" s="4"/>
      <c r="I567" s="4"/>
      <c r="J567" s="4"/>
      <c r="K567" s="4"/>
      <c r="L567" s="4"/>
      <c r="M567" s="4"/>
    </row>
    <row r="568" spans="4:13">
      <c r="D568" s="4"/>
      <c r="G568" s="4"/>
      <c r="H568" s="4"/>
      <c r="I568" s="4"/>
      <c r="J568" s="4"/>
      <c r="K568" s="4"/>
      <c r="L568" s="4"/>
      <c r="M568" s="4"/>
    </row>
    <row r="569" spans="4:13">
      <c r="D569" s="4"/>
      <c r="G569" s="4"/>
      <c r="H569" s="4"/>
      <c r="I569" s="4"/>
      <c r="J569" s="4"/>
      <c r="K569" s="4"/>
      <c r="L569" s="4"/>
      <c r="M569" s="4"/>
    </row>
    <row r="570" spans="4:13">
      <c r="D570" s="4"/>
      <c r="G570" s="4"/>
      <c r="H570" s="4"/>
      <c r="I570" s="4"/>
      <c r="J570" s="4"/>
      <c r="K570" s="4"/>
      <c r="L570" s="4"/>
      <c r="M570" s="4"/>
    </row>
    <row r="571" spans="4:13">
      <c r="D571" s="4"/>
      <c r="G571" s="4"/>
      <c r="H571" s="4"/>
      <c r="I571" s="4"/>
      <c r="J571" s="4"/>
      <c r="K571" s="4"/>
      <c r="L571" s="4"/>
      <c r="M571" s="4"/>
    </row>
    <row r="572" spans="4:13">
      <c r="D572" s="4"/>
      <c r="G572" s="4"/>
      <c r="H572" s="4"/>
      <c r="I572" s="4"/>
      <c r="J572" s="4"/>
      <c r="K572" s="4"/>
      <c r="L572" s="4"/>
      <c r="M572" s="4"/>
    </row>
    <row r="573" spans="4:13">
      <c r="D573" s="4"/>
      <c r="G573" s="4"/>
      <c r="H573" s="4"/>
      <c r="I573" s="4"/>
      <c r="J573" s="4"/>
      <c r="K573" s="4"/>
      <c r="L573" s="4"/>
      <c r="M573" s="4"/>
    </row>
    <row r="574" spans="4:13">
      <c r="D574" s="4"/>
      <c r="G574" s="4"/>
      <c r="H574" s="4"/>
      <c r="I574" s="4"/>
      <c r="J574" s="4"/>
      <c r="K574" s="4"/>
      <c r="L574" s="4"/>
      <c r="M574" s="4"/>
    </row>
    <row r="575" spans="4:13">
      <c r="D575" s="4"/>
      <c r="G575" s="4"/>
      <c r="H575" s="4"/>
      <c r="I575" s="4"/>
      <c r="J575" s="4"/>
      <c r="K575" s="4"/>
      <c r="L575" s="4"/>
      <c r="M575" s="4"/>
    </row>
    <row r="576" spans="4:13">
      <c r="D576" s="4"/>
      <c r="G576" s="4"/>
      <c r="H576" s="4"/>
      <c r="I576" s="4"/>
      <c r="J576" s="4"/>
      <c r="K576" s="4"/>
      <c r="L576" s="4"/>
      <c r="M576" s="4"/>
    </row>
    <row r="577" spans="4:13">
      <c r="D577" s="4"/>
      <c r="G577" s="4"/>
      <c r="H577" s="4"/>
      <c r="I577" s="4"/>
      <c r="J577" s="4"/>
      <c r="K577" s="4"/>
      <c r="L577" s="4"/>
      <c r="M577" s="4"/>
    </row>
    <row r="578" spans="4:13">
      <c r="D578" s="4"/>
      <c r="G578" s="4"/>
      <c r="H578" s="4"/>
      <c r="I578" s="4"/>
      <c r="J578" s="4"/>
      <c r="K578" s="4"/>
      <c r="L578" s="4"/>
      <c r="M578" s="4"/>
    </row>
    <row r="579" spans="4:13">
      <c r="D579" s="4"/>
      <c r="G579" s="4"/>
      <c r="H579" s="4"/>
      <c r="I579" s="4"/>
      <c r="J579" s="4"/>
      <c r="K579" s="4"/>
      <c r="L579" s="4"/>
      <c r="M579" s="4"/>
    </row>
    <row r="580" spans="4:13">
      <c r="D580" s="4"/>
      <c r="G580" s="4"/>
      <c r="H580" s="4"/>
      <c r="I580" s="4"/>
      <c r="J580" s="4"/>
      <c r="K580" s="4"/>
      <c r="L580" s="4"/>
      <c r="M580" s="4"/>
    </row>
    <row r="581" spans="4:13">
      <c r="D581" s="4"/>
      <c r="G581" s="4"/>
      <c r="H581" s="4"/>
      <c r="I581" s="4"/>
      <c r="J581" s="4"/>
      <c r="K581" s="4"/>
      <c r="L581" s="4"/>
      <c r="M581" s="4"/>
    </row>
    <row r="582" spans="4:13">
      <c r="D582" s="4"/>
      <c r="G582" s="4"/>
      <c r="H582" s="4"/>
      <c r="I582" s="4"/>
      <c r="J582" s="4"/>
      <c r="K582" s="4"/>
      <c r="L582" s="4"/>
      <c r="M582" s="4"/>
    </row>
    <row r="583" spans="4:13">
      <c r="D583" s="4"/>
      <c r="G583" s="4"/>
      <c r="H583" s="4"/>
      <c r="I583" s="4"/>
      <c r="J583" s="4"/>
      <c r="K583" s="4"/>
      <c r="L583" s="4"/>
      <c r="M583" s="4"/>
    </row>
    <row r="584" spans="4:13">
      <c r="D584" s="4"/>
      <c r="G584" s="4"/>
      <c r="H584" s="4"/>
      <c r="I584" s="4"/>
      <c r="J584" s="4"/>
      <c r="K584" s="4"/>
      <c r="L584" s="4"/>
      <c r="M584" s="4"/>
    </row>
    <row r="585" spans="4:13">
      <c r="D585" s="4"/>
      <c r="G585" s="4"/>
      <c r="H585" s="4"/>
      <c r="I585" s="4"/>
      <c r="J585" s="4"/>
      <c r="K585" s="4"/>
      <c r="L585" s="4"/>
      <c r="M585" s="4"/>
    </row>
    <row r="586" spans="4:13">
      <c r="D586" s="4"/>
      <c r="G586" s="4"/>
      <c r="H586" s="4"/>
      <c r="I586" s="4"/>
      <c r="J586" s="4"/>
      <c r="K586" s="4"/>
      <c r="L586" s="4"/>
      <c r="M586" s="4"/>
    </row>
    <row r="587" spans="4:13">
      <c r="D587" s="4"/>
      <c r="G587" s="4"/>
      <c r="H587" s="4"/>
      <c r="I587" s="4"/>
      <c r="J587" s="4"/>
      <c r="K587" s="4"/>
      <c r="L587" s="4"/>
      <c r="M587" s="4"/>
    </row>
    <row r="588" spans="4:13">
      <c r="D588" s="4"/>
      <c r="G588" s="4"/>
      <c r="H588" s="4"/>
      <c r="I588" s="4"/>
      <c r="J588" s="4"/>
      <c r="K588" s="4"/>
      <c r="L588" s="4"/>
      <c r="M588" s="4"/>
    </row>
    <row r="589" spans="4:13">
      <c r="D589" s="4"/>
      <c r="G589" s="4"/>
      <c r="H589" s="4"/>
      <c r="I589" s="4"/>
      <c r="J589" s="4"/>
      <c r="K589" s="4"/>
      <c r="L589" s="4"/>
      <c r="M589" s="4"/>
    </row>
    <row r="590" spans="4:13">
      <c r="D590" s="4"/>
      <c r="G590" s="4"/>
      <c r="H590" s="4"/>
      <c r="I590" s="4"/>
      <c r="J590" s="4"/>
      <c r="K590" s="4"/>
      <c r="L590" s="4"/>
      <c r="M590" s="4"/>
    </row>
    <row r="591" spans="4:13">
      <c r="D591" s="4"/>
      <c r="G591" s="4"/>
      <c r="H591" s="4"/>
      <c r="I591" s="4"/>
      <c r="J591" s="4"/>
      <c r="K591" s="4"/>
      <c r="L591" s="4"/>
      <c r="M591" s="4"/>
    </row>
    <row r="592" spans="4:13">
      <c r="D592" s="4"/>
      <c r="G592" s="4"/>
      <c r="H592" s="4"/>
      <c r="I592" s="4"/>
      <c r="J592" s="4"/>
      <c r="K592" s="4"/>
      <c r="L592" s="4"/>
      <c r="M592" s="4"/>
    </row>
    <row r="593" spans="4:13">
      <c r="D593" s="4"/>
      <c r="G593" s="4"/>
      <c r="H593" s="4"/>
      <c r="I593" s="4"/>
      <c r="J593" s="4"/>
      <c r="K593" s="4"/>
      <c r="L593" s="4"/>
      <c r="M593" s="4"/>
    </row>
    <row r="594" spans="4:13">
      <c r="D594" s="4"/>
      <c r="G594" s="4"/>
      <c r="H594" s="4"/>
      <c r="I594" s="4"/>
      <c r="J594" s="4"/>
      <c r="K594" s="4"/>
      <c r="L594" s="4"/>
      <c r="M594" s="4"/>
    </row>
    <row r="595" spans="4:13">
      <c r="D595" s="4"/>
      <c r="G595" s="4"/>
      <c r="H595" s="4"/>
      <c r="I595" s="4"/>
      <c r="J595" s="4"/>
      <c r="K595" s="4"/>
      <c r="L595" s="4"/>
      <c r="M595" s="4"/>
    </row>
    <row r="596" spans="4:13">
      <c r="D596" s="4"/>
      <c r="G596" s="4"/>
      <c r="H596" s="4"/>
      <c r="I596" s="4"/>
      <c r="J596" s="4"/>
      <c r="K596" s="4"/>
      <c r="L596" s="4"/>
      <c r="M596" s="4"/>
    </row>
    <row r="597" spans="4:13">
      <c r="D597" s="4"/>
      <c r="G597" s="4"/>
      <c r="H597" s="4"/>
      <c r="I597" s="4"/>
      <c r="J597" s="4"/>
      <c r="K597" s="4"/>
      <c r="L597" s="4"/>
      <c r="M597" s="4"/>
    </row>
    <row r="598" spans="4:13">
      <c r="D598" s="4"/>
      <c r="G598" s="4"/>
      <c r="H598" s="4"/>
      <c r="I598" s="4"/>
      <c r="J598" s="4"/>
      <c r="K598" s="4"/>
      <c r="L598" s="4"/>
      <c r="M598" s="4"/>
    </row>
    <row r="599" spans="4:13">
      <c r="D599" s="4"/>
      <c r="G599" s="4"/>
      <c r="H599" s="4"/>
      <c r="I599" s="4"/>
      <c r="J599" s="4"/>
      <c r="K599" s="4"/>
      <c r="L599" s="4"/>
      <c r="M599" s="4"/>
    </row>
    <row r="600" spans="4:13">
      <c r="D600" s="4"/>
      <c r="G600" s="4"/>
      <c r="H600" s="4"/>
      <c r="I600" s="4"/>
      <c r="J600" s="4"/>
      <c r="K600" s="4"/>
      <c r="L600" s="4"/>
      <c r="M600" s="4"/>
    </row>
    <row r="601" spans="4:13">
      <c r="D601" s="4"/>
      <c r="G601" s="4"/>
      <c r="H601" s="4"/>
      <c r="I601" s="4"/>
      <c r="J601" s="4"/>
      <c r="K601" s="4"/>
      <c r="L601" s="4"/>
      <c r="M601" s="4"/>
    </row>
    <row r="602" spans="4:13">
      <c r="D602" s="4"/>
      <c r="G602" s="4"/>
      <c r="H602" s="4"/>
      <c r="I602" s="4"/>
      <c r="J602" s="4"/>
      <c r="K602" s="4"/>
      <c r="L602" s="4"/>
      <c r="M602" s="4"/>
    </row>
    <row r="603" spans="4:13">
      <c r="D603" s="4"/>
      <c r="G603" s="4"/>
      <c r="H603" s="4"/>
      <c r="I603" s="4"/>
      <c r="J603" s="4"/>
      <c r="K603" s="4"/>
      <c r="L603" s="4"/>
      <c r="M603" s="4"/>
    </row>
    <row r="604" spans="4:13">
      <c r="D604" s="4"/>
      <c r="G604" s="4"/>
      <c r="H604" s="4"/>
      <c r="I604" s="4"/>
      <c r="J604" s="4"/>
      <c r="K604" s="4"/>
      <c r="L604" s="4"/>
      <c r="M604" s="4"/>
    </row>
    <row r="605" spans="4:13">
      <c r="D605" s="4"/>
      <c r="G605" s="4"/>
      <c r="H605" s="4"/>
      <c r="I605" s="4"/>
      <c r="J605" s="4"/>
      <c r="K605" s="4"/>
      <c r="L605" s="4"/>
      <c r="M605" s="4"/>
    </row>
    <row r="606" spans="4:13">
      <c r="D606" s="4"/>
      <c r="G606" s="4"/>
      <c r="H606" s="4"/>
      <c r="I606" s="4"/>
      <c r="J606" s="4"/>
      <c r="K606" s="4"/>
      <c r="L606" s="4"/>
      <c r="M606" s="4"/>
    </row>
    <row r="607" spans="4:13">
      <c r="D607" s="4"/>
      <c r="G607" s="4"/>
      <c r="H607" s="4"/>
      <c r="I607" s="4"/>
      <c r="J607" s="4"/>
      <c r="K607" s="4"/>
      <c r="L607" s="4"/>
      <c r="M607" s="4"/>
    </row>
    <row r="608" spans="4:13">
      <c r="D608" s="4"/>
      <c r="G608" s="4"/>
      <c r="H608" s="4"/>
      <c r="I608" s="4"/>
      <c r="J608" s="4"/>
      <c r="K608" s="4"/>
      <c r="L608" s="4"/>
      <c r="M608" s="4"/>
    </row>
    <row r="609" spans="4:13">
      <c r="D609" s="4"/>
      <c r="G609" s="4"/>
      <c r="H609" s="4"/>
      <c r="I609" s="4"/>
      <c r="J609" s="4"/>
      <c r="K609" s="4"/>
      <c r="L609" s="4"/>
      <c r="M609" s="4"/>
    </row>
    <row r="610" spans="4:13">
      <c r="D610" s="4"/>
      <c r="G610" s="4"/>
      <c r="H610" s="4"/>
      <c r="I610" s="4"/>
      <c r="J610" s="4"/>
      <c r="K610" s="4"/>
      <c r="L610" s="4"/>
      <c r="M610" s="4"/>
    </row>
    <row r="611" spans="4:13">
      <c r="D611" s="4"/>
      <c r="G611" s="4"/>
      <c r="H611" s="4"/>
      <c r="I611" s="4"/>
      <c r="J611" s="4"/>
      <c r="K611" s="4"/>
      <c r="L611" s="4"/>
      <c r="M611" s="4"/>
    </row>
    <row r="612" spans="4:13">
      <c r="D612" s="4"/>
      <c r="G612" s="4"/>
      <c r="H612" s="4"/>
      <c r="I612" s="4"/>
      <c r="J612" s="4"/>
      <c r="K612" s="4"/>
      <c r="L612" s="4"/>
      <c r="M612" s="4"/>
    </row>
    <row r="613" spans="4:13">
      <c r="D613" s="4"/>
      <c r="G613" s="4"/>
      <c r="H613" s="4"/>
      <c r="I613" s="4"/>
      <c r="J613" s="4"/>
      <c r="K613" s="4"/>
      <c r="L613" s="4"/>
      <c r="M613" s="4"/>
    </row>
    <row r="614" spans="4:13">
      <c r="D614" s="4"/>
      <c r="G614" s="4"/>
      <c r="H614" s="4"/>
      <c r="I614" s="4"/>
      <c r="J614" s="4"/>
      <c r="K614" s="4"/>
      <c r="L614" s="4"/>
      <c r="M614" s="4"/>
    </row>
    <row r="615" spans="4:13">
      <c r="D615" s="4"/>
      <c r="G615" s="4"/>
      <c r="H615" s="4"/>
      <c r="I615" s="4"/>
      <c r="J615" s="4"/>
      <c r="K615" s="4"/>
      <c r="L615" s="4"/>
      <c r="M615" s="4"/>
    </row>
    <row r="616" spans="4:13">
      <c r="D616" s="4"/>
      <c r="G616" s="4"/>
      <c r="H616" s="4"/>
      <c r="I616" s="4"/>
      <c r="J616" s="4"/>
      <c r="K616" s="4"/>
      <c r="L616" s="4"/>
      <c r="M616" s="4"/>
    </row>
    <row r="617" spans="4:13">
      <c r="D617" s="4"/>
      <c r="G617" s="4"/>
      <c r="H617" s="4"/>
      <c r="I617" s="4"/>
      <c r="J617" s="4"/>
      <c r="K617" s="4"/>
      <c r="L617" s="4"/>
      <c r="M617" s="4"/>
    </row>
    <row r="618" spans="4:13">
      <c r="D618" s="4"/>
      <c r="G618" s="4"/>
      <c r="H618" s="4"/>
      <c r="I618" s="4"/>
      <c r="J618" s="4"/>
      <c r="K618" s="4"/>
      <c r="L618" s="4"/>
      <c r="M618" s="4"/>
    </row>
    <row r="619" spans="4:13">
      <c r="D619" s="4"/>
      <c r="G619" s="4"/>
      <c r="H619" s="4"/>
      <c r="I619" s="4"/>
      <c r="J619" s="4"/>
      <c r="K619" s="4"/>
      <c r="L619" s="4"/>
      <c r="M619" s="4"/>
    </row>
    <row r="620" spans="4:13">
      <c r="D620" s="4"/>
      <c r="G620" s="4"/>
      <c r="H620" s="4"/>
      <c r="I620" s="4"/>
      <c r="J620" s="4"/>
      <c r="K620" s="4"/>
      <c r="L620" s="4"/>
      <c r="M620" s="4"/>
    </row>
    <row r="621" spans="4:13">
      <c r="D621" s="4"/>
      <c r="G621" s="4"/>
      <c r="H621" s="4"/>
      <c r="I621" s="4"/>
      <c r="J621" s="4"/>
      <c r="K621" s="4"/>
      <c r="L621" s="4"/>
      <c r="M621" s="4"/>
    </row>
    <row r="622" spans="4:13">
      <c r="D622" s="4"/>
      <c r="G622" s="4"/>
      <c r="H622" s="4"/>
      <c r="I622" s="4"/>
      <c r="J622" s="4"/>
      <c r="K622" s="4"/>
      <c r="L622" s="4"/>
      <c r="M622" s="4"/>
    </row>
    <row r="623" spans="4:13">
      <c r="D623" s="4"/>
      <c r="G623" s="4"/>
      <c r="H623" s="4"/>
      <c r="I623" s="4"/>
      <c r="J623" s="4"/>
      <c r="K623" s="4"/>
      <c r="L623" s="4"/>
      <c r="M623" s="4"/>
    </row>
    <row r="624" spans="4:13">
      <c r="D624" s="4"/>
      <c r="G624" s="4"/>
      <c r="H624" s="4"/>
      <c r="I624" s="4"/>
      <c r="J624" s="4"/>
      <c r="K624" s="4"/>
      <c r="L624" s="4"/>
      <c r="M624" s="4"/>
    </row>
    <row r="625" spans="4:13">
      <c r="D625" s="4"/>
      <c r="G625" s="4"/>
      <c r="H625" s="4"/>
      <c r="I625" s="4"/>
      <c r="J625" s="4"/>
      <c r="K625" s="4"/>
      <c r="L625" s="4"/>
      <c r="M625" s="4"/>
    </row>
    <row r="626" spans="4:13">
      <c r="D626" s="4"/>
      <c r="G626" s="4"/>
      <c r="H626" s="4"/>
      <c r="I626" s="4"/>
      <c r="J626" s="4"/>
      <c r="K626" s="4"/>
      <c r="L626" s="4"/>
      <c r="M626" s="4"/>
    </row>
    <row r="627" spans="4:13">
      <c r="D627" s="4"/>
      <c r="G627" s="4"/>
      <c r="H627" s="4"/>
      <c r="I627" s="4"/>
      <c r="J627" s="4"/>
      <c r="K627" s="4"/>
      <c r="L627" s="4"/>
      <c r="M627" s="4"/>
    </row>
    <row r="628" spans="4:13">
      <c r="D628" s="4"/>
      <c r="G628" s="4"/>
      <c r="H628" s="4"/>
      <c r="I628" s="4"/>
      <c r="J628" s="4"/>
      <c r="K628" s="4"/>
      <c r="L628" s="4"/>
      <c r="M628" s="4"/>
    </row>
    <row r="629" spans="4:13">
      <c r="D629" s="4"/>
      <c r="G629" s="4"/>
      <c r="H629" s="4"/>
      <c r="I629" s="4"/>
      <c r="J629" s="4"/>
      <c r="K629" s="4"/>
      <c r="L629" s="4"/>
      <c r="M629" s="4"/>
    </row>
    <row r="630" spans="4:13">
      <c r="D630" s="4"/>
      <c r="G630" s="4"/>
      <c r="H630" s="4"/>
      <c r="I630" s="4"/>
      <c r="J630" s="4"/>
      <c r="K630" s="4"/>
      <c r="L630" s="4"/>
      <c r="M630" s="4"/>
    </row>
    <row r="631" spans="4:13">
      <c r="D631" s="4"/>
      <c r="G631" s="4"/>
      <c r="H631" s="4"/>
      <c r="I631" s="4"/>
      <c r="J631" s="4"/>
      <c r="K631" s="4"/>
      <c r="L631" s="4"/>
      <c r="M631" s="4"/>
    </row>
    <row r="632" spans="4:13">
      <c r="D632" s="4"/>
      <c r="G632" s="4"/>
      <c r="H632" s="4"/>
      <c r="I632" s="4"/>
      <c r="J632" s="4"/>
      <c r="K632" s="4"/>
      <c r="L632" s="4"/>
      <c r="M632" s="4"/>
    </row>
    <row r="633" spans="4:13">
      <c r="D633" s="4"/>
      <c r="G633" s="4"/>
      <c r="H633" s="4"/>
      <c r="I633" s="4"/>
      <c r="J633" s="4"/>
      <c r="K633" s="4"/>
      <c r="L633" s="4"/>
      <c r="M633" s="4"/>
    </row>
    <row r="634" spans="4:13">
      <c r="D634" s="4"/>
      <c r="G634" s="4"/>
      <c r="H634" s="4"/>
      <c r="I634" s="4"/>
      <c r="J634" s="4"/>
      <c r="K634" s="4"/>
      <c r="L634" s="4"/>
      <c r="M634" s="4"/>
    </row>
    <row r="635" spans="4:13">
      <c r="D635" s="4"/>
      <c r="G635" s="4"/>
      <c r="H635" s="4"/>
      <c r="I635" s="4"/>
      <c r="J635" s="4"/>
      <c r="K635" s="4"/>
      <c r="L635" s="4"/>
      <c r="M635" s="4"/>
    </row>
    <row r="636" spans="4:13">
      <c r="D636" s="4"/>
      <c r="G636" s="4"/>
      <c r="H636" s="4"/>
      <c r="I636" s="4"/>
      <c r="J636" s="4"/>
      <c r="K636" s="4"/>
      <c r="L636" s="4"/>
      <c r="M636" s="4"/>
    </row>
    <row r="637" spans="4:13">
      <c r="D637" s="4"/>
      <c r="G637" s="4"/>
      <c r="H637" s="4"/>
      <c r="I637" s="4"/>
      <c r="J637" s="4"/>
      <c r="K637" s="4"/>
      <c r="L637" s="4"/>
      <c r="M637" s="4"/>
    </row>
    <row r="638" spans="4:13">
      <c r="D638" s="4"/>
      <c r="G638" s="4"/>
      <c r="H638" s="4"/>
      <c r="I638" s="4"/>
      <c r="J638" s="4"/>
      <c r="K638" s="4"/>
      <c r="L638" s="4"/>
      <c r="M638" s="4"/>
    </row>
    <row r="639" spans="4:13">
      <c r="D639" s="4"/>
      <c r="G639" s="4"/>
      <c r="H639" s="4"/>
      <c r="I639" s="4"/>
      <c r="J639" s="4"/>
      <c r="K639" s="4"/>
      <c r="L639" s="4"/>
      <c r="M639" s="4"/>
    </row>
    <row r="640" spans="4:13">
      <c r="D640" s="4"/>
      <c r="G640" s="4"/>
      <c r="H640" s="4"/>
      <c r="I640" s="4"/>
      <c r="J640" s="4"/>
      <c r="K640" s="4"/>
      <c r="L640" s="4"/>
      <c r="M640" s="4"/>
    </row>
    <row r="641" spans="4:13">
      <c r="D641" s="4"/>
      <c r="G641" s="4"/>
      <c r="H641" s="4"/>
      <c r="I641" s="4"/>
      <c r="J641" s="4"/>
      <c r="K641" s="4"/>
      <c r="L641" s="4"/>
      <c r="M641" s="4"/>
    </row>
    <row r="642" spans="4:13">
      <c r="D642" s="4"/>
      <c r="G642" s="4"/>
      <c r="H642" s="4"/>
      <c r="I642" s="4"/>
      <c r="J642" s="4"/>
      <c r="K642" s="4"/>
      <c r="L642" s="4"/>
      <c r="M642" s="4"/>
    </row>
    <row r="643" spans="4:13">
      <c r="D643" s="4"/>
      <c r="G643" s="4"/>
      <c r="H643" s="4"/>
      <c r="I643" s="4"/>
      <c r="J643" s="4"/>
      <c r="K643" s="4"/>
      <c r="L643" s="4"/>
      <c r="M643" s="4"/>
    </row>
    <row r="644" spans="4:13">
      <c r="D644" s="4"/>
      <c r="G644" s="4"/>
      <c r="H644" s="4"/>
      <c r="I644" s="4"/>
      <c r="J644" s="4"/>
      <c r="K644" s="4"/>
      <c r="L644" s="4"/>
      <c r="M644" s="4"/>
    </row>
    <row r="645" spans="4:13">
      <c r="D645" s="4"/>
      <c r="G645" s="4"/>
      <c r="H645" s="4"/>
      <c r="I645" s="4"/>
      <c r="J645" s="4"/>
      <c r="K645" s="4"/>
      <c r="L645" s="4"/>
      <c r="M645" s="4"/>
    </row>
    <row r="646" spans="4:13">
      <c r="D646" s="4"/>
      <c r="G646" s="4"/>
      <c r="H646" s="4"/>
      <c r="I646" s="4"/>
      <c r="J646" s="4"/>
      <c r="K646" s="4"/>
      <c r="L646" s="4"/>
      <c r="M646" s="4"/>
    </row>
    <row r="647" spans="4:13">
      <c r="D647" s="4"/>
      <c r="G647" s="4"/>
      <c r="H647" s="4"/>
      <c r="I647" s="4"/>
      <c r="J647" s="4"/>
      <c r="K647" s="4"/>
      <c r="L647" s="4"/>
      <c r="M647" s="4"/>
    </row>
    <row r="648" spans="4:13">
      <c r="D648" s="4"/>
      <c r="G648" s="4"/>
      <c r="H648" s="4"/>
      <c r="I648" s="4"/>
      <c r="J648" s="4"/>
      <c r="K648" s="4"/>
      <c r="L648" s="4"/>
      <c r="M648" s="4"/>
    </row>
    <row r="649" spans="4:13">
      <c r="D649" s="4"/>
      <c r="G649" s="4"/>
      <c r="H649" s="4"/>
      <c r="I649" s="4"/>
      <c r="J649" s="4"/>
      <c r="K649" s="4"/>
      <c r="L649" s="4"/>
      <c r="M649" s="4"/>
    </row>
    <row r="650" spans="4:13">
      <c r="D650" s="4"/>
      <c r="G650" s="4"/>
      <c r="H650" s="4"/>
      <c r="I650" s="4"/>
      <c r="J650" s="4"/>
      <c r="K650" s="4"/>
      <c r="L650" s="4"/>
      <c r="M650" s="4"/>
    </row>
    <row r="651" spans="4:13">
      <c r="D651" s="4"/>
      <c r="G651" s="4"/>
      <c r="H651" s="4"/>
      <c r="I651" s="4"/>
      <c r="J651" s="4"/>
      <c r="K651" s="4"/>
      <c r="L651" s="4"/>
      <c r="M651" s="4"/>
    </row>
    <row r="652" spans="4:13">
      <c r="D652" s="4"/>
      <c r="G652" s="4"/>
      <c r="H652" s="4"/>
      <c r="I652" s="4"/>
      <c r="J652" s="4"/>
      <c r="K652" s="4"/>
      <c r="L652" s="4"/>
      <c r="M652" s="4"/>
    </row>
    <row r="653" spans="4:13">
      <c r="D653" s="4"/>
      <c r="G653" s="4"/>
      <c r="H653" s="4"/>
      <c r="I653" s="4"/>
      <c r="J653" s="4"/>
      <c r="K653" s="4"/>
      <c r="L653" s="4"/>
      <c r="M653" s="4"/>
    </row>
    <row r="654" spans="4:13">
      <c r="D654" s="4"/>
      <c r="G654" s="4"/>
      <c r="H654" s="4"/>
      <c r="I654" s="4"/>
      <c r="J654" s="4"/>
      <c r="K654" s="4"/>
      <c r="L654" s="4"/>
      <c r="M654" s="4"/>
    </row>
    <row r="655" spans="4:13">
      <c r="D655" s="4"/>
      <c r="G655" s="4"/>
      <c r="H655" s="4"/>
      <c r="I655" s="4"/>
      <c r="J655" s="4"/>
      <c r="K655" s="4"/>
      <c r="L655" s="4"/>
      <c r="M655" s="4"/>
    </row>
    <row r="656" spans="4:13">
      <c r="D656" s="4"/>
      <c r="G656" s="4"/>
      <c r="H656" s="4"/>
      <c r="I656" s="4"/>
      <c r="J656" s="4"/>
      <c r="K656" s="4"/>
      <c r="L656" s="4"/>
      <c r="M656" s="4"/>
    </row>
    <row r="657" spans="4:13">
      <c r="D657" s="4"/>
      <c r="G657" s="4"/>
      <c r="H657" s="4"/>
      <c r="I657" s="4"/>
      <c r="J657" s="4"/>
      <c r="K657" s="4"/>
      <c r="L657" s="4"/>
      <c r="M657" s="4"/>
    </row>
    <row r="658" spans="4:13">
      <c r="D658" s="4"/>
      <c r="G658" s="4"/>
      <c r="H658" s="4"/>
      <c r="I658" s="4"/>
      <c r="J658" s="4"/>
      <c r="K658" s="4"/>
      <c r="L658" s="4"/>
      <c r="M658" s="4"/>
    </row>
    <row r="659" spans="4:13">
      <c r="D659" s="4"/>
      <c r="G659" s="4"/>
      <c r="H659" s="4"/>
      <c r="I659" s="4"/>
      <c r="J659" s="4"/>
      <c r="K659" s="4"/>
      <c r="L659" s="4"/>
      <c r="M659" s="4"/>
    </row>
    <row r="660" spans="4:13">
      <c r="D660" s="4"/>
      <c r="G660" s="4"/>
      <c r="H660" s="4"/>
      <c r="I660" s="4"/>
      <c r="J660" s="4"/>
      <c r="K660" s="4"/>
      <c r="L660" s="4"/>
      <c r="M660" s="4"/>
    </row>
    <row r="661" spans="4:13">
      <c r="D661" s="4"/>
      <c r="G661" s="4"/>
      <c r="H661" s="4"/>
      <c r="I661" s="4"/>
      <c r="J661" s="4"/>
      <c r="K661" s="4"/>
      <c r="L661" s="4"/>
      <c r="M661" s="4"/>
    </row>
    <row r="662" spans="4:13">
      <c r="D662" s="4"/>
      <c r="G662" s="4"/>
      <c r="H662" s="4"/>
      <c r="I662" s="4"/>
      <c r="J662" s="4"/>
      <c r="K662" s="4"/>
      <c r="L662" s="4"/>
      <c r="M662" s="4"/>
    </row>
    <row r="663" spans="4:13">
      <c r="D663" s="4"/>
      <c r="G663" s="4"/>
      <c r="H663" s="4"/>
      <c r="I663" s="4"/>
      <c r="J663" s="4"/>
      <c r="K663" s="4"/>
      <c r="L663" s="4"/>
      <c r="M663" s="4"/>
    </row>
    <row r="664" spans="4:13">
      <c r="D664" s="4"/>
      <c r="G664" s="4"/>
      <c r="H664" s="4"/>
      <c r="I664" s="4"/>
      <c r="J664" s="4"/>
      <c r="K664" s="4"/>
      <c r="L664" s="4"/>
      <c r="M664" s="4"/>
    </row>
    <row r="665" spans="4:13">
      <c r="D665" s="4"/>
      <c r="G665" s="4"/>
      <c r="H665" s="4"/>
      <c r="I665" s="4"/>
      <c r="J665" s="4"/>
      <c r="K665" s="4"/>
      <c r="L665" s="4"/>
      <c r="M665" s="4"/>
    </row>
    <row r="666" spans="4:13">
      <c r="D666" s="4"/>
      <c r="G666" s="4"/>
      <c r="H666" s="4"/>
      <c r="I666" s="4"/>
      <c r="J666" s="4"/>
      <c r="K666" s="4"/>
      <c r="L666" s="4"/>
      <c r="M666" s="4"/>
    </row>
    <row r="667" spans="4:13">
      <c r="D667" s="4"/>
      <c r="G667" s="4"/>
      <c r="H667" s="4"/>
      <c r="I667" s="4"/>
      <c r="J667" s="4"/>
      <c r="K667" s="4"/>
      <c r="L667" s="4"/>
      <c r="M667" s="4"/>
    </row>
    <row r="668" spans="4:13">
      <c r="D668" s="4"/>
      <c r="G668" s="4"/>
      <c r="H668" s="4"/>
      <c r="I668" s="4"/>
      <c r="J668" s="4"/>
      <c r="K668" s="4"/>
      <c r="L668" s="4"/>
      <c r="M668" s="4"/>
    </row>
    <row r="669" spans="4:13">
      <c r="D669" s="4"/>
      <c r="G669" s="4"/>
      <c r="H669" s="4"/>
      <c r="I669" s="4"/>
      <c r="J669" s="4"/>
      <c r="K669" s="4"/>
      <c r="L669" s="4"/>
      <c r="M669" s="4"/>
    </row>
    <row r="670" spans="4:13">
      <c r="D670" s="4"/>
      <c r="G670" s="4"/>
      <c r="H670" s="4"/>
      <c r="I670" s="4"/>
      <c r="J670" s="4"/>
      <c r="K670" s="4"/>
      <c r="L670" s="4"/>
      <c r="M670" s="4"/>
    </row>
    <row r="671" spans="4:13">
      <c r="D671" s="4"/>
      <c r="G671" s="4"/>
      <c r="H671" s="4"/>
      <c r="I671" s="4"/>
      <c r="J671" s="4"/>
      <c r="K671" s="4"/>
      <c r="L671" s="4"/>
      <c r="M671" s="4"/>
    </row>
    <row r="672" spans="4:13">
      <c r="D672" s="4"/>
      <c r="G672" s="4"/>
      <c r="H672" s="4"/>
      <c r="I672" s="4"/>
      <c r="J672" s="4"/>
      <c r="K672" s="4"/>
      <c r="L672" s="4"/>
      <c r="M672" s="4"/>
    </row>
    <row r="673" spans="4:13">
      <c r="D673" s="4"/>
      <c r="G673" s="4"/>
      <c r="H673" s="4"/>
      <c r="I673" s="4"/>
      <c r="J673" s="4"/>
      <c r="K673" s="4"/>
      <c r="L673" s="4"/>
      <c r="M673" s="4"/>
    </row>
    <row r="674" spans="4:13">
      <c r="D674" s="4"/>
      <c r="G674" s="4"/>
      <c r="H674" s="4"/>
      <c r="I674" s="4"/>
      <c r="J674" s="4"/>
      <c r="K674" s="4"/>
      <c r="L674" s="4"/>
      <c r="M674" s="4"/>
    </row>
    <row r="675" spans="4:13">
      <c r="D675" s="4"/>
      <c r="G675" s="4"/>
      <c r="H675" s="4"/>
      <c r="I675" s="4"/>
      <c r="J675" s="4"/>
      <c r="K675" s="4"/>
      <c r="L675" s="4"/>
      <c r="M675" s="4"/>
    </row>
    <row r="676" spans="4:13">
      <c r="D676" s="4"/>
      <c r="G676" s="4"/>
      <c r="H676" s="4"/>
      <c r="I676" s="4"/>
      <c r="J676" s="4"/>
      <c r="K676" s="4"/>
      <c r="L676" s="4"/>
      <c r="M676" s="4"/>
    </row>
    <row r="677" spans="4:13">
      <c r="D677" s="4"/>
      <c r="G677" s="4"/>
      <c r="H677" s="4"/>
      <c r="I677" s="4"/>
      <c r="J677" s="4"/>
      <c r="K677" s="4"/>
      <c r="L677" s="4"/>
      <c r="M677" s="4"/>
    </row>
    <row r="678" spans="4:13">
      <c r="D678" s="4"/>
      <c r="G678" s="4"/>
      <c r="H678" s="4"/>
      <c r="I678" s="4"/>
      <c r="J678" s="4"/>
      <c r="K678" s="4"/>
      <c r="L678" s="4"/>
      <c r="M678" s="4"/>
    </row>
    <row r="679" spans="4:13">
      <c r="D679" s="4"/>
      <c r="G679" s="4"/>
      <c r="H679" s="4"/>
      <c r="I679" s="4"/>
      <c r="J679" s="4"/>
      <c r="K679" s="4"/>
      <c r="L679" s="4"/>
      <c r="M679" s="4"/>
    </row>
    <row r="680" spans="4:13">
      <c r="D680" s="4"/>
      <c r="G680" s="4"/>
      <c r="H680" s="4"/>
      <c r="I680" s="4"/>
      <c r="J680" s="4"/>
      <c r="K680" s="4"/>
      <c r="L680" s="4"/>
      <c r="M680" s="4"/>
    </row>
    <row r="681" spans="4:13">
      <c r="D681" s="4"/>
      <c r="G681" s="4"/>
      <c r="H681" s="4"/>
      <c r="I681" s="4"/>
      <c r="J681" s="4"/>
      <c r="K681" s="4"/>
      <c r="L681" s="4"/>
      <c r="M681" s="4"/>
    </row>
    <row r="682" spans="4:13">
      <c r="D682" s="4"/>
      <c r="G682" s="4"/>
      <c r="H682" s="4"/>
      <c r="I682" s="4"/>
      <c r="J682" s="4"/>
      <c r="K682" s="4"/>
      <c r="L682" s="4"/>
      <c r="M682" s="4"/>
    </row>
    <row r="683" spans="4:13">
      <c r="D683" s="4"/>
      <c r="G683" s="4"/>
      <c r="H683" s="4"/>
      <c r="I683" s="4"/>
      <c r="J683" s="4"/>
      <c r="K683" s="4"/>
      <c r="L683" s="4"/>
      <c r="M683" s="4"/>
    </row>
    <row r="684" spans="4:13">
      <c r="D684" s="4"/>
      <c r="G684" s="4"/>
      <c r="H684" s="4"/>
      <c r="I684" s="4"/>
      <c r="J684" s="4"/>
      <c r="K684" s="4"/>
      <c r="L684" s="4"/>
      <c r="M684" s="4"/>
    </row>
    <row r="685" spans="4:13">
      <c r="D685" s="4"/>
      <c r="G685" s="4"/>
      <c r="H685" s="4"/>
      <c r="I685" s="4"/>
      <c r="J685" s="4"/>
      <c r="K685" s="4"/>
      <c r="L685" s="4"/>
      <c r="M685" s="4"/>
    </row>
    <row r="686" spans="4:13">
      <c r="D686" s="4"/>
      <c r="G686" s="4"/>
      <c r="H686" s="4"/>
      <c r="I686" s="4"/>
      <c r="J686" s="4"/>
      <c r="K686" s="4"/>
      <c r="L686" s="4"/>
      <c r="M686" s="4"/>
    </row>
    <row r="687" spans="4:13">
      <c r="D687" s="4"/>
      <c r="G687" s="4"/>
      <c r="H687" s="4"/>
      <c r="I687" s="4"/>
      <c r="J687" s="4"/>
      <c r="K687" s="4"/>
      <c r="L687" s="4"/>
      <c r="M687" s="4"/>
    </row>
    <row r="688" spans="4:13">
      <c r="D688" s="4"/>
      <c r="G688" s="4"/>
      <c r="H688" s="4"/>
      <c r="I688" s="4"/>
      <c r="J688" s="4"/>
      <c r="K688" s="4"/>
      <c r="L688" s="4"/>
      <c r="M688" s="4"/>
    </row>
    <row r="689" spans="4:13">
      <c r="D689" s="4"/>
      <c r="G689" s="4"/>
      <c r="H689" s="4"/>
      <c r="I689" s="4"/>
      <c r="J689" s="4"/>
      <c r="K689" s="4"/>
      <c r="L689" s="4"/>
      <c r="M689" s="4"/>
    </row>
    <row r="690" spans="4:13">
      <c r="D690" s="4"/>
      <c r="G690" s="4"/>
      <c r="H690" s="4"/>
      <c r="I690" s="4"/>
      <c r="J690" s="4"/>
      <c r="K690" s="4"/>
      <c r="L690" s="4"/>
      <c r="M690" s="4"/>
    </row>
    <row r="691" spans="4:13">
      <c r="D691" s="4"/>
      <c r="G691" s="4"/>
      <c r="H691" s="4"/>
      <c r="I691" s="4"/>
      <c r="J691" s="4"/>
      <c r="K691" s="4"/>
      <c r="L691" s="4"/>
      <c r="M691" s="4"/>
    </row>
    <row r="692" spans="4:13">
      <c r="D692" s="4"/>
      <c r="G692" s="4"/>
      <c r="H692" s="4"/>
      <c r="I692" s="4"/>
      <c r="J692" s="4"/>
      <c r="K692" s="4"/>
      <c r="L692" s="4"/>
      <c r="M692" s="4"/>
    </row>
    <row r="693" spans="4:13">
      <c r="D693" s="4"/>
      <c r="G693" s="4"/>
      <c r="H693" s="4"/>
      <c r="I693" s="4"/>
      <c r="J693" s="4"/>
      <c r="K693" s="4"/>
      <c r="L693" s="4"/>
      <c r="M693" s="4"/>
    </row>
    <row r="694" spans="4:13">
      <c r="D694" s="4"/>
      <c r="G694" s="4"/>
      <c r="H694" s="4"/>
      <c r="I694" s="4"/>
      <c r="J694" s="4"/>
      <c r="K694" s="4"/>
      <c r="L694" s="4"/>
      <c r="M694" s="4"/>
    </row>
    <row r="695" spans="4:13">
      <c r="D695" s="4"/>
      <c r="G695" s="4"/>
      <c r="H695" s="4"/>
      <c r="I695" s="4"/>
      <c r="J695" s="4"/>
      <c r="K695" s="4"/>
      <c r="L695" s="4"/>
      <c r="M695" s="4"/>
    </row>
    <row r="696" spans="4:13">
      <c r="D696" s="4"/>
      <c r="G696" s="4"/>
      <c r="H696" s="4"/>
      <c r="I696" s="4"/>
      <c r="J696" s="4"/>
      <c r="K696" s="4"/>
      <c r="L696" s="4"/>
      <c r="M696" s="4"/>
    </row>
    <row r="697" spans="4:13">
      <c r="D697" s="4"/>
      <c r="G697" s="4"/>
      <c r="H697" s="4"/>
      <c r="I697" s="4"/>
      <c r="J697" s="4"/>
      <c r="K697" s="4"/>
      <c r="L697" s="4"/>
      <c r="M697" s="4"/>
    </row>
    <row r="698" spans="4:13">
      <c r="D698" s="4"/>
      <c r="G698" s="4"/>
      <c r="H698" s="4"/>
      <c r="I698" s="4"/>
      <c r="J698" s="4"/>
      <c r="K698" s="4"/>
      <c r="L698" s="4"/>
      <c r="M698" s="4"/>
    </row>
    <row r="699" spans="4:13">
      <c r="D699" s="4"/>
      <c r="G699" s="4"/>
      <c r="H699" s="4"/>
      <c r="I699" s="4"/>
      <c r="J699" s="4"/>
      <c r="K699" s="4"/>
      <c r="L699" s="4"/>
      <c r="M699" s="4"/>
    </row>
    <row r="700" spans="4:13">
      <c r="D700" s="4"/>
      <c r="G700" s="4"/>
      <c r="H700" s="4"/>
      <c r="I700" s="4"/>
      <c r="J700" s="4"/>
      <c r="K700" s="4"/>
      <c r="L700" s="4"/>
      <c r="M700" s="4"/>
    </row>
    <row r="701" spans="4:13">
      <c r="D701" s="4"/>
      <c r="G701" s="4"/>
      <c r="H701" s="4"/>
      <c r="I701" s="4"/>
      <c r="J701" s="4"/>
      <c r="K701" s="4"/>
      <c r="L701" s="4"/>
      <c r="M701" s="4"/>
    </row>
    <row r="702" spans="4:13">
      <c r="D702" s="4"/>
      <c r="G702" s="4"/>
      <c r="H702" s="4"/>
      <c r="I702" s="4"/>
      <c r="J702" s="4"/>
      <c r="K702" s="4"/>
      <c r="L702" s="4"/>
      <c r="M702" s="4"/>
    </row>
    <row r="703" spans="4:13">
      <c r="D703" s="4"/>
      <c r="G703" s="4"/>
      <c r="H703" s="4"/>
      <c r="I703" s="4"/>
      <c r="J703" s="4"/>
      <c r="K703" s="4"/>
      <c r="L703" s="4"/>
      <c r="M703" s="4"/>
    </row>
    <row r="704" spans="4:13">
      <c r="D704" s="4"/>
      <c r="G704" s="4"/>
      <c r="H704" s="4"/>
      <c r="I704" s="4"/>
      <c r="J704" s="4"/>
      <c r="K704" s="4"/>
      <c r="L704" s="4"/>
      <c r="M704" s="4"/>
    </row>
    <row r="705" spans="4:13">
      <c r="D705" s="4"/>
      <c r="G705" s="4"/>
      <c r="H705" s="4"/>
      <c r="I705" s="4"/>
      <c r="J705" s="4"/>
      <c r="K705" s="4"/>
      <c r="L705" s="4"/>
      <c r="M705" s="4"/>
    </row>
    <row r="706" spans="4:13">
      <c r="D706" s="4"/>
      <c r="G706" s="4"/>
      <c r="H706" s="4"/>
      <c r="I706" s="4"/>
      <c r="J706" s="4"/>
      <c r="K706" s="4"/>
      <c r="L706" s="4"/>
      <c r="M706" s="4"/>
    </row>
    <row r="707" spans="4:13">
      <c r="D707" s="4"/>
      <c r="G707" s="4"/>
      <c r="H707" s="4"/>
      <c r="I707" s="4"/>
      <c r="J707" s="4"/>
      <c r="K707" s="4"/>
      <c r="L707" s="4"/>
      <c r="M707" s="4"/>
    </row>
    <row r="708" spans="4:13">
      <c r="D708" s="4"/>
      <c r="G708" s="4"/>
      <c r="H708" s="4"/>
      <c r="I708" s="4"/>
      <c r="J708" s="4"/>
      <c r="K708" s="4"/>
      <c r="L708" s="4"/>
      <c r="M708" s="4"/>
    </row>
    <row r="709" spans="4:13">
      <c r="D709" s="4"/>
      <c r="G709" s="4"/>
      <c r="H709" s="4"/>
      <c r="I709" s="4"/>
      <c r="J709" s="4"/>
      <c r="K709" s="4"/>
      <c r="L709" s="4"/>
      <c r="M709" s="4"/>
    </row>
    <row r="710" spans="4:13">
      <c r="D710" s="4"/>
      <c r="G710" s="4"/>
      <c r="H710" s="4"/>
      <c r="I710" s="4"/>
      <c r="J710" s="4"/>
      <c r="K710" s="4"/>
      <c r="L710" s="4"/>
      <c r="M710" s="4"/>
    </row>
    <row r="711" spans="4:13">
      <c r="D711" s="4"/>
      <c r="G711" s="4"/>
      <c r="H711" s="4"/>
      <c r="I711" s="4"/>
      <c r="J711" s="4"/>
      <c r="K711" s="4"/>
      <c r="L711" s="4"/>
      <c r="M711" s="4"/>
    </row>
    <row r="712" spans="4:13">
      <c r="D712" s="4"/>
      <c r="G712" s="4"/>
      <c r="H712" s="4"/>
      <c r="I712" s="4"/>
      <c r="J712" s="4"/>
      <c r="K712" s="4"/>
      <c r="L712" s="4"/>
      <c r="M712" s="4"/>
    </row>
    <row r="713" spans="4:13">
      <c r="D713" s="4"/>
      <c r="G713" s="4"/>
      <c r="H713" s="4"/>
      <c r="I713" s="4"/>
      <c r="J713" s="4"/>
      <c r="K713" s="4"/>
      <c r="L713" s="4"/>
      <c r="M713" s="4"/>
    </row>
    <row r="714" spans="4:13">
      <c r="D714" s="4"/>
      <c r="G714" s="4"/>
      <c r="H714" s="4"/>
      <c r="I714" s="4"/>
      <c r="J714" s="4"/>
      <c r="K714" s="4"/>
      <c r="L714" s="4"/>
      <c r="M714" s="4"/>
    </row>
    <row r="715" spans="4:13">
      <c r="D715" s="4"/>
      <c r="G715" s="4"/>
      <c r="H715" s="4"/>
      <c r="I715" s="4"/>
      <c r="J715" s="4"/>
      <c r="K715" s="4"/>
      <c r="L715" s="4"/>
      <c r="M715" s="4"/>
    </row>
    <row r="716" spans="4:13">
      <c r="D716" s="4"/>
      <c r="G716" s="4"/>
      <c r="H716" s="4"/>
      <c r="I716" s="4"/>
      <c r="J716" s="4"/>
      <c r="K716" s="4"/>
      <c r="L716" s="4"/>
      <c r="M716" s="4"/>
    </row>
    <row r="717" spans="4:13">
      <c r="D717" s="4"/>
      <c r="G717" s="4"/>
      <c r="H717" s="4"/>
      <c r="I717" s="4"/>
      <c r="J717" s="4"/>
      <c r="K717" s="4"/>
      <c r="L717" s="4"/>
      <c r="M717" s="4"/>
    </row>
    <row r="718" spans="4:13">
      <c r="D718" s="4"/>
      <c r="G718" s="4"/>
      <c r="H718" s="4"/>
      <c r="I718" s="4"/>
      <c r="J718" s="4"/>
      <c r="K718" s="4"/>
      <c r="L718" s="4"/>
      <c r="M718" s="4"/>
    </row>
    <row r="719" spans="4:13">
      <c r="D719" s="4"/>
      <c r="G719" s="4"/>
      <c r="H719" s="4"/>
      <c r="I719" s="4"/>
      <c r="J719" s="4"/>
      <c r="K719" s="4"/>
      <c r="L719" s="4"/>
      <c r="M719" s="4"/>
    </row>
    <row r="720" spans="4:13">
      <c r="D720" s="4"/>
      <c r="G720" s="4"/>
      <c r="H720" s="4"/>
      <c r="I720" s="4"/>
      <c r="J720" s="4"/>
      <c r="K720" s="4"/>
      <c r="L720" s="4"/>
      <c r="M720" s="4"/>
    </row>
    <row r="721" spans="4:13">
      <c r="D721" s="4"/>
      <c r="G721" s="4"/>
      <c r="H721" s="4"/>
      <c r="I721" s="4"/>
      <c r="J721" s="4"/>
      <c r="K721" s="4"/>
      <c r="L721" s="4"/>
      <c r="M721" s="4"/>
    </row>
    <row r="722" spans="4:13">
      <c r="D722" s="4"/>
      <c r="G722" s="4"/>
      <c r="H722" s="4"/>
      <c r="I722" s="4"/>
      <c r="J722" s="4"/>
      <c r="K722" s="4"/>
      <c r="L722" s="4"/>
      <c r="M722" s="4"/>
    </row>
    <row r="723" spans="4:13">
      <c r="D723" s="4"/>
      <c r="G723" s="4"/>
      <c r="H723" s="4"/>
      <c r="I723" s="4"/>
      <c r="J723" s="4"/>
      <c r="K723" s="4"/>
      <c r="L723" s="4"/>
      <c r="M723" s="4"/>
    </row>
    <row r="724" spans="4:13">
      <c r="D724" s="4"/>
      <c r="G724" s="4"/>
      <c r="H724" s="4"/>
      <c r="I724" s="4"/>
      <c r="J724" s="4"/>
      <c r="K724" s="4"/>
      <c r="L724" s="4"/>
      <c r="M724" s="4"/>
    </row>
    <row r="725" spans="4:13">
      <c r="D725" s="4"/>
      <c r="G725" s="4"/>
      <c r="H725" s="4"/>
      <c r="I725" s="4"/>
      <c r="J725" s="4"/>
      <c r="K725" s="4"/>
      <c r="L725" s="4"/>
      <c r="M725" s="4"/>
    </row>
    <row r="726" spans="4:13">
      <c r="D726" s="4"/>
      <c r="G726" s="4"/>
      <c r="H726" s="4"/>
      <c r="I726" s="4"/>
      <c r="J726" s="4"/>
      <c r="K726" s="4"/>
      <c r="L726" s="4"/>
      <c r="M726" s="4"/>
    </row>
    <row r="727" spans="4:13">
      <c r="D727" s="4"/>
      <c r="G727" s="4"/>
      <c r="H727" s="4"/>
      <c r="I727" s="4"/>
      <c r="J727" s="4"/>
      <c r="K727" s="4"/>
      <c r="L727" s="4"/>
      <c r="M727" s="4"/>
    </row>
    <row r="728" spans="4:13">
      <c r="D728" s="4"/>
      <c r="G728" s="4"/>
      <c r="H728" s="4"/>
      <c r="I728" s="4"/>
      <c r="J728" s="4"/>
      <c r="K728" s="4"/>
      <c r="L728" s="4"/>
      <c r="M728" s="4"/>
    </row>
    <row r="729" spans="4:13">
      <c r="D729" s="4"/>
      <c r="G729" s="4"/>
      <c r="H729" s="4"/>
      <c r="I729" s="4"/>
      <c r="J729" s="4"/>
      <c r="K729" s="4"/>
      <c r="L729" s="4"/>
      <c r="M729" s="4"/>
    </row>
    <row r="730" spans="4:13">
      <c r="D730" s="4"/>
      <c r="G730" s="4"/>
      <c r="H730" s="4"/>
      <c r="I730" s="4"/>
      <c r="J730" s="4"/>
      <c r="K730" s="4"/>
      <c r="L730" s="4"/>
      <c r="M730" s="4"/>
    </row>
    <row r="731" spans="4:13">
      <c r="D731" s="4"/>
      <c r="G731" s="4"/>
      <c r="H731" s="4"/>
      <c r="I731" s="4"/>
      <c r="J731" s="4"/>
      <c r="K731" s="4"/>
      <c r="L731" s="4"/>
      <c r="M731" s="4"/>
    </row>
    <row r="732" spans="4:13">
      <c r="D732" s="4"/>
      <c r="G732" s="4"/>
      <c r="H732" s="4"/>
      <c r="I732" s="4"/>
      <c r="J732" s="4"/>
      <c r="K732" s="4"/>
      <c r="L732" s="4"/>
      <c r="M732" s="4"/>
    </row>
    <row r="733" spans="4:13">
      <c r="D733" s="4"/>
      <c r="G733" s="4"/>
      <c r="H733" s="4"/>
      <c r="I733" s="4"/>
      <c r="J733" s="4"/>
      <c r="K733" s="4"/>
      <c r="L733" s="4"/>
      <c r="M733" s="4"/>
    </row>
    <row r="734" spans="4:13">
      <c r="D734" s="4"/>
      <c r="G734" s="4"/>
      <c r="H734" s="4"/>
      <c r="I734" s="4"/>
      <c r="J734" s="4"/>
      <c r="K734" s="4"/>
      <c r="L734" s="4"/>
      <c r="M734" s="4"/>
    </row>
    <row r="735" spans="4:13">
      <c r="D735" s="4"/>
      <c r="G735" s="4"/>
      <c r="H735" s="4"/>
      <c r="I735" s="4"/>
      <c r="J735" s="4"/>
      <c r="K735" s="4"/>
      <c r="L735" s="4"/>
      <c r="M735" s="4"/>
    </row>
    <row r="736" spans="4:13">
      <c r="D736" s="4"/>
      <c r="G736" s="4"/>
      <c r="H736" s="4"/>
      <c r="I736" s="4"/>
      <c r="J736" s="4"/>
      <c r="K736" s="4"/>
      <c r="L736" s="4"/>
      <c r="M736" s="4"/>
    </row>
    <row r="737" spans="4:13">
      <c r="D737" s="4"/>
      <c r="G737" s="4"/>
      <c r="H737" s="4"/>
      <c r="I737" s="4"/>
      <c r="J737" s="4"/>
      <c r="K737" s="4"/>
      <c r="L737" s="4"/>
      <c r="M737" s="4"/>
    </row>
    <row r="738" spans="4:13">
      <c r="D738" s="4"/>
      <c r="G738" s="4"/>
      <c r="H738" s="4"/>
      <c r="I738" s="4"/>
      <c r="J738" s="4"/>
      <c r="K738" s="4"/>
      <c r="L738" s="4"/>
      <c r="M738" s="4"/>
    </row>
    <row r="739" spans="4:13">
      <c r="D739" s="4"/>
      <c r="G739" s="4"/>
      <c r="H739" s="4"/>
      <c r="I739" s="4"/>
      <c r="J739" s="4"/>
      <c r="K739" s="4"/>
      <c r="L739" s="4"/>
      <c r="M739" s="4"/>
    </row>
    <row r="740" spans="4:13">
      <c r="D740" s="4"/>
      <c r="G740" s="4"/>
      <c r="H740" s="4"/>
      <c r="I740" s="4"/>
      <c r="J740" s="4"/>
      <c r="K740" s="4"/>
      <c r="L740" s="4"/>
      <c r="M740" s="4"/>
    </row>
    <row r="741" spans="4:13">
      <c r="D741" s="4"/>
      <c r="G741" s="4"/>
      <c r="H741" s="4"/>
      <c r="I741" s="4"/>
      <c r="J741" s="4"/>
      <c r="K741" s="4"/>
      <c r="L741" s="4"/>
      <c r="M741" s="4"/>
    </row>
    <row r="742" spans="4:13">
      <c r="D742" s="4"/>
      <c r="G742" s="4"/>
      <c r="H742" s="4"/>
      <c r="I742" s="4"/>
      <c r="J742" s="4"/>
      <c r="K742" s="4"/>
      <c r="L742" s="4"/>
      <c r="M742" s="4"/>
    </row>
    <row r="743" spans="4:13">
      <c r="D743" s="4"/>
      <c r="G743" s="4"/>
      <c r="H743" s="4"/>
      <c r="I743" s="4"/>
      <c r="J743" s="4"/>
      <c r="K743" s="4"/>
      <c r="L743" s="4"/>
      <c r="M743" s="4"/>
    </row>
    <row r="744" spans="4:13">
      <c r="D744" s="4"/>
      <c r="G744" s="4"/>
      <c r="H744" s="4"/>
      <c r="I744" s="4"/>
      <c r="J744" s="4"/>
      <c r="K744" s="4"/>
      <c r="L744" s="4"/>
      <c r="M744" s="4"/>
    </row>
    <row r="745" spans="4:13">
      <c r="D745" s="4"/>
      <c r="G745" s="4"/>
      <c r="H745" s="4"/>
      <c r="I745" s="4"/>
      <c r="J745" s="4"/>
      <c r="K745" s="4"/>
      <c r="L745" s="4"/>
      <c r="M745" s="4"/>
    </row>
    <row r="746" spans="4:13">
      <c r="D746" s="4"/>
      <c r="G746" s="4"/>
      <c r="H746" s="4"/>
      <c r="I746" s="4"/>
      <c r="J746" s="4"/>
      <c r="K746" s="4"/>
      <c r="L746" s="4"/>
      <c r="M746" s="4"/>
    </row>
    <row r="747" spans="4:13">
      <c r="D747" s="4"/>
      <c r="G747" s="4"/>
      <c r="H747" s="4"/>
      <c r="I747" s="4"/>
      <c r="J747" s="4"/>
      <c r="K747" s="4"/>
      <c r="L747" s="4"/>
      <c r="M747" s="4"/>
    </row>
    <row r="748" spans="4:13">
      <c r="D748" s="4"/>
      <c r="G748" s="4"/>
      <c r="H748" s="4"/>
      <c r="I748" s="4"/>
      <c r="J748" s="4"/>
      <c r="K748" s="4"/>
      <c r="L748" s="4"/>
      <c r="M748" s="4"/>
    </row>
    <row r="749" spans="4:13">
      <c r="D749" s="4"/>
      <c r="G749" s="4"/>
      <c r="H749" s="4"/>
      <c r="I749" s="4"/>
      <c r="J749" s="4"/>
      <c r="K749" s="4"/>
      <c r="L749" s="4"/>
      <c r="M749" s="4"/>
    </row>
    <row r="750" spans="4:13">
      <c r="D750" s="4"/>
      <c r="G750" s="4"/>
      <c r="H750" s="4"/>
      <c r="I750" s="4"/>
      <c r="J750" s="4"/>
      <c r="K750" s="4"/>
      <c r="L750" s="4"/>
      <c r="M750" s="4"/>
    </row>
    <row r="751" spans="4:13">
      <c r="D751" s="4"/>
      <c r="G751" s="4"/>
      <c r="H751" s="4"/>
      <c r="I751" s="4"/>
      <c r="J751" s="4"/>
      <c r="K751" s="4"/>
      <c r="L751" s="4"/>
      <c r="M751" s="4"/>
    </row>
    <row r="752" spans="4:13">
      <c r="D752" s="4"/>
      <c r="G752" s="4"/>
      <c r="H752" s="4"/>
      <c r="I752" s="4"/>
      <c r="J752" s="4"/>
      <c r="K752" s="4"/>
      <c r="L752" s="4"/>
      <c r="M752" s="4"/>
    </row>
    <row r="753" spans="4:13">
      <c r="D753" s="4"/>
      <c r="G753" s="4"/>
      <c r="H753" s="4"/>
      <c r="I753" s="4"/>
      <c r="J753" s="4"/>
      <c r="K753" s="4"/>
      <c r="L753" s="4"/>
      <c r="M753" s="4"/>
    </row>
    <row r="754" spans="4:13">
      <c r="D754" s="4"/>
      <c r="G754" s="4"/>
      <c r="H754" s="4"/>
      <c r="I754" s="4"/>
      <c r="J754" s="4"/>
      <c r="K754" s="4"/>
      <c r="L754" s="4"/>
      <c r="M754" s="4"/>
    </row>
    <row r="755" spans="4:13">
      <c r="D755" s="4"/>
      <c r="G755" s="4"/>
      <c r="H755" s="4"/>
      <c r="I755" s="4"/>
      <c r="J755" s="4"/>
      <c r="K755" s="4"/>
      <c r="L755" s="4"/>
      <c r="M755" s="4"/>
    </row>
    <row r="756" spans="4:13">
      <c r="D756" s="4"/>
      <c r="G756" s="4"/>
      <c r="H756" s="4"/>
      <c r="I756" s="4"/>
      <c r="J756" s="4"/>
      <c r="K756" s="4"/>
      <c r="L756" s="4"/>
      <c r="M756" s="4"/>
    </row>
    <row r="757" spans="4:13">
      <c r="D757" s="4"/>
      <c r="G757" s="4"/>
      <c r="H757" s="4"/>
      <c r="I757" s="4"/>
      <c r="J757" s="4"/>
      <c r="K757" s="4"/>
      <c r="L757" s="4"/>
      <c r="M757" s="4"/>
    </row>
    <row r="758" spans="4:13">
      <c r="D758" s="4"/>
      <c r="G758" s="4"/>
      <c r="H758" s="4"/>
      <c r="I758" s="4"/>
      <c r="J758" s="4"/>
      <c r="K758" s="4"/>
      <c r="L758" s="4"/>
      <c r="M758" s="4"/>
    </row>
    <row r="759" spans="4:13">
      <c r="D759" s="4"/>
      <c r="G759" s="4"/>
      <c r="H759" s="4"/>
      <c r="I759" s="4"/>
      <c r="J759" s="4"/>
      <c r="K759" s="4"/>
      <c r="L759" s="4"/>
      <c r="M759" s="4"/>
    </row>
    <row r="760" spans="4:13">
      <c r="D760" s="4"/>
      <c r="G760" s="4"/>
      <c r="H760" s="4"/>
      <c r="I760" s="4"/>
      <c r="J760" s="4"/>
      <c r="K760" s="4"/>
      <c r="L760" s="4"/>
      <c r="M760" s="4"/>
    </row>
    <row r="761" spans="4:13">
      <c r="D761" s="4"/>
      <c r="G761" s="4"/>
      <c r="H761" s="4"/>
      <c r="I761" s="4"/>
      <c r="J761" s="4"/>
      <c r="K761" s="4"/>
      <c r="L761" s="4"/>
      <c r="M761" s="4"/>
    </row>
    <row r="762" spans="4:13">
      <c r="D762" s="4"/>
      <c r="G762" s="4"/>
      <c r="H762" s="4"/>
      <c r="I762" s="4"/>
      <c r="J762" s="4"/>
      <c r="K762" s="4"/>
      <c r="L762" s="4"/>
      <c r="M762" s="4"/>
    </row>
    <row r="763" spans="4:13">
      <c r="D763" s="4"/>
      <c r="G763" s="4"/>
      <c r="H763" s="4"/>
      <c r="I763" s="4"/>
      <c r="J763" s="4"/>
      <c r="K763" s="4"/>
      <c r="L763" s="4"/>
      <c r="M763" s="4"/>
    </row>
    <row r="764" spans="4:13">
      <c r="D764" s="4"/>
      <c r="G764" s="4"/>
      <c r="H764" s="4"/>
      <c r="I764" s="4"/>
      <c r="J764" s="4"/>
      <c r="K764" s="4"/>
      <c r="L764" s="4"/>
      <c r="M764" s="4"/>
    </row>
    <row r="765" spans="4:13">
      <c r="D765" s="4"/>
      <c r="G765" s="4"/>
      <c r="H765" s="4"/>
      <c r="I765" s="4"/>
      <c r="J765" s="4"/>
      <c r="K765" s="4"/>
      <c r="L765" s="4"/>
      <c r="M765" s="4"/>
    </row>
    <row r="766" spans="4:13">
      <c r="D766" s="4"/>
      <c r="G766" s="4"/>
      <c r="H766" s="4"/>
      <c r="I766" s="4"/>
      <c r="J766" s="4"/>
      <c r="K766" s="4"/>
      <c r="L766" s="4"/>
      <c r="M766" s="4"/>
    </row>
    <row r="767" spans="4:13">
      <c r="D767" s="4"/>
      <c r="G767" s="4"/>
      <c r="H767" s="4"/>
      <c r="I767" s="4"/>
      <c r="J767" s="4"/>
      <c r="K767" s="4"/>
      <c r="L767" s="4"/>
      <c r="M767" s="4"/>
    </row>
    <row r="768" spans="4:13">
      <c r="D768" s="4"/>
      <c r="G768" s="4"/>
      <c r="H768" s="4"/>
      <c r="I768" s="4"/>
      <c r="J768" s="4"/>
      <c r="K768" s="4"/>
      <c r="L768" s="4"/>
      <c r="M768" s="4"/>
    </row>
    <row r="769" spans="4:13">
      <c r="D769" s="4"/>
      <c r="G769" s="4"/>
      <c r="H769" s="4"/>
      <c r="I769" s="4"/>
      <c r="J769" s="4"/>
      <c r="K769" s="4"/>
      <c r="L769" s="4"/>
      <c r="M769" s="4"/>
    </row>
    <row r="770" spans="4:13">
      <c r="D770" s="4"/>
      <c r="G770" s="4"/>
      <c r="H770" s="4"/>
      <c r="I770" s="4"/>
      <c r="J770" s="4"/>
      <c r="K770" s="4"/>
      <c r="L770" s="4"/>
      <c r="M770" s="4"/>
    </row>
    <row r="771" spans="4:13">
      <c r="D771" s="4"/>
      <c r="G771" s="4"/>
      <c r="H771" s="4"/>
      <c r="I771" s="4"/>
      <c r="J771" s="4"/>
      <c r="K771" s="4"/>
      <c r="L771" s="4"/>
      <c r="M771" s="4"/>
    </row>
    <row r="772" spans="4:13">
      <c r="D772" s="4"/>
      <c r="G772" s="4"/>
      <c r="H772" s="4"/>
      <c r="I772" s="4"/>
      <c r="J772" s="4"/>
      <c r="K772" s="4"/>
      <c r="L772" s="4"/>
      <c r="M772" s="4"/>
    </row>
    <row r="773" spans="4:13">
      <c r="D773" s="4"/>
      <c r="G773" s="4"/>
      <c r="H773" s="4"/>
      <c r="I773" s="4"/>
      <c r="J773" s="4"/>
      <c r="K773" s="4"/>
      <c r="L773" s="4"/>
      <c r="M773" s="4"/>
    </row>
    <row r="774" spans="4:13">
      <c r="D774" s="4"/>
      <c r="G774" s="4"/>
      <c r="H774" s="4"/>
      <c r="I774" s="4"/>
      <c r="J774" s="4"/>
      <c r="K774" s="4"/>
      <c r="L774" s="4"/>
      <c r="M774" s="4"/>
    </row>
    <row r="775" spans="4:13">
      <c r="D775" s="4"/>
      <c r="G775" s="4"/>
      <c r="H775" s="4"/>
      <c r="I775" s="4"/>
      <c r="J775" s="4"/>
      <c r="K775" s="4"/>
      <c r="L775" s="4"/>
      <c r="M775" s="4"/>
    </row>
    <row r="776" spans="4:13">
      <c r="D776" s="4"/>
      <c r="G776" s="4"/>
      <c r="H776" s="4"/>
      <c r="I776" s="4"/>
      <c r="J776" s="4"/>
      <c r="K776" s="4"/>
      <c r="L776" s="4"/>
      <c r="M776" s="4"/>
    </row>
    <row r="777" spans="4:13">
      <c r="D777" s="4"/>
      <c r="G777" s="4"/>
      <c r="H777" s="4"/>
      <c r="I777" s="4"/>
      <c r="J777" s="4"/>
      <c r="K777" s="4"/>
      <c r="L777" s="4"/>
      <c r="M777" s="4"/>
    </row>
    <row r="778" spans="4:13">
      <c r="D778" s="4"/>
      <c r="G778" s="4"/>
      <c r="H778" s="4"/>
      <c r="I778" s="4"/>
      <c r="J778" s="4"/>
      <c r="K778" s="4"/>
      <c r="L778" s="4"/>
      <c r="M778" s="4"/>
    </row>
    <row r="779" spans="4:13">
      <c r="D779" s="4"/>
      <c r="G779" s="4"/>
      <c r="H779" s="4"/>
      <c r="I779" s="4"/>
      <c r="J779" s="4"/>
      <c r="K779" s="4"/>
      <c r="L779" s="4"/>
      <c r="M779" s="4"/>
    </row>
    <row r="780" spans="4:13">
      <c r="D780" s="4"/>
      <c r="G780" s="4"/>
      <c r="H780" s="4"/>
      <c r="I780" s="4"/>
      <c r="J780" s="4"/>
      <c r="K780" s="4"/>
      <c r="L780" s="4"/>
      <c r="M780" s="4"/>
    </row>
    <row r="781" spans="4:13">
      <c r="D781" s="4"/>
      <c r="G781" s="4"/>
      <c r="H781" s="4"/>
      <c r="I781" s="4"/>
      <c r="J781" s="4"/>
      <c r="K781" s="4"/>
      <c r="L781" s="4"/>
      <c r="M781" s="4"/>
    </row>
    <row r="782" spans="4:13">
      <c r="D782" s="4"/>
      <c r="G782" s="4"/>
      <c r="H782" s="4"/>
      <c r="I782" s="4"/>
      <c r="J782" s="4"/>
      <c r="K782" s="4"/>
      <c r="L782" s="4"/>
      <c r="M782" s="4"/>
    </row>
    <row r="783" spans="4:13">
      <c r="D783" s="4"/>
      <c r="G783" s="4"/>
      <c r="H783" s="4"/>
      <c r="I783" s="4"/>
      <c r="J783" s="4"/>
      <c r="K783" s="4"/>
      <c r="L783" s="4"/>
      <c r="M783" s="4"/>
    </row>
    <row r="784" spans="4:13">
      <c r="D784" s="4"/>
      <c r="G784" s="4"/>
      <c r="H784" s="4"/>
      <c r="I784" s="4"/>
      <c r="J784" s="4"/>
      <c r="K784" s="4"/>
      <c r="L784" s="4"/>
      <c r="M784" s="4"/>
    </row>
    <row r="785" spans="4:13">
      <c r="D785" s="4"/>
      <c r="G785" s="4"/>
      <c r="H785" s="4"/>
      <c r="I785" s="4"/>
      <c r="J785" s="4"/>
      <c r="K785" s="4"/>
      <c r="L785" s="4"/>
      <c r="M785" s="4"/>
    </row>
    <row r="786" spans="4:13">
      <c r="D786" s="4"/>
      <c r="G786" s="4"/>
      <c r="H786" s="4"/>
      <c r="I786" s="4"/>
      <c r="J786" s="4"/>
      <c r="K786" s="4"/>
      <c r="L786" s="4"/>
      <c r="M786" s="4"/>
    </row>
    <row r="787" spans="4:13">
      <c r="D787" s="4"/>
      <c r="G787" s="4"/>
      <c r="H787" s="4"/>
      <c r="I787" s="4"/>
      <c r="J787" s="4"/>
      <c r="K787" s="4"/>
      <c r="L787" s="4"/>
      <c r="M787" s="4"/>
    </row>
    <row r="788" spans="4:13">
      <c r="D788" s="4"/>
      <c r="G788" s="4"/>
      <c r="H788" s="4"/>
      <c r="I788" s="4"/>
      <c r="J788" s="4"/>
      <c r="K788" s="4"/>
      <c r="L788" s="4"/>
      <c r="M788" s="4"/>
    </row>
    <row r="789" spans="4:13">
      <c r="D789" s="4"/>
      <c r="G789" s="4"/>
      <c r="H789" s="4"/>
      <c r="I789" s="4"/>
      <c r="J789" s="4"/>
      <c r="K789" s="4"/>
      <c r="L789" s="4"/>
      <c r="M789" s="4"/>
    </row>
    <row r="790" spans="4:13">
      <c r="D790" s="4"/>
      <c r="G790" s="4"/>
      <c r="H790" s="4"/>
      <c r="I790" s="4"/>
      <c r="J790" s="4"/>
      <c r="K790" s="4"/>
      <c r="L790" s="4"/>
      <c r="M790" s="4"/>
    </row>
    <row r="791" spans="4:13">
      <c r="D791" s="4"/>
      <c r="G791" s="4"/>
      <c r="H791" s="4"/>
      <c r="I791" s="4"/>
      <c r="J791" s="4"/>
      <c r="K791" s="4"/>
      <c r="L791" s="4"/>
      <c r="M791" s="4"/>
    </row>
    <row r="792" spans="4:13">
      <c r="D792" s="4"/>
      <c r="G792" s="4"/>
      <c r="H792" s="4"/>
      <c r="I792" s="4"/>
      <c r="J792" s="4"/>
      <c r="K792" s="4"/>
      <c r="L792" s="4"/>
      <c r="M792" s="4"/>
    </row>
    <row r="793" spans="4:13">
      <c r="D793" s="4"/>
      <c r="G793" s="4"/>
      <c r="H793" s="4"/>
      <c r="I793" s="4"/>
      <c r="J793" s="4"/>
      <c r="K793" s="4"/>
      <c r="L793" s="4"/>
      <c r="M793" s="4"/>
    </row>
    <row r="794" spans="4:13">
      <c r="D794" s="4"/>
      <c r="G794" s="4"/>
      <c r="H794" s="4"/>
      <c r="I794" s="4"/>
      <c r="J794" s="4"/>
      <c r="K794" s="4"/>
      <c r="L794" s="4"/>
      <c r="M794" s="4"/>
    </row>
    <row r="795" spans="4:13">
      <c r="D795" s="4"/>
      <c r="G795" s="4"/>
      <c r="H795" s="4"/>
      <c r="I795" s="4"/>
      <c r="J795" s="4"/>
      <c r="K795" s="4"/>
      <c r="L795" s="4"/>
      <c r="M795" s="4"/>
    </row>
    <row r="796" spans="4:13">
      <c r="D796" s="4"/>
      <c r="G796" s="4"/>
      <c r="H796" s="4"/>
      <c r="I796" s="4"/>
      <c r="J796" s="4"/>
      <c r="K796" s="4"/>
      <c r="L796" s="4"/>
      <c r="M796" s="4"/>
    </row>
    <row r="797" spans="4:13">
      <c r="D797" s="4"/>
      <c r="G797" s="4"/>
      <c r="H797" s="4"/>
      <c r="I797" s="4"/>
      <c r="J797" s="4"/>
      <c r="K797" s="4"/>
      <c r="L797" s="4"/>
      <c r="M797" s="4"/>
    </row>
    <row r="798" spans="4:13">
      <c r="D798" s="4"/>
      <c r="G798" s="4"/>
      <c r="H798" s="4"/>
      <c r="I798" s="4"/>
      <c r="J798" s="4"/>
      <c r="K798" s="4"/>
      <c r="L798" s="4"/>
      <c r="M798" s="4"/>
    </row>
    <row r="799" spans="4:13">
      <c r="D799" s="4"/>
      <c r="G799" s="4"/>
      <c r="H799" s="4"/>
      <c r="I799" s="4"/>
      <c r="J799" s="4"/>
      <c r="K799" s="4"/>
      <c r="L799" s="4"/>
      <c r="M799" s="4"/>
    </row>
    <row r="800" spans="4:13">
      <c r="D800" s="4"/>
      <c r="G800" s="4"/>
      <c r="H800" s="4"/>
      <c r="I800" s="4"/>
      <c r="J800" s="4"/>
      <c r="K800" s="4"/>
      <c r="L800" s="4"/>
      <c r="M800" s="4"/>
    </row>
    <row r="801" spans="4:13">
      <c r="D801" s="4"/>
      <c r="G801" s="4"/>
      <c r="H801" s="4"/>
      <c r="I801" s="4"/>
      <c r="J801" s="4"/>
      <c r="K801" s="4"/>
      <c r="L801" s="4"/>
      <c r="M801" s="4"/>
    </row>
    <row r="802" spans="4:13">
      <c r="D802" s="4"/>
      <c r="G802" s="4"/>
      <c r="H802" s="4"/>
      <c r="I802" s="4"/>
      <c r="J802" s="4"/>
      <c r="K802" s="4"/>
      <c r="L802" s="4"/>
      <c r="M802" s="4"/>
    </row>
    <row r="803" spans="4:13">
      <c r="D803" s="4"/>
      <c r="G803" s="4"/>
      <c r="H803" s="4"/>
      <c r="I803" s="4"/>
      <c r="J803" s="4"/>
      <c r="K803" s="4"/>
      <c r="L803" s="4"/>
      <c r="M803" s="4"/>
    </row>
    <row r="804" spans="4:13">
      <c r="D804" s="4"/>
      <c r="G804" s="4"/>
      <c r="H804" s="4"/>
      <c r="I804" s="4"/>
      <c r="J804" s="4"/>
      <c r="K804" s="4"/>
      <c r="L804" s="4"/>
      <c r="M804" s="4"/>
    </row>
    <row r="805" spans="4:13">
      <c r="D805" s="4"/>
      <c r="G805" s="4"/>
      <c r="H805" s="4"/>
      <c r="I805" s="4"/>
      <c r="J805" s="4"/>
      <c r="K805" s="4"/>
      <c r="L805" s="4"/>
      <c r="M805" s="4"/>
    </row>
    <row r="806" spans="4:13">
      <c r="D806" s="4"/>
      <c r="G806" s="4"/>
      <c r="H806" s="4"/>
      <c r="I806" s="4"/>
      <c r="J806" s="4"/>
      <c r="K806" s="4"/>
      <c r="L806" s="4"/>
      <c r="M806" s="4"/>
    </row>
    <row r="807" spans="4:13">
      <c r="D807" s="4"/>
      <c r="G807" s="4"/>
      <c r="H807" s="4"/>
      <c r="I807" s="4"/>
      <c r="J807" s="4"/>
      <c r="K807" s="4"/>
      <c r="L807" s="4"/>
      <c r="M807" s="4"/>
    </row>
    <row r="808" spans="4:13">
      <c r="D808" s="4"/>
      <c r="G808" s="4"/>
      <c r="H808" s="4"/>
      <c r="I808" s="4"/>
      <c r="J808" s="4"/>
      <c r="K808" s="4"/>
      <c r="L808" s="4"/>
      <c r="M808" s="4"/>
    </row>
    <row r="809" spans="4:13">
      <c r="D809" s="4"/>
      <c r="G809" s="4"/>
      <c r="H809" s="4"/>
      <c r="I809" s="4"/>
      <c r="J809" s="4"/>
      <c r="K809" s="4"/>
      <c r="L809" s="4"/>
      <c r="M809" s="4"/>
    </row>
    <row r="810" spans="4:13">
      <c r="D810" s="4"/>
      <c r="G810" s="4"/>
      <c r="H810" s="4"/>
      <c r="I810" s="4"/>
      <c r="J810" s="4"/>
      <c r="K810" s="4"/>
      <c r="L810" s="4"/>
      <c r="M810" s="4"/>
    </row>
    <row r="811" spans="4:13">
      <c r="D811" s="4"/>
      <c r="G811" s="4"/>
      <c r="H811" s="4"/>
      <c r="I811" s="4"/>
      <c r="J811" s="4"/>
      <c r="K811" s="4"/>
      <c r="L811" s="4"/>
      <c r="M811" s="4"/>
    </row>
    <row r="812" spans="4:13">
      <c r="D812" s="4"/>
      <c r="G812" s="4"/>
      <c r="H812" s="4"/>
      <c r="I812" s="4"/>
      <c r="J812" s="4"/>
      <c r="K812" s="4"/>
      <c r="L812" s="4"/>
      <c r="M812" s="4"/>
    </row>
    <row r="813" spans="4:13">
      <c r="D813" s="4"/>
      <c r="G813" s="4"/>
      <c r="H813" s="4"/>
      <c r="I813" s="4"/>
      <c r="J813" s="4"/>
      <c r="K813" s="4"/>
      <c r="L813" s="4"/>
      <c r="M813" s="4"/>
    </row>
    <row r="814" spans="4:13">
      <c r="D814" s="4"/>
      <c r="G814" s="4"/>
      <c r="H814" s="4"/>
      <c r="I814" s="4"/>
      <c r="J814" s="4"/>
      <c r="K814" s="4"/>
      <c r="L814" s="4"/>
      <c r="M814" s="4"/>
    </row>
    <row r="815" spans="4:13">
      <c r="D815" s="4"/>
      <c r="G815" s="4"/>
      <c r="H815" s="4"/>
      <c r="I815" s="4"/>
      <c r="J815" s="4"/>
      <c r="K815" s="4"/>
      <c r="L815" s="4"/>
      <c r="M815" s="4"/>
    </row>
    <row r="816" spans="4:13">
      <c r="D816" s="4"/>
      <c r="G816" s="4"/>
      <c r="H816" s="4"/>
      <c r="I816" s="4"/>
      <c r="J816" s="4"/>
      <c r="K816" s="4"/>
      <c r="L816" s="4"/>
      <c r="M816" s="4"/>
    </row>
    <row r="817" spans="4:13">
      <c r="D817" s="4"/>
      <c r="G817" s="4"/>
      <c r="H817" s="4"/>
      <c r="I817" s="4"/>
      <c r="J817" s="4"/>
      <c r="K817" s="4"/>
      <c r="L817" s="4"/>
      <c r="M817" s="4"/>
    </row>
    <row r="818" spans="4:13">
      <c r="D818" s="4"/>
      <c r="G818" s="4"/>
      <c r="H818" s="4"/>
      <c r="I818" s="4"/>
      <c r="J818" s="4"/>
      <c r="K818" s="4"/>
      <c r="L818" s="4"/>
      <c r="M818" s="4"/>
    </row>
    <row r="819" spans="4:13">
      <c r="D819" s="4"/>
      <c r="G819" s="4"/>
      <c r="H819" s="4"/>
      <c r="I819" s="4"/>
      <c r="J819" s="4"/>
      <c r="K819" s="4"/>
      <c r="L819" s="4"/>
      <c r="M819" s="4"/>
    </row>
    <row r="820" spans="4:13">
      <c r="D820" s="4"/>
      <c r="G820" s="4"/>
      <c r="H820" s="4"/>
      <c r="I820" s="4"/>
      <c r="J820" s="4"/>
      <c r="K820" s="4"/>
      <c r="L820" s="4"/>
      <c r="M820" s="4"/>
    </row>
    <row r="821" spans="4:13">
      <c r="D821" s="4"/>
      <c r="G821" s="4"/>
      <c r="H821" s="4"/>
      <c r="I821" s="4"/>
      <c r="J821" s="4"/>
      <c r="K821" s="4"/>
      <c r="L821" s="4"/>
      <c r="M821" s="4"/>
    </row>
    <row r="822" spans="4:13">
      <c r="D822" s="4"/>
      <c r="G822" s="4"/>
      <c r="H822" s="4"/>
      <c r="I822" s="4"/>
      <c r="J822" s="4"/>
      <c r="K822" s="4"/>
      <c r="L822" s="4"/>
      <c r="M822" s="4"/>
    </row>
    <row r="823" spans="4:13">
      <c r="D823" s="4"/>
      <c r="G823" s="4"/>
      <c r="H823" s="4"/>
      <c r="I823" s="4"/>
      <c r="J823" s="4"/>
      <c r="K823" s="4"/>
      <c r="L823" s="4"/>
      <c r="M823" s="4"/>
    </row>
    <row r="824" spans="4:13">
      <c r="D824" s="4"/>
      <c r="G824" s="4"/>
      <c r="H824" s="4"/>
      <c r="I824" s="4"/>
      <c r="J824" s="4"/>
      <c r="K824" s="4"/>
      <c r="L824" s="4"/>
      <c r="M824" s="4"/>
    </row>
    <row r="825" spans="4:13">
      <c r="D825" s="4"/>
      <c r="G825" s="4"/>
      <c r="H825" s="4"/>
      <c r="I825" s="4"/>
      <c r="J825" s="4"/>
      <c r="K825" s="4"/>
      <c r="L825" s="4"/>
      <c r="M825" s="4"/>
    </row>
    <row r="826" spans="4:13">
      <c r="D826" s="4"/>
      <c r="G826" s="4"/>
      <c r="H826" s="4"/>
      <c r="I826" s="4"/>
      <c r="J826" s="4"/>
      <c r="K826" s="4"/>
      <c r="L826" s="4"/>
      <c r="M826" s="4"/>
    </row>
    <row r="827" spans="4:13">
      <c r="D827" s="4"/>
      <c r="G827" s="4"/>
      <c r="H827" s="4"/>
      <c r="I827" s="4"/>
      <c r="J827" s="4"/>
      <c r="K827" s="4"/>
      <c r="L827" s="4"/>
      <c r="M827" s="4"/>
    </row>
    <row r="828" spans="4:13">
      <c r="D828" s="4"/>
      <c r="G828" s="4"/>
      <c r="H828" s="4"/>
      <c r="I828" s="4"/>
      <c r="J828" s="4"/>
      <c r="K828" s="4"/>
      <c r="L828" s="4"/>
      <c r="M828" s="4"/>
    </row>
    <row r="829" spans="4:13">
      <c r="D829" s="4"/>
      <c r="G829" s="4"/>
      <c r="H829" s="4"/>
      <c r="I829" s="4"/>
      <c r="J829" s="4"/>
      <c r="K829" s="4"/>
      <c r="L829" s="4"/>
      <c r="M829" s="4"/>
    </row>
    <row r="830" spans="4:13">
      <c r="D830" s="4"/>
      <c r="G830" s="4"/>
      <c r="H830" s="4"/>
      <c r="I830" s="4"/>
      <c r="J830" s="4"/>
      <c r="K830" s="4"/>
      <c r="L830" s="4"/>
      <c r="M830" s="4"/>
    </row>
    <row r="831" spans="4:13">
      <c r="D831" s="4"/>
      <c r="G831" s="4"/>
      <c r="H831" s="4"/>
      <c r="I831" s="4"/>
      <c r="J831" s="4"/>
      <c r="K831" s="4"/>
      <c r="L831" s="4"/>
      <c r="M831" s="4"/>
    </row>
    <row r="832" spans="4:13">
      <c r="D832" s="4"/>
      <c r="G832" s="4"/>
      <c r="H832" s="4"/>
      <c r="I832" s="4"/>
      <c r="J832" s="4"/>
      <c r="K832" s="4"/>
      <c r="L832" s="4"/>
      <c r="M832" s="4"/>
    </row>
    <row r="833" spans="4:13">
      <c r="D833" s="4"/>
      <c r="G833" s="4"/>
      <c r="H833" s="4"/>
      <c r="I833" s="4"/>
      <c r="J833" s="4"/>
      <c r="K833" s="4"/>
      <c r="L833" s="4"/>
      <c r="M833" s="4"/>
    </row>
    <row r="834" spans="4:13">
      <c r="D834" s="4"/>
      <c r="G834" s="4"/>
      <c r="H834" s="4"/>
      <c r="I834" s="4"/>
      <c r="J834" s="4"/>
      <c r="K834" s="4"/>
      <c r="L834" s="4"/>
      <c r="M834" s="4"/>
    </row>
    <row r="835" spans="4:13">
      <c r="D835" s="4"/>
      <c r="G835" s="4"/>
      <c r="H835" s="4"/>
      <c r="I835" s="4"/>
      <c r="J835" s="4"/>
      <c r="K835" s="4"/>
      <c r="L835" s="4"/>
      <c r="M835" s="4"/>
    </row>
    <row r="836" spans="4:13">
      <c r="D836" s="4"/>
      <c r="G836" s="4"/>
      <c r="H836" s="4"/>
      <c r="I836" s="4"/>
      <c r="J836" s="4"/>
      <c r="K836" s="4"/>
      <c r="L836" s="4"/>
      <c r="M836" s="4"/>
    </row>
    <row r="837" spans="4:13">
      <c r="D837" s="4"/>
      <c r="G837" s="4"/>
      <c r="H837" s="4"/>
      <c r="I837" s="4"/>
      <c r="J837" s="4"/>
      <c r="K837" s="4"/>
      <c r="L837" s="4"/>
      <c r="M837" s="4"/>
    </row>
    <row r="838" spans="4:13">
      <c r="D838" s="4"/>
      <c r="G838" s="4"/>
      <c r="H838" s="4"/>
      <c r="I838" s="4"/>
      <c r="J838" s="4"/>
      <c r="K838" s="4"/>
      <c r="L838" s="4"/>
      <c r="M838" s="4"/>
    </row>
    <row r="839" spans="4:13">
      <c r="D839" s="4"/>
      <c r="G839" s="4"/>
      <c r="H839" s="4"/>
      <c r="I839" s="4"/>
      <c r="J839" s="4"/>
      <c r="K839" s="4"/>
      <c r="L839" s="4"/>
      <c r="M839" s="4"/>
    </row>
    <row r="840" spans="4:13">
      <c r="D840" s="4"/>
      <c r="G840" s="4"/>
      <c r="H840" s="4"/>
      <c r="I840" s="4"/>
      <c r="J840" s="4"/>
      <c r="K840" s="4"/>
      <c r="L840" s="4"/>
      <c r="M840" s="4"/>
    </row>
    <row r="841" spans="4:13">
      <c r="D841" s="4"/>
      <c r="G841" s="4"/>
      <c r="H841" s="4"/>
      <c r="I841" s="4"/>
      <c r="J841" s="4"/>
      <c r="K841" s="4"/>
      <c r="L841" s="4"/>
      <c r="M841" s="4"/>
    </row>
    <row r="842" spans="4:13">
      <c r="D842" s="4"/>
      <c r="G842" s="4"/>
      <c r="H842" s="4"/>
      <c r="I842" s="4"/>
      <c r="J842" s="4"/>
      <c r="K842" s="4"/>
      <c r="L842" s="4"/>
      <c r="M842" s="4"/>
    </row>
    <row r="843" spans="4:13">
      <c r="D843" s="4"/>
      <c r="G843" s="4"/>
      <c r="H843" s="4"/>
      <c r="I843" s="4"/>
      <c r="J843" s="4"/>
      <c r="K843" s="4"/>
      <c r="L843" s="4"/>
      <c r="M843" s="4"/>
    </row>
    <row r="844" spans="4:13">
      <c r="D844" s="4"/>
      <c r="G844" s="4"/>
      <c r="H844" s="4"/>
      <c r="I844" s="4"/>
      <c r="J844" s="4"/>
      <c r="K844" s="4"/>
      <c r="L844" s="4"/>
      <c r="M844" s="4"/>
    </row>
    <row r="845" spans="4:13">
      <c r="D845" s="4"/>
      <c r="G845" s="4"/>
      <c r="H845" s="4"/>
      <c r="I845" s="4"/>
      <c r="J845" s="4"/>
      <c r="K845" s="4"/>
      <c r="L845" s="4"/>
      <c r="M845" s="4"/>
    </row>
    <row r="846" spans="4:13">
      <c r="D846" s="4"/>
      <c r="G846" s="4"/>
      <c r="H846" s="4"/>
      <c r="I846" s="4"/>
      <c r="J846" s="4"/>
      <c r="K846" s="4"/>
      <c r="L846" s="4"/>
      <c r="M846" s="4"/>
    </row>
    <row r="847" spans="4:13">
      <c r="D847" s="4"/>
      <c r="G847" s="4"/>
      <c r="H847" s="4"/>
      <c r="I847" s="4"/>
      <c r="J847" s="4"/>
      <c r="K847" s="4"/>
      <c r="L847" s="4"/>
      <c r="M847" s="4"/>
    </row>
    <row r="848" spans="4:13">
      <c r="D848" s="4"/>
      <c r="G848" s="4"/>
      <c r="H848" s="4"/>
      <c r="I848" s="4"/>
      <c r="J848" s="4"/>
      <c r="K848" s="4"/>
      <c r="L848" s="4"/>
      <c r="M848" s="4"/>
    </row>
    <row r="849" spans="4:13">
      <c r="D849" s="4"/>
      <c r="G849" s="4"/>
      <c r="H849" s="4"/>
      <c r="I849" s="4"/>
      <c r="J849" s="4"/>
      <c r="K849" s="4"/>
      <c r="L849" s="4"/>
      <c r="M849" s="4"/>
    </row>
    <row r="850" spans="4:13">
      <c r="D850" s="4"/>
      <c r="G850" s="4"/>
      <c r="H850" s="4"/>
      <c r="I850" s="4"/>
      <c r="J850" s="4"/>
      <c r="K850" s="4"/>
      <c r="L850" s="4"/>
      <c r="M850" s="4"/>
    </row>
    <row r="851" spans="4:13">
      <c r="D851" s="4"/>
      <c r="G851" s="4"/>
      <c r="H851" s="4"/>
      <c r="I851" s="4"/>
      <c r="J851" s="4"/>
      <c r="K851" s="4"/>
      <c r="L851" s="4"/>
      <c r="M851" s="4"/>
    </row>
    <row r="852" spans="4:13">
      <c r="D852" s="4"/>
      <c r="G852" s="4"/>
      <c r="H852" s="4"/>
      <c r="I852" s="4"/>
      <c r="J852" s="4"/>
      <c r="K852" s="4"/>
      <c r="L852" s="4"/>
      <c r="M852" s="4"/>
    </row>
    <row r="853" spans="4:13">
      <c r="D853" s="4"/>
      <c r="G853" s="4"/>
      <c r="H853" s="4"/>
      <c r="I853" s="4"/>
      <c r="J853" s="4"/>
      <c r="K853" s="4"/>
      <c r="L853" s="4"/>
      <c r="M853" s="4"/>
    </row>
    <row r="854" spans="4:13">
      <c r="D854" s="4"/>
      <c r="G854" s="4"/>
      <c r="H854" s="4"/>
      <c r="I854" s="4"/>
      <c r="J854" s="4"/>
      <c r="K854" s="4"/>
      <c r="L854" s="4"/>
      <c r="M854" s="4"/>
    </row>
    <row r="855" spans="4:13">
      <c r="D855" s="4"/>
      <c r="G855" s="4"/>
      <c r="H855" s="4"/>
      <c r="I855" s="4"/>
      <c r="J855" s="4"/>
      <c r="K855" s="4"/>
      <c r="L855" s="4"/>
      <c r="M855" s="4"/>
    </row>
    <row r="856" spans="4:13">
      <c r="D856" s="4"/>
      <c r="G856" s="4"/>
      <c r="H856" s="4"/>
      <c r="I856" s="4"/>
      <c r="J856" s="4"/>
      <c r="K856" s="4"/>
      <c r="L856" s="4"/>
      <c r="M856" s="4"/>
    </row>
    <row r="857" spans="4:13">
      <c r="D857" s="4"/>
      <c r="G857" s="4"/>
      <c r="H857" s="4"/>
      <c r="I857" s="4"/>
      <c r="J857" s="4"/>
      <c r="K857" s="4"/>
      <c r="L857" s="4"/>
      <c r="M857" s="4"/>
    </row>
    <row r="858" spans="4:13">
      <c r="D858" s="4"/>
      <c r="G858" s="4"/>
      <c r="H858" s="4"/>
      <c r="I858" s="4"/>
      <c r="J858" s="4"/>
      <c r="K858" s="4"/>
      <c r="L858" s="4"/>
      <c r="M858" s="4"/>
    </row>
    <row r="859" spans="4:13">
      <c r="D859" s="4"/>
      <c r="G859" s="4"/>
      <c r="H859" s="4"/>
      <c r="I859" s="4"/>
      <c r="J859" s="4"/>
      <c r="K859" s="4"/>
      <c r="L859" s="4"/>
      <c r="M859" s="4"/>
    </row>
    <row r="860" spans="4:13">
      <c r="D860" s="4"/>
      <c r="G860" s="4"/>
      <c r="H860" s="4"/>
      <c r="I860" s="4"/>
      <c r="J860" s="4"/>
      <c r="K860" s="4"/>
      <c r="L860" s="4"/>
      <c r="M860" s="4"/>
    </row>
    <row r="861" spans="4:13">
      <c r="D861" s="4"/>
      <c r="G861" s="4"/>
      <c r="H861" s="4"/>
      <c r="I861" s="4"/>
      <c r="J861" s="4"/>
      <c r="K861" s="4"/>
      <c r="L861" s="4"/>
      <c r="M861" s="4"/>
    </row>
    <row r="862" spans="4:13">
      <c r="D862" s="4"/>
      <c r="G862" s="4"/>
      <c r="H862" s="4"/>
      <c r="I862" s="4"/>
      <c r="J862" s="4"/>
      <c r="K862" s="4"/>
      <c r="L862" s="4"/>
      <c r="M862" s="4"/>
    </row>
    <row r="863" spans="4:13">
      <c r="D863" s="4"/>
      <c r="G863" s="4"/>
      <c r="H863" s="4"/>
      <c r="I863" s="4"/>
      <c r="J863" s="4"/>
      <c r="K863" s="4"/>
      <c r="L863" s="4"/>
      <c r="M863" s="4"/>
    </row>
    <row r="864" spans="4:13">
      <c r="D864" s="4"/>
      <c r="G864" s="4"/>
      <c r="H864" s="4"/>
      <c r="I864" s="4"/>
      <c r="J864" s="4"/>
      <c r="K864" s="4"/>
      <c r="L864" s="4"/>
      <c r="M864" s="4"/>
    </row>
    <row r="865" spans="4:13">
      <c r="D865" s="4"/>
      <c r="G865" s="4"/>
      <c r="H865" s="4"/>
      <c r="I865" s="4"/>
      <c r="J865" s="4"/>
      <c r="K865" s="4"/>
      <c r="L865" s="4"/>
      <c r="M865" s="4"/>
    </row>
    <row r="866" spans="4:13">
      <c r="D866" s="4"/>
      <c r="G866" s="4"/>
      <c r="H866" s="4"/>
      <c r="I866" s="4"/>
      <c r="J866" s="4"/>
      <c r="K866" s="4"/>
      <c r="L866" s="4"/>
      <c r="M866" s="4"/>
    </row>
    <row r="867" spans="4:13">
      <c r="D867" s="4"/>
      <c r="G867" s="4"/>
      <c r="H867" s="4"/>
      <c r="I867" s="4"/>
      <c r="J867" s="4"/>
      <c r="K867" s="4"/>
      <c r="L867" s="4"/>
      <c r="M867" s="4"/>
    </row>
    <row r="868" spans="4:13">
      <c r="D868" s="4"/>
      <c r="G868" s="4"/>
      <c r="H868" s="4"/>
      <c r="I868" s="4"/>
      <c r="J868" s="4"/>
      <c r="K868" s="4"/>
      <c r="L868" s="4"/>
      <c r="M868" s="4"/>
    </row>
    <row r="869" spans="4:13">
      <c r="D869" s="4"/>
      <c r="G869" s="4"/>
      <c r="H869" s="4"/>
      <c r="I869" s="4"/>
      <c r="J869" s="4"/>
      <c r="K869" s="4"/>
      <c r="L869" s="4"/>
      <c r="M869" s="4"/>
    </row>
    <row r="870" spans="4:13">
      <c r="D870" s="4"/>
      <c r="G870" s="4"/>
      <c r="H870" s="4"/>
      <c r="I870" s="4"/>
      <c r="J870" s="4"/>
      <c r="K870" s="4"/>
      <c r="L870" s="4"/>
      <c r="M870" s="4"/>
    </row>
    <row r="871" spans="4:13">
      <c r="D871" s="4"/>
      <c r="G871" s="4"/>
      <c r="H871" s="4"/>
      <c r="I871" s="4"/>
      <c r="J871" s="4"/>
      <c r="K871" s="4"/>
      <c r="L871" s="4"/>
      <c r="M871" s="4"/>
    </row>
    <row r="872" spans="4:13">
      <c r="D872" s="4"/>
      <c r="G872" s="4"/>
      <c r="H872" s="4"/>
      <c r="I872" s="4"/>
      <c r="J872" s="4"/>
      <c r="K872" s="4"/>
      <c r="L872" s="4"/>
      <c r="M872" s="4"/>
    </row>
    <row r="873" spans="4:13">
      <c r="D873" s="4"/>
      <c r="G873" s="4"/>
      <c r="H873" s="4"/>
      <c r="I873" s="4"/>
      <c r="J873" s="4"/>
      <c r="K873" s="4"/>
      <c r="L873" s="4"/>
      <c r="M873" s="4"/>
    </row>
    <row r="874" spans="4:13">
      <c r="D874" s="4"/>
      <c r="G874" s="4"/>
      <c r="H874" s="4"/>
      <c r="I874" s="4"/>
      <c r="J874" s="4"/>
      <c r="K874" s="4"/>
      <c r="L874" s="4"/>
      <c r="M874" s="4"/>
    </row>
    <row r="875" spans="4:13">
      <c r="D875" s="4"/>
      <c r="G875" s="4"/>
      <c r="H875" s="4"/>
      <c r="I875" s="4"/>
      <c r="J875" s="4"/>
      <c r="K875" s="4"/>
      <c r="L875" s="4"/>
      <c r="M875" s="4"/>
    </row>
    <row r="876" spans="4:13">
      <c r="D876" s="4"/>
      <c r="G876" s="4"/>
      <c r="H876" s="4"/>
      <c r="I876" s="4"/>
      <c r="J876" s="4"/>
      <c r="K876" s="4"/>
      <c r="L876" s="4"/>
      <c r="M876" s="4"/>
    </row>
    <row r="877" spans="4:13">
      <c r="D877" s="4"/>
      <c r="G877" s="4"/>
      <c r="H877" s="4"/>
      <c r="I877" s="4"/>
      <c r="J877" s="4"/>
      <c r="K877" s="4"/>
      <c r="L877" s="4"/>
      <c r="M877" s="4"/>
    </row>
    <row r="878" spans="4:13">
      <c r="D878" s="4"/>
      <c r="G878" s="4"/>
      <c r="H878" s="4"/>
      <c r="I878" s="4"/>
      <c r="J878" s="4"/>
      <c r="K878" s="4"/>
      <c r="L878" s="4"/>
      <c r="M878" s="4"/>
    </row>
    <row r="879" spans="4:13">
      <c r="D879" s="4"/>
      <c r="G879" s="4"/>
      <c r="H879" s="4"/>
      <c r="I879" s="4"/>
      <c r="J879" s="4"/>
      <c r="K879" s="4"/>
      <c r="L879" s="4"/>
      <c r="M879" s="4"/>
    </row>
    <row r="880" spans="4:13">
      <c r="D880" s="4"/>
      <c r="G880" s="4"/>
      <c r="H880" s="4"/>
      <c r="I880" s="4"/>
      <c r="J880" s="4"/>
      <c r="K880" s="4"/>
      <c r="L880" s="4"/>
      <c r="M880" s="4"/>
    </row>
    <row r="881" spans="4:13">
      <c r="D881" s="4"/>
      <c r="G881" s="4"/>
      <c r="H881" s="4"/>
      <c r="I881" s="4"/>
      <c r="J881" s="4"/>
      <c r="K881" s="4"/>
      <c r="L881" s="4"/>
      <c r="M881" s="4"/>
    </row>
    <row r="882" spans="4:13">
      <c r="D882" s="4"/>
      <c r="G882" s="4"/>
      <c r="H882" s="4"/>
      <c r="I882" s="4"/>
      <c r="J882" s="4"/>
      <c r="K882" s="4"/>
      <c r="L882" s="4"/>
      <c r="M882" s="4"/>
    </row>
    <row r="883" spans="4:13">
      <c r="D883" s="4"/>
      <c r="G883" s="4"/>
      <c r="H883" s="4"/>
      <c r="I883" s="4"/>
      <c r="J883" s="4"/>
      <c r="K883" s="4"/>
      <c r="L883" s="4"/>
      <c r="M883" s="4"/>
    </row>
    <row r="884" spans="4:13">
      <c r="D884" s="4"/>
      <c r="G884" s="4"/>
      <c r="H884" s="4"/>
      <c r="I884" s="4"/>
      <c r="J884" s="4"/>
      <c r="K884" s="4"/>
      <c r="L884" s="4"/>
      <c r="M884" s="4"/>
    </row>
    <row r="885" spans="4:13">
      <c r="D885" s="4"/>
      <c r="G885" s="4"/>
      <c r="H885" s="4"/>
      <c r="I885" s="4"/>
      <c r="J885" s="4"/>
      <c r="K885" s="4"/>
      <c r="L885" s="4"/>
      <c r="M885" s="4"/>
    </row>
    <row r="886" spans="4:13">
      <c r="D886" s="4"/>
      <c r="G886" s="4"/>
      <c r="H886" s="4"/>
      <c r="I886" s="4"/>
      <c r="J886" s="4"/>
      <c r="K886" s="4"/>
      <c r="L886" s="4"/>
      <c r="M886" s="4"/>
    </row>
    <row r="887" spans="4:13">
      <c r="D887" s="4"/>
      <c r="G887" s="4"/>
      <c r="H887" s="4"/>
      <c r="I887" s="4"/>
      <c r="J887" s="4"/>
      <c r="K887" s="4"/>
      <c r="L887" s="4"/>
      <c r="M887" s="4"/>
    </row>
    <row r="888" spans="4:13">
      <c r="D888" s="4"/>
      <c r="G888" s="4"/>
      <c r="H888" s="4"/>
      <c r="I888" s="4"/>
      <c r="J888" s="4"/>
      <c r="K888" s="4"/>
      <c r="L888" s="4"/>
      <c r="M888" s="4"/>
    </row>
    <row r="889" spans="4:13">
      <c r="D889" s="4"/>
      <c r="G889" s="4"/>
      <c r="H889" s="4"/>
      <c r="I889" s="4"/>
      <c r="J889" s="4"/>
      <c r="K889" s="4"/>
      <c r="L889" s="4"/>
      <c r="M889" s="4"/>
    </row>
    <row r="890" spans="4:13">
      <c r="D890" s="4"/>
      <c r="G890" s="4"/>
      <c r="H890" s="4"/>
      <c r="I890" s="4"/>
      <c r="J890" s="4"/>
      <c r="K890" s="4"/>
      <c r="L890" s="4"/>
      <c r="M890" s="4"/>
    </row>
    <row r="891" spans="4:13">
      <c r="D891" s="4"/>
      <c r="G891" s="4"/>
      <c r="H891" s="4"/>
      <c r="I891" s="4"/>
      <c r="J891" s="4"/>
      <c r="K891" s="4"/>
      <c r="L891" s="4"/>
      <c r="M891" s="4"/>
    </row>
    <row r="892" spans="4:13">
      <c r="D892" s="4"/>
      <c r="G892" s="4"/>
      <c r="H892" s="4"/>
      <c r="I892" s="4"/>
      <c r="J892" s="4"/>
      <c r="K892" s="4"/>
      <c r="L892" s="4"/>
      <c r="M892" s="4"/>
    </row>
    <row r="893" spans="4:13">
      <c r="D893" s="4"/>
      <c r="G893" s="4"/>
      <c r="H893" s="4"/>
      <c r="I893" s="4"/>
      <c r="J893" s="4"/>
      <c r="K893" s="4"/>
      <c r="L893" s="4"/>
      <c r="M893" s="4"/>
    </row>
    <row r="894" spans="4:13">
      <c r="D894" s="4"/>
      <c r="G894" s="4"/>
      <c r="H894" s="4"/>
      <c r="I894" s="4"/>
      <c r="J894" s="4"/>
      <c r="K894" s="4"/>
      <c r="L894" s="4"/>
      <c r="M894" s="4"/>
    </row>
    <row r="895" spans="4:13">
      <c r="D895" s="4"/>
      <c r="G895" s="4"/>
      <c r="H895" s="4"/>
      <c r="I895" s="4"/>
      <c r="J895" s="4"/>
      <c r="K895" s="4"/>
      <c r="L895" s="4"/>
      <c r="M895" s="4"/>
    </row>
    <row r="896" spans="4:13">
      <c r="D896" s="4"/>
      <c r="G896" s="4"/>
      <c r="H896" s="4"/>
      <c r="I896" s="4"/>
      <c r="J896" s="4"/>
      <c r="K896" s="4"/>
      <c r="L896" s="4"/>
      <c r="M896" s="4"/>
    </row>
    <row r="897" spans="4:13">
      <c r="D897" s="4"/>
      <c r="G897" s="4"/>
      <c r="H897" s="4"/>
      <c r="I897" s="4"/>
      <c r="J897" s="4"/>
      <c r="K897" s="4"/>
      <c r="L897" s="4"/>
      <c r="M897" s="4"/>
    </row>
    <row r="898" spans="4:13">
      <c r="D898" s="4"/>
      <c r="G898" s="4"/>
      <c r="H898" s="4"/>
      <c r="I898" s="4"/>
      <c r="J898" s="4"/>
      <c r="K898" s="4"/>
      <c r="L898" s="4"/>
      <c r="M898" s="4"/>
    </row>
    <row r="899" spans="4:13">
      <c r="D899" s="4"/>
      <c r="G899" s="4"/>
      <c r="H899" s="4"/>
      <c r="I899" s="4"/>
      <c r="J899" s="4"/>
      <c r="K899" s="4"/>
      <c r="L899" s="4"/>
      <c r="M899" s="4"/>
    </row>
    <row r="900" spans="4:13">
      <c r="D900" s="4"/>
      <c r="G900" s="4"/>
      <c r="H900" s="4"/>
      <c r="I900" s="4"/>
      <c r="J900" s="4"/>
      <c r="K900" s="4"/>
      <c r="L900" s="4"/>
      <c r="M900" s="4"/>
    </row>
    <row r="901" spans="4:13">
      <c r="D901" s="4"/>
      <c r="G901" s="4"/>
      <c r="H901" s="4"/>
      <c r="I901" s="4"/>
      <c r="J901" s="4"/>
      <c r="K901" s="4"/>
      <c r="L901" s="4"/>
      <c r="M901" s="4"/>
    </row>
    <row r="902" spans="4:13">
      <c r="D902" s="4"/>
      <c r="G902" s="4"/>
      <c r="H902" s="4"/>
      <c r="I902" s="4"/>
      <c r="J902" s="4"/>
      <c r="K902" s="4"/>
      <c r="L902" s="4"/>
      <c r="M902" s="4"/>
    </row>
    <row r="903" spans="4:13">
      <c r="D903" s="4"/>
      <c r="G903" s="4"/>
      <c r="H903" s="4"/>
      <c r="I903" s="4"/>
      <c r="J903" s="4"/>
      <c r="K903" s="4"/>
      <c r="L903" s="4"/>
      <c r="M903" s="4"/>
    </row>
    <row r="904" spans="4:13">
      <c r="D904" s="4"/>
      <c r="G904" s="4"/>
      <c r="H904" s="4"/>
      <c r="I904" s="4"/>
      <c r="J904" s="4"/>
      <c r="K904" s="4"/>
      <c r="L904" s="4"/>
      <c r="M904" s="4"/>
    </row>
    <row r="905" spans="4:13">
      <c r="D905" s="4"/>
      <c r="G905" s="4"/>
      <c r="H905" s="4"/>
      <c r="I905" s="4"/>
      <c r="J905" s="4"/>
      <c r="K905" s="4"/>
      <c r="L905" s="4"/>
      <c r="M905" s="4"/>
    </row>
    <row r="906" spans="4:13">
      <c r="D906" s="4"/>
      <c r="G906" s="4"/>
      <c r="H906" s="4"/>
      <c r="I906" s="4"/>
      <c r="J906" s="4"/>
      <c r="K906" s="4"/>
      <c r="L906" s="4"/>
      <c r="M906" s="4"/>
    </row>
    <row r="907" spans="4:13">
      <c r="D907" s="4"/>
      <c r="G907" s="4"/>
      <c r="H907" s="4"/>
      <c r="I907" s="4"/>
      <c r="J907" s="4"/>
      <c r="K907" s="4"/>
      <c r="L907" s="4"/>
      <c r="M907" s="4"/>
    </row>
    <row r="908" spans="4:13">
      <c r="D908" s="4"/>
      <c r="G908" s="4"/>
      <c r="H908" s="4"/>
      <c r="I908" s="4"/>
      <c r="J908" s="4"/>
      <c r="K908" s="4"/>
      <c r="L908" s="4"/>
      <c r="M908" s="4"/>
    </row>
    <row r="909" spans="4:13">
      <c r="D909" s="4"/>
      <c r="G909" s="4"/>
      <c r="H909" s="4"/>
      <c r="I909" s="4"/>
      <c r="J909" s="4"/>
      <c r="K909" s="4"/>
      <c r="L909" s="4"/>
      <c r="M909" s="4"/>
    </row>
    <row r="910" spans="4:13">
      <c r="D910" s="4"/>
      <c r="G910" s="4"/>
      <c r="H910" s="4"/>
      <c r="I910" s="4"/>
      <c r="J910" s="4"/>
      <c r="K910" s="4"/>
      <c r="L910" s="4"/>
      <c r="M910" s="4"/>
    </row>
    <row r="911" spans="4:13">
      <c r="D911" s="4"/>
      <c r="G911" s="4"/>
      <c r="H911" s="4"/>
      <c r="I911" s="4"/>
      <c r="J911" s="4"/>
      <c r="K911" s="4"/>
      <c r="L911" s="4"/>
      <c r="M911" s="4"/>
    </row>
    <row r="912" spans="4:13">
      <c r="D912" s="4"/>
      <c r="G912" s="4"/>
      <c r="H912" s="4"/>
      <c r="I912" s="4"/>
      <c r="J912" s="4"/>
      <c r="K912" s="4"/>
      <c r="L912" s="4"/>
      <c r="M912" s="4"/>
    </row>
    <row r="913" spans="4:13">
      <c r="D913" s="4"/>
      <c r="G913" s="4"/>
      <c r="H913" s="4"/>
      <c r="I913" s="4"/>
      <c r="J913" s="4"/>
      <c r="K913" s="4"/>
      <c r="L913" s="4"/>
      <c r="M913" s="4"/>
    </row>
    <row r="914" spans="4:13">
      <c r="D914" s="4"/>
      <c r="G914" s="4"/>
      <c r="H914" s="4"/>
      <c r="I914" s="4"/>
      <c r="J914" s="4"/>
      <c r="K914" s="4"/>
      <c r="L914" s="4"/>
      <c r="M914" s="4"/>
    </row>
    <row r="915" spans="4:13">
      <c r="D915" s="4"/>
      <c r="G915" s="4"/>
      <c r="H915" s="4"/>
      <c r="I915" s="4"/>
      <c r="J915" s="4"/>
      <c r="K915" s="4"/>
      <c r="L915" s="4"/>
      <c r="M915" s="4"/>
    </row>
    <row r="916" spans="4:13">
      <c r="D916" s="4"/>
      <c r="G916" s="4"/>
      <c r="H916" s="4"/>
      <c r="I916" s="4"/>
      <c r="J916" s="4"/>
      <c r="K916" s="4"/>
      <c r="L916" s="4"/>
      <c r="M916" s="4"/>
    </row>
    <row r="917" spans="4:13">
      <c r="D917" s="4"/>
      <c r="G917" s="4"/>
      <c r="H917" s="4"/>
      <c r="I917" s="4"/>
      <c r="J917" s="4"/>
      <c r="K917" s="4"/>
      <c r="L917" s="4"/>
      <c r="M917" s="4"/>
    </row>
    <row r="918" spans="4:13">
      <c r="D918" s="4"/>
      <c r="G918" s="4"/>
      <c r="H918" s="4"/>
      <c r="I918" s="4"/>
      <c r="J918" s="4"/>
      <c r="K918" s="4"/>
      <c r="L918" s="4"/>
      <c r="M918" s="4"/>
    </row>
    <row r="919" spans="4:13">
      <c r="D919" s="4"/>
      <c r="G919" s="4"/>
      <c r="H919" s="4"/>
      <c r="I919" s="4"/>
      <c r="J919" s="4"/>
      <c r="K919" s="4"/>
      <c r="L919" s="4"/>
      <c r="M919" s="4"/>
    </row>
    <row r="920" spans="4:13">
      <c r="D920" s="4"/>
      <c r="G920" s="4"/>
      <c r="H920" s="4"/>
      <c r="I920" s="4"/>
      <c r="J920" s="4"/>
      <c r="K920" s="4"/>
      <c r="L920" s="4"/>
      <c r="M920" s="4"/>
    </row>
    <row r="921" spans="4:13">
      <c r="D921" s="4"/>
      <c r="G921" s="4"/>
      <c r="H921" s="4"/>
      <c r="I921" s="4"/>
      <c r="J921" s="4"/>
      <c r="K921" s="4"/>
      <c r="L921" s="4"/>
      <c r="M921" s="4"/>
    </row>
    <row r="922" spans="4:13">
      <c r="D922" s="4"/>
      <c r="G922" s="4"/>
      <c r="H922" s="4"/>
      <c r="I922" s="4"/>
      <c r="J922" s="4"/>
      <c r="K922" s="4"/>
      <c r="L922" s="4"/>
      <c r="M922" s="4"/>
    </row>
    <row r="923" spans="4:13">
      <c r="D923" s="4"/>
      <c r="G923" s="4"/>
      <c r="H923" s="4"/>
      <c r="I923" s="4"/>
      <c r="J923" s="4"/>
      <c r="K923" s="4"/>
      <c r="L923" s="4"/>
      <c r="M923" s="4"/>
    </row>
    <row r="924" spans="4:13">
      <c r="D924" s="4"/>
      <c r="G924" s="4"/>
      <c r="H924" s="4"/>
      <c r="I924" s="4"/>
      <c r="J924" s="4"/>
      <c r="K924" s="4"/>
      <c r="L924" s="4"/>
      <c r="M924" s="4"/>
    </row>
    <row r="925" spans="4:13">
      <c r="D925" s="4"/>
      <c r="G925" s="4"/>
      <c r="H925" s="4"/>
      <c r="I925" s="4"/>
      <c r="J925" s="4"/>
      <c r="K925" s="4"/>
      <c r="L925" s="4"/>
      <c r="M925" s="4"/>
    </row>
    <row r="926" spans="4:13">
      <c r="D926" s="4"/>
      <c r="G926" s="4"/>
      <c r="H926" s="4"/>
      <c r="I926" s="4"/>
      <c r="J926" s="4"/>
      <c r="K926" s="4"/>
      <c r="L926" s="4"/>
      <c r="M926" s="4"/>
    </row>
    <row r="927" spans="4:13">
      <c r="D927" s="4"/>
      <c r="G927" s="4"/>
      <c r="H927" s="4"/>
      <c r="I927" s="4"/>
      <c r="J927" s="4"/>
      <c r="K927" s="4"/>
      <c r="L927" s="4"/>
      <c r="M927" s="4"/>
    </row>
    <row r="928" spans="4:13">
      <c r="D928" s="4"/>
      <c r="G928" s="4"/>
      <c r="H928" s="4"/>
      <c r="I928" s="4"/>
      <c r="J928" s="4"/>
      <c r="K928" s="4"/>
      <c r="L928" s="4"/>
      <c r="M928" s="4"/>
    </row>
    <row r="929" spans="4:13">
      <c r="D929" s="4"/>
      <c r="G929" s="4"/>
      <c r="H929" s="4"/>
      <c r="I929" s="4"/>
      <c r="J929" s="4"/>
      <c r="K929" s="4"/>
      <c r="L929" s="4"/>
      <c r="M929" s="4"/>
    </row>
    <row r="930" spans="4:13">
      <c r="D930" s="4"/>
      <c r="G930" s="4"/>
      <c r="H930" s="4"/>
      <c r="I930" s="4"/>
      <c r="J930" s="4"/>
      <c r="K930" s="4"/>
      <c r="L930" s="4"/>
      <c r="M930" s="4"/>
    </row>
    <row r="931" spans="4:13">
      <c r="D931" s="4"/>
      <c r="G931" s="4"/>
      <c r="H931" s="4"/>
      <c r="I931" s="4"/>
      <c r="J931" s="4"/>
      <c r="K931" s="4"/>
      <c r="L931" s="4"/>
      <c r="M931" s="4"/>
    </row>
    <row r="932" spans="4:13">
      <c r="D932" s="4"/>
      <c r="G932" s="4"/>
      <c r="H932" s="4"/>
      <c r="I932" s="4"/>
      <c r="J932" s="4"/>
      <c r="K932" s="4"/>
      <c r="L932" s="4"/>
      <c r="M932" s="4"/>
    </row>
    <row r="933" spans="4:13">
      <c r="D933" s="4"/>
      <c r="G933" s="4"/>
      <c r="H933" s="4"/>
      <c r="I933" s="4"/>
      <c r="J933" s="4"/>
      <c r="K933" s="4"/>
      <c r="L933" s="4"/>
      <c r="M933" s="4"/>
    </row>
    <row r="934" spans="4:13">
      <c r="D934" s="4"/>
      <c r="G934" s="4"/>
      <c r="H934" s="4"/>
      <c r="I934" s="4"/>
      <c r="J934" s="4"/>
      <c r="K934" s="4"/>
      <c r="L934" s="4"/>
      <c r="M934" s="4"/>
    </row>
    <row r="935" spans="4:13">
      <c r="D935" s="4"/>
      <c r="G935" s="4"/>
      <c r="H935" s="4"/>
      <c r="I935" s="4"/>
      <c r="J935" s="4"/>
      <c r="K935" s="4"/>
      <c r="L935" s="4"/>
      <c r="M935" s="4"/>
    </row>
    <row r="936" spans="4:13">
      <c r="D936" s="4"/>
      <c r="G936" s="4"/>
      <c r="H936" s="4"/>
      <c r="I936" s="4"/>
      <c r="J936" s="4"/>
      <c r="K936" s="4"/>
      <c r="L936" s="4"/>
      <c r="M936" s="4"/>
    </row>
    <row r="937" spans="4:13">
      <c r="D937" s="4"/>
      <c r="G937" s="4"/>
      <c r="H937" s="4"/>
      <c r="I937" s="4"/>
      <c r="J937" s="4"/>
      <c r="K937" s="4"/>
      <c r="L937" s="4"/>
      <c r="M937" s="4"/>
    </row>
    <row r="938" spans="4:13">
      <c r="D938" s="4"/>
      <c r="G938" s="4"/>
      <c r="H938" s="4"/>
      <c r="I938" s="4"/>
      <c r="J938" s="4"/>
      <c r="K938" s="4"/>
      <c r="L938" s="4"/>
      <c r="M938" s="4"/>
    </row>
    <row r="939" spans="4:13">
      <c r="D939" s="4"/>
      <c r="G939" s="4"/>
      <c r="H939" s="4"/>
      <c r="I939" s="4"/>
      <c r="J939" s="4"/>
      <c r="K939" s="4"/>
      <c r="L939" s="4"/>
      <c r="M939" s="4"/>
    </row>
    <row r="940" spans="4:13">
      <c r="D940" s="4"/>
      <c r="G940" s="4"/>
      <c r="H940" s="4"/>
      <c r="I940" s="4"/>
      <c r="J940" s="4"/>
      <c r="K940" s="4"/>
      <c r="L940" s="4"/>
      <c r="M940" s="4"/>
    </row>
    <row r="941" spans="4:13">
      <c r="D941" s="4"/>
      <c r="G941" s="4"/>
      <c r="H941" s="4"/>
      <c r="I941" s="4"/>
      <c r="J941" s="4"/>
      <c r="K941" s="4"/>
      <c r="L941" s="4"/>
      <c r="M941" s="4"/>
    </row>
    <row r="942" spans="4:13">
      <c r="D942" s="4"/>
      <c r="G942" s="4"/>
      <c r="H942" s="4"/>
      <c r="I942" s="4"/>
      <c r="J942" s="4"/>
      <c r="K942" s="4"/>
      <c r="L942" s="4"/>
      <c r="M942" s="4"/>
    </row>
    <row r="943" spans="4:13">
      <c r="D943" s="4"/>
      <c r="G943" s="4"/>
      <c r="H943" s="4"/>
      <c r="I943" s="4"/>
      <c r="J943" s="4"/>
      <c r="K943" s="4"/>
      <c r="L943" s="4"/>
      <c r="M943" s="4"/>
    </row>
    <row r="944" spans="4:13">
      <c r="D944" s="4"/>
      <c r="G944" s="4"/>
      <c r="H944" s="4"/>
      <c r="I944" s="4"/>
      <c r="J944" s="4"/>
      <c r="K944" s="4"/>
      <c r="L944" s="4"/>
      <c r="M944" s="4"/>
    </row>
    <row r="945" spans="4:13">
      <c r="D945" s="4"/>
      <c r="G945" s="4"/>
      <c r="H945" s="4"/>
      <c r="I945" s="4"/>
      <c r="J945" s="4"/>
      <c r="K945" s="4"/>
      <c r="L945" s="4"/>
      <c r="M945" s="4"/>
    </row>
    <row r="946" spans="4:13">
      <c r="D946" s="4"/>
      <c r="G946" s="4"/>
      <c r="H946" s="4"/>
      <c r="I946" s="4"/>
      <c r="J946" s="4"/>
      <c r="K946" s="4"/>
      <c r="L946" s="4"/>
      <c r="M946" s="4"/>
    </row>
    <row r="947" spans="4:13">
      <c r="D947" s="4"/>
      <c r="G947" s="4"/>
      <c r="H947" s="4"/>
      <c r="I947" s="4"/>
      <c r="J947" s="4"/>
      <c r="K947" s="4"/>
      <c r="L947" s="4"/>
      <c r="M947" s="4"/>
    </row>
    <row r="948" spans="4:13">
      <c r="D948" s="4"/>
      <c r="G948" s="4"/>
      <c r="H948" s="4"/>
      <c r="I948" s="4"/>
      <c r="J948" s="4"/>
      <c r="K948" s="4"/>
      <c r="L948" s="4"/>
      <c r="M948" s="4"/>
    </row>
    <row r="949" spans="4:13">
      <c r="D949" s="4"/>
      <c r="G949" s="4"/>
      <c r="H949" s="4"/>
      <c r="I949" s="4"/>
      <c r="J949" s="4"/>
      <c r="K949" s="4"/>
      <c r="L949" s="4"/>
      <c r="M949" s="4"/>
    </row>
    <row r="950" spans="4:13">
      <c r="D950" s="4"/>
      <c r="G950" s="4"/>
      <c r="H950" s="4"/>
      <c r="I950" s="4"/>
      <c r="J950" s="4"/>
      <c r="K950" s="4"/>
      <c r="L950" s="4"/>
      <c r="M950" s="4"/>
    </row>
    <row r="951" spans="4:13">
      <c r="D951" s="4"/>
      <c r="G951" s="4"/>
      <c r="H951" s="4"/>
      <c r="I951" s="4"/>
      <c r="J951" s="4"/>
      <c r="K951" s="4"/>
      <c r="L951" s="4"/>
      <c r="M951" s="4"/>
    </row>
    <row r="952" spans="4:13">
      <c r="D952" s="4"/>
      <c r="G952" s="4"/>
      <c r="H952" s="4"/>
      <c r="I952" s="4"/>
      <c r="J952" s="4"/>
      <c r="K952" s="4"/>
      <c r="L952" s="4"/>
      <c r="M952" s="4"/>
    </row>
    <row r="953" spans="4:13">
      <c r="D953" s="4"/>
      <c r="G953" s="4"/>
      <c r="H953" s="4"/>
      <c r="I953" s="4"/>
      <c r="J953" s="4"/>
      <c r="K953" s="4"/>
      <c r="L953" s="4"/>
      <c r="M953" s="4"/>
    </row>
    <row r="954" spans="4:13">
      <c r="D954" s="4"/>
      <c r="G954" s="4"/>
      <c r="H954" s="4"/>
      <c r="I954" s="4"/>
      <c r="J954" s="4"/>
      <c r="K954" s="4"/>
      <c r="L954" s="4"/>
      <c r="M954" s="4"/>
    </row>
    <row r="955" spans="4:13">
      <c r="D955" s="4"/>
      <c r="G955" s="4"/>
      <c r="H955" s="4"/>
      <c r="I955" s="4"/>
      <c r="J955" s="4"/>
      <c r="K955" s="4"/>
      <c r="L955" s="4"/>
      <c r="M955" s="4"/>
    </row>
    <row r="956" spans="4:13">
      <c r="D956" s="4"/>
      <c r="G956" s="4"/>
      <c r="H956" s="4"/>
      <c r="I956" s="4"/>
      <c r="J956" s="4"/>
      <c r="K956" s="4"/>
      <c r="L956" s="4"/>
      <c r="M956" s="4"/>
    </row>
    <row r="957" spans="4:13">
      <c r="D957" s="4"/>
      <c r="G957" s="4"/>
      <c r="H957" s="4"/>
      <c r="I957" s="4"/>
      <c r="J957" s="4"/>
      <c r="K957" s="4"/>
      <c r="L957" s="4"/>
      <c r="M957" s="4"/>
    </row>
    <row r="958" spans="4:13">
      <c r="D958" s="4"/>
      <c r="G958" s="4"/>
      <c r="H958" s="4"/>
      <c r="I958" s="4"/>
      <c r="J958" s="4"/>
      <c r="K958" s="4"/>
      <c r="L958" s="4"/>
      <c r="M958" s="4"/>
    </row>
    <row r="959" spans="4:13">
      <c r="D959" s="4"/>
      <c r="G959" s="4"/>
      <c r="H959" s="4"/>
      <c r="I959" s="4"/>
      <c r="J959" s="4"/>
      <c r="K959" s="4"/>
      <c r="L959" s="4"/>
      <c r="M959" s="4"/>
    </row>
    <row r="960" spans="4:13">
      <c r="D960" s="4"/>
      <c r="G960" s="4"/>
      <c r="H960" s="4"/>
      <c r="I960" s="4"/>
      <c r="J960" s="4"/>
      <c r="K960" s="4"/>
      <c r="L960" s="4"/>
      <c r="M960" s="4"/>
    </row>
    <row r="961" spans="4:13">
      <c r="D961" s="4"/>
      <c r="G961" s="4"/>
      <c r="H961" s="4"/>
      <c r="I961" s="4"/>
      <c r="J961" s="4"/>
      <c r="K961" s="4"/>
      <c r="L961" s="4"/>
      <c r="M961" s="4"/>
    </row>
    <row r="962" spans="4:13">
      <c r="D962" s="4"/>
      <c r="G962" s="4"/>
      <c r="H962" s="4"/>
      <c r="I962" s="4"/>
      <c r="J962" s="4"/>
      <c r="K962" s="4"/>
      <c r="L962" s="4"/>
      <c r="M962" s="4"/>
    </row>
    <row r="963" spans="4:13">
      <c r="D963" s="4"/>
      <c r="G963" s="4"/>
      <c r="H963" s="4"/>
      <c r="I963" s="4"/>
      <c r="J963" s="4"/>
      <c r="K963" s="4"/>
      <c r="L963" s="4"/>
      <c r="M963" s="4"/>
    </row>
    <row r="964" spans="4:13">
      <c r="D964" s="4"/>
      <c r="G964" s="4"/>
      <c r="H964" s="4"/>
      <c r="I964" s="4"/>
      <c r="J964" s="4"/>
      <c r="K964" s="4"/>
      <c r="L964" s="4"/>
      <c r="M964" s="4"/>
    </row>
    <row r="965" spans="4:13">
      <c r="D965" s="4"/>
      <c r="G965" s="4"/>
      <c r="H965" s="4"/>
      <c r="I965" s="4"/>
      <c r="J965" s="4"/>
      <c r="K965" s="4"/>
      <c r="L965" s="4"/>
      <c r="M965" s="4"/>
    </row>
    <row r="966" spans="4:13">
      <c r="D966" s="4"/>
      <c r="G966" s="4"/>
      <c r="H966" s="4"/>
      <c r="I966" s="4"/>
      <c r="J966" s="4"/>
      <c r="K966" s="4"/>
      <c r="L966" s="4"/>
      <c r="M966" s="4"/>
    </row>
    <row r="967" spans="4:13">
      <c r="D967" s="4"/>
      <c r="G967" s="4"/>
      <c r="H967" s="4"/>
      <c r="I967" s="4"/>
      <c r="J967" s="4"/>
      <c r="K967" s="4"/>
      <c r="L967" s="4"/>
      <c r="M967" s="4"/>
    </row>
    <row r="968" spans="4:13">
      <c r="D968" s="4"/>
      <c r="G968" s="4"/>
      <c r="H968" s="4"/>
      <c r="I968" s="4"/>
      <c r="J968" s="4"/>
      <c r="K968" s="4"/>
      <c r="L968" s="4"/>
      <c r="M968" s="4"/>
    </row>
    <row r="969" spans="4:13">
      <c r="D969" s="4"/>
      <c r="G969" s="4"/>
      <c r="H969" s="4"/>
      <c r="I969" s="4"/>
      <c r="J969" s="4"/>
      <c r="K969" s="4"/>
      <c r="L969" s="4"/>
      <c r="M969" s="4"/>
    </row>
    <row r="970" spans="4:13">
      <c r="D970" s="4"/>
      <c r="G970" s="4"/>
      <c r="H970" s="4"/>
      <c r="I970" s="4"/>
      <c r="J970" s="4"/>
      <c r="K970" s="4"/>
      <c r="L970" s="4"/>
      <c r="M970" s="4"/>
    </row>
    <row r="971" spans="4:13">
      <c r="D971" s="4"/>
      <c r="G971" s="4"/>
      <c r="H971" s="4"/>
      <c r="I971" s="4"/>
      <c r="J971" s="4"/>
      <c r="K971" s="4"/>
      <c r="L971" s="4"/>
      <c r="M971" s="4"/>
    </row>
    <row r="972" spans="4:13">
      <c r="D972" s="4"/>
      <c r="G972" s="4"/>
      <c r="H972" s="4"/>
      <c r="I972" s="4"/>
      <c r="J972" s="4"/>
      <c r="K972" s="4"/>
      <c r="L972" s="4"/>
      <c r="M972" s="4"/>
    </row>
    <row r="973" spans="4:13">
      <c r="D973" s="4"/>
      <c r="G973" s="4"/>
      <c r="H973" s="4"/>
      <c r="I973" s="4"/>
      <c r="J973" s="4"/>
      <c r="K973" s="4"/>
      <c r="L973" s="4"/>
      <c r="M973" s="4"/>
    </row>
    <row r="974" spans="4:13">
      <c r="D974" s="4"/>
      <c r="G974" s="4"/>
      <c r="H974" s="4"/>
      <c r="I974" s="4"/>
      <c r="J974" s="4"/>
      <c r="K974" s="4"/>
      <c r="L974" s="4"/>
      <c r="M974" s="4"/>
    </row>
    <row r="975" spans="4:13">
      <c r="D975" s="4"/>
      <c r="G975" s="4"/>
      <c r="H975" s="4"/>
      <c r="I975" s="4"/>
      <c r="J975" s="4"/>
      <c r="K975" s="4"/>
      <c r="L975" s="4"/>
      <c r="M975" s="4"/>
    </row>
    <row r="976" spans="4:13">
      <c r="D976" s="4"/>
      <c r="G976" s="4"/>
      <c r="H976" s="4"/>
      <c r="I976" s="4"/>
      <c r="J976" s="4"/>
      <c r="K976" s="4"/>
      <c r="L976" s="4"/>
      <c r="M976" s="4"/>
    </row>
    <row r="977" spans="4:13">
      <c r="D977" s="4"/>
      <c r="G977" s="4"/>
      <c r="H977" s="4"/>
      <c r="I977" s="4"/>
      <c r="J977" s="4"/>
      <c r="K977" s="4"/>
      <c r="L977" s="4"/>
      <c r="M977" s="4"/>
    </row>
    <row r="978" spans="4:13">
      <c r="D978" s="4"/>
      <c r="G978" s="4"/>
      <c r="H978" s="4"/>
      <c r="I978" s="4"/>
      <c r="J978" s="4"/>
      <c r="K978" s="4"/>
      <c r="L978" s="4"/>
      <c r="M978" s="4"/>
    </row>
    <row r="979" spans="4:13">
      <c r="D979" s="4"/>
      <c r="G979" s="4"/>
      <c r="H979" s="4"/>
      <c r="I979" s="4"/>
      <c r="J979" s="4"/>
      <c r="K979" s="4"/>
      <c r="L979" s="4"/>
      <c r="M979" s="4"/>
    </row>
    <row r="980" spans="4:13">
      <c r="D980" s="4"/>
      <c r="G980" s="4"/>
      <c r="H980" s="4"/>
      <c r="I980" s="4"/>
      <c r="J980" s="4"/>
      <c r="K980" s="4"/>
      <c r="L980" s="4"/>
      <c r="M980" s="4"/>
    </row>
    <row r="981" spans="4:13">
      <c r="D981" s="4"/>
      <c r="G981" s="4"/>
      <c r="H981" s="4"/>
      <c r="I981" s="4"/>
      <c r="J981" s="4"/>
      <c r="K981" s="4"/>
      <c r="L981" s="4"/>
      <c r="M981" s="4"/>
    </row>
    <row r="982" spans="4:13">
      <c r="D982" s="4"/>
      <c r="G982" s="4"/>
      <c r="H982" s="4"/>
      <c r="I982" s="4"/>
      <c r="J982" s="4"/>
      <c r="K982" s="4"/>
      <c r="L982" s="4"/>
      <c r="M982" s="4"/>
    </row>
    <row r="983" spans="4:13">
      <c r="D983" s="4"/>
      <c r="G983" s="4"/>
      <c r="H983" s="4"/>
      <c r="I983" s="4"/>
      <c r="J983" s="4"/>
      <c r="K983" s="4"/>
      <c r="L983" s="4"/>
      <c r="M983" s="4"/>
    </row>
    <row r="984" spans="4:13">
      <c r="D984" s="4"/>
      <c r="G984" s="4"/>
      <c r="H984" s="4"/>
      <c r="I984" s="4"/>
      <c r="J984" s="4"/>
      <c r="K984" s="4"/>
      <c r="L984" s="4"/>
      <c r="M984" s="4"/>
    </row>
    <row r="985" spans="4:13">
      <c r="D985" s="4"/>
      <c r="G985" s="4"/>
      <c r="H985" s="4"/>
      <c r="I985" s="4"/>
      <c r="J985" s="4"/>
      <c r="K985" s="4"/>
      <c r="L985" s="4"/>
      <c r="M985" s="4"/>
    </row>
    <row r="986" spans="4:13">
      <c r="D986" s="4"/>
      <c r="G986" s="4"/>
      <c r="H986" s="4"/>
      <c r="I986" s="4"/>
      <c r="J986" s="4"/>
      <c r="K986" s="4"/>
      <c r="L986" s="4"/>
      <c r="M986" s="4"/>
    </row>
    <row r="987" spans="4:13">
      <c r="D987" s="4"/>
      <c r="G987" s="4"/>
      <c r="H987" s="4"/>
      <c r="I987" s="4"/>
      <c r="J987" s="4"/>
      <c r="K987" s="4"/>
      <c r="L987" s="4"/>
      <c r="M987" s="4"/>
    </row>
    <row r="988" spans="4:13">
      <c r="D988" s="4"/>
      <c r="G988" s="4"/>
      <c r="H988" s="4"/>
      <c r="I988" s="4"/>
      <c r="J988" s="4"/>
      <c r="K988" s="4"/>
      <c r="L988" s="4"/>
      <c r="M988" s="4"/>
    </row>
    <row r="989" spans="4:13">
      <c r="D989" s="4"/>
      <c r="G989" s="4"/>
      <c r="H989" s="4"/>
      <c r="I989" s="4"/>
      <c r="J989" s="4"/>
      <c r="K989" s="4"/>
      <c r="L989" s="4"/>
      <c r="M989" s="4"/>
    </row>
    <row r="990" spans="4:13">
      <c r="D990" s="4"/>
      <c r="G990" s="4"/>
      <c r="H990" s="4"/>
      <c r="I990" s="4"/>
      <c r="J990" s="4"/>
      <c r="K990" s="4"/>
      <c r="L990" s="4"/>
      <c r="M990" s="4"/>
    </row>
    <row r="991" spans="4:13">
      <c r="D991" s="4"/>
      <c r="G991" s="4"/>
      <c r="H991" s="4"/>
      <c r="I991" s="4"/>
      <c r="J991" s="4"/>
      <c r="K991" s="4"/>
      <c r="L991" s="4"/>
      <c r="M991" s="4"/>
    </row>
    <row r="992" spans="4:13">
      <c r="D992" s="4"/>
      <c r="G992" s="4"/>
      <c r="H992" s="4"/>
      <c r="I992" s="4"/>
      <c r="J992" s="4"/>
      <c r="K992" s="4"/>
      <c r="L992" s="4"/>
      <c r="M992" s="4"/>
    </row>
    <row r="993" spans="4:13">
      <c r="D993" s="4"/>
      <c r="G993" s="4"/>
      <c r="H993" s="4"/>
      <c r="I993" s="4"/>
      <c r="J993" s="4"/>
      <c r="K993" s="4"/>
      <c r="L993" s="4"/>
      <c r="M993" s="4"/>
    </row>
    <row r="994" spans="4:13">
      <c r="D994" s="4"/>
      <c r="G994" s="4"/>
      <c r="H994" s="4"/>
      <c r="I994" s="4"/>
      <c r="J994" s="4"/>
      <c r="K994" s="4"/>
      <c r="L994" s="4"/>
      <c r="M994" s="4"/>
    </row>
    <row r="995" spans="4:13">
      <c r="D995" s="4"/>
      <c r="G995" s="4"/>
      <c r="H995" s="4"/>
      <c r="I995" s="4"/>
      <c r="J995" s="4"/>
      <c r="K995" s="4"/>
      <c r="L995" s="4"/>
      <c r="M995" s="4"/>
    </row>
    <row r="996" spans="4:13">
      <c r="D996" s="4"/>
      <c r="G996" s="4"/>
      <c r="H996" s="4"/>
      <c r="I996" s="4"/>
      <c r="J996" s="4"/>
      <c r="K996" s="4"/>
      <c r="L996" s="4"/>
      <c r="M996" s="4"/>
    </row>
    <row r="997" spans="4:13">
      <c r="D997" s="4"/>
      <c r="G997" s="4"/>
      <c r="H997" s="4"/>
      <c r="I997" s="4"/>
      <c r="J997" s="4"/>
      <c r="K997" s="4"/>
      <c r="L997" s="4"/>
      <c r="M997" s="4"/>
    </row>
    <row r="998" spans="4:13">
      <c r="D998" s="4"/>
      <c r="G998" s="4"/>
      <c r="H998" s="4"/>
      <c r="I998" s="4"/>
      <c r="J998" s="4"/>
      <c r="K998" s="4"/>
      <c r="L998" s="4"/>
      <c r="M998" s="4"/>
    </row>
    <row r="999" spans="4:13">
      <c r="D999" s="4"/>
      <c r="G999" s="4"/>
      <c r="H999" s="4"/>
      <c r="I999" s="4"/>
      <c r="J999" s="4"/>
      <c r="K999" s="4"/>
      <c r="L999" s="4"/>
      <c r="M999" s="4"/>
    </row>
    <row r="1000" spans="4:13">
      <c r="D1000" s="4"/>
      <c r="G1000" s="4"/>
      <c r="H1000" s="4"/>
      <c r="I1000" s="4"/>
      <c r="J1000" s="4"/>
      <c r="K1000" s="4"/>
      <c r="L1000" s="4"/>
      <c r="M1000" s="4"/>
    </row>
    <row r="1001" spans="4:13">
      <c r="D1001" s="4"/>
      <c r="G1001" s="4"/>
      <c r="H1001" s="4"/>
      <c r="I1001" s="4"/>
      <c r="J1001" s="4"/>
      <c r="K1001" s="4"/>
      <c r="L1001" s="4"/>
      <c r="M1001" s="4"/>
    </row>
    <row r="1002" spans="4:13">
      <c r="D1002" s="4"/>
      <c r="G1002" s="4"/>
      <c r="H1002" s="4"/>
      <c r="I1002" s="4"/>
      <c r="J1002" s="4"/>
      <c r="K1002" s="4"/>
      <c r="L1002" s="4"/>
      <c r="M1002" s="4"/>
    </row>
    <row r="1003" spans="4:13">
      <c r="D1003" s="4"/>
      <c r="G1003" s="4"/>
      <c r="H1003" s="4"/>
      <c r="I1003" s="4"/>
      <c r="J1003" s="4"/>
      <c r="K1003" s="4"/>
      <c r="L1003" s="4"/>
      <c r="M100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7" customWidth="1"/>
    <col min="2" max="2" width="37.5703125" customWidth="1"/>
    <col min="3" max="3" width="12.28515625" customWidth="1"/>
    <col min="4" max="4" width="14" customWidth="1"/>
    <col min="5" max="5" width="13.42578125" customWidth="1"/>
    <col min="6" max="6" width="22.7109375" customWidth="1"/>
  </cols>
  <sheetData>
    <row r="1" spans="1:8" ht="22.5" customHeight="1">
      <c r="A1" s="21" t="s">
        <v>441</v>
      </c>
      <c r="B1" s="21" t="s">
        <v>1664</v>
      </c>
      <c r="C1" s="21" t="s">
        <v>1665</v>
      </c>
      <c r="D1" s="21" t="s">
        <v>1666</v>
      </c>
      <c r="E1" s="22" t="s">
        <v>446</v>
      </c>
      <c r="F1" s="21" t="s">
        <v>447</v>
      </c>
    </row>
    <row r="2" spans="1:8" ht="22.5" customHeight="1">
      <c r="A2" s="23">
        <f ca="1">IFERROR(__xludf.DUMMYFUNCTION("FILTER(Ventas!A:A,Ventas!M:M=""Pendiente"")"),683)</f>
        <v>683</v>
      </c>
      <c r="B2" s="23" t="str">
        <f ca="1">IFERROR(__xludf.DUMMYFUNCTION("FILTER(Ventas!B:B,Ventas!M:M=""Pendiente"")"),"Repuestos Charade")</f>
        <v>Repuestos Charade</v>
      </c>
      <c r="C2" s="23" t="str">
        <f ca="1">IFERROR(VLOOKUP(A2,Ventas!A:D,4,0),"")</f>
        <v>Boleta</v>
      </c>
      <c r="D2" s="23">
        <f ca="1">IFERROR(VLOOKUP(A2,Ventas!A:E,5,0),"")</f>
        <v>91381</v>
      </c>
      <c r="E2" s="24">
        <f t="array" aca="1" ref="E2" ca="1">IFERROR(INDEX(Ventas!E:J,MATCH(C2&amp;D2,Ventas!D:D&amp;Ventas!E:E,0),11),0)</f>
        <v>0</v>
      </c>
      <c r="F2" s="23" t="str">
        <f t="array" aca="1" ref="F2" ca="1">IFERROR(INDEX(Ventas!E:J,MATCH(C2&amp;D2,Ventas!D:D&amp;Ventas!E:E,0),12),"")</f>
        <v/>
      </c>
      <c r="H2" s="25" t="s">
        <v>1667</v>
      </c>
    </row>
    <row r="3" spans="1:8" ht="22.5" customHeight="1">
      <c r="A3" s="23">
        <f ca="1">IFERROR(__xludf.DUMMYFUNCTION("""COMPUTED_VALUE"""),1001)</f>
        <v>1001</v>
      </c>
      <c r="B3" s="23" t="str">
        <f ca="1">IFERROR(__xludf.DUMMYFUNCTION("""COMPUTED_VALUE"""),"Termostato Chery Tiggo 1.6 2009")</f>
        <v>Termostato Chery Tiggo 1.6 2009</v>
      </c>
      <c r="C3" s="23" t="str">
        <f ca="1">IFERROR(VLOOKUP(A3,Ventas!A:D,4,0),"")</f>
        <v>Factura</v>
      </c>
      <c r="D3" s="23">
        <f ca="1">IFERROR(VLOOKUP(A3,Ventas!A:E,5,0),"")</f>
        <v>25</v>
      </c>
      <c r="E3" s="24">
        <f t="array" aca="1" ref="E3" ca="1">IFERROR(INDEX(Ventas!E:J,MATCH(C3&amp;D3,Ventas!D:D&amp;Ventas!E:E,0),11),0)</f>
        <v>0</v>
      </c>
      <c r="F3" s="23" t="str">
        <f t="array" aca="1" ref="F3" ca="1">IFERROR(INDEX(Ventas!E:J,MATCH(C3&amp;D3,Ventas!D:D&amp;Ventas!E:E,0),12),"")</f>
        <v/>
      </c>
      <c r="H3" s="26">
        <f ca="1">SUM(E:E)</f>
        <v>0</v>
      </c>
    </row>
    <row r="4" spans="1:8" ht="22.5" customHeight="1">
      <c r="A4" s="23">
        <f ca="1">IFERROR(__xludf.DUMMYFUNCTION("""COMPUTED_VALUE"""),1015)</f>
        <v>1015</v>
      </c>
      <c r="B4" s="23" t="str">
        <f ca="1">IFERROR(__xludf.DUMMYFUNCTION("""COMPUTED_VALUE"""),"Ventilador Bora")</f>
        <v>Ventilador Bora</v>
      </c>
      <c r="C4" s="23" t="str">
        <f ca="1">IFERROR(VLOOKUP(A4,Ventas!A:D,4,0),"")</f>
        <v>Factura</v>
      </c>
      <c r="D4" s="23">
        <f ca="1">IFERROR(VLOOKUP(A4,Ventas!A:E,5,0),"")</f>
        <v>29</v>
      </c>
      <c r="E4" s="24">
        <f t="array" aca="1" ref="E4" ca="1">IFERROR(INDEX(Ventas!E:J,MATCH(C4&amp;D4,Ventas!D:D&amp;Ventas!E:E,0),11),0)</f>
        <v>0</v>
      </c>
      <c r="F4" s="23" t="str">
        <f t="array" aca="1" ref="F4" ca="1">IFERROR(INDEX(Ventas!E:J,MATCH(C4&amp;D4,Ventas!D:D&amp;Ventas!E:E,0),12),"")</f>
        <v/>
      </c>
    </row>
    <row r="5" spans="1:8" ht="22.5" customHeight="1">
      <c r="A5" s="23">
        <f ca="1">IFERROR(__xludf.DUMMYFUNCTION("""COMPUTED_VALUE"""),1044)</f>
        <v>1044</v>
      </c>
      <c r="B5" s="23" t="str">
        <f ca="1">IFERROR(__xludf.DUMMYFUNCTION("""COMPUTED_VALUE"""),"UK-8650 filtro aire Honda CRV")</f>
        <v>UK-8650 filtro aire Honda CRV</v>
      </c>
      <c r="C5" s="23" t="str">
        <f ca="1">IFERROR(VLOOKUP(A5,Ventas!A:D,4,0),"")</f>
        <v>Boleta</v>
      </c>
      <c r="D5" s="23">
        <f ca="1">IFERROR(VLOOKUP(A5,Ventas!A:E,5,0),"")</f>
        <v>91712</v>
      </c>
      <c r="E5" s="24">
        <f t="array" aca="1" ref="E5" ca="1">IFERROR(INDEX(Ventas!E:J,MATCH(C5&amp;D5,Ventas!D:D&amp;Ventas!E:E,0),11),0)</f>
        <v>0</v>
      </c>
      <c r="F5" s="23" t="str">
        <f t="array" aca="1" ref="F5" ca="1">IFERROR(INDEX(Ventas!E:J,MATCH(C5&amp;D5,Ventas!D:D&amp;Ventas!E:E,0),12),"")</f>
        <v/>
      </c>
    </row>
    <row r="6" spans="1:8" ht="22.5" customHeight="1">
      <c r="A6" s="23">
        <f ca="1">IFERROR(__xludf.DUMMYFUNCTION("""COMPUTED_VALUE"""),1066)</f>
        <v>1066</v>
      </c>
      <c r="B6" s="23" t="str">
        <f ca="1">IFERROR(__xludf.DUMMYFUNCTION("""COMPUTED_VALUE"""),"CU2358 Filtec")</f>
        <v>CU2358 Filtec</v>
      </c>
      <c r="C6" s="23" t="str">
        <f ca="1">IFERROR(VLOOKUP(A6,Ventas!A:D,4,0),"")</f>
        <v>Boleta</v>
      </c>
      <c r="D6" s="23">
        <f ca="1">IFERROR(VLOOKUP(A6,Ventas!A:E,5,0),"")</f>
        <v>0</v>
      </c>
      <c r="E6" s="24">
        <f t="array" aca="1" ref="E6" ca="1">IFERROR(INDEX(Ventas!E:J,MATCH(C6&amp;D6,Ventas!D:D&amp;Ventas!E:E,0),11),0)</f>
        <v>0</v>
      </c>
      <c r="F6" s="23" t="str">
        <f t="array" aca="1" ref="F6" ca="1">IFERROR(INDEX(Ventas!E:J,MATCH(C6&amp;D6,Ventas!D:D&amp;Ventas!E:E,0),12),"")</f>
        <v/>
      </c>
    </row>
    <row r="7" spans="1:8" ht="22.5" customHeight="1">
      <c r="A7" s="23">
        <f ca="1">IFERROR(__xludf.DUMMYFUNCTION("""COMPUTED_VALUE"""),1076)</f>
        <v>1076</v>
      </c>
      <c r="B7" s="23" t="str">
        <f ca="1">IFERROR(__xludf.DUMMYFUNCTION("""COMPUTED_VALUE"""),"Mannol 5w30 7L, w927/8, c24011, pu835x, motor flush mannol, ceramo, aguacol -3")</f>
        <v>Mannol 5w30 7L, w927/8, c24011, pu835x, motor flush mannol, ceramo, aguacol -3</v>
      </c>
      <c r="C7" s="23" t="str">
        <f ca="1">IFERROR(VLOOKUP(A7,Ventas!A:D,4,0),"")</f>
        <v>Boleta</v>
      </c>
      <c r="D7" s="23">
        <f ca="1">IFERROR(VLOOKUP(A7,Ventas!A:E,5,0),"")</f>
        <v>91741</v>
      </c>
      <c r="E7" s="24">
        <f t="array" aca="1" ref="E7" ca="1">IFERROR(INDEX(Ventas!E:J,MATCH(C7&amp;D7,Ventas!D:D&amp;Ventas!E:E,0),11),0)</f>
        <v>0</v>
      </c>
      <c r="F7" s="23" t="str">
        <f t="array" aca="1" ref="F7" ca="1">IFERROR(INDEX(Ventas!E:J,MATCH(C7&amp;D7,Ventas!D:D&amp;Ventas!E:E,0),12),"")</f>
        <v/>
      </c>
    </row>
    <row r="8" spans="1:8" ht="22.5" customHeight="1">
      <c r="A8" s="23">
        <f ca="1">IFERROR(__xludf.DUMMYFUNCTION("""COMPUTED_VALUE"""),1106)</f>
        <v>1106</v>
      </c>
      <c r="B8" s="23" t="str">
        <f ca="1">IFERROR(__xludf.DUMMYFUNCTION("""COMPUTED_VALUE"""),"Mannol 10w40 4L, w818/8, c26026, cu2336, led h7 y 9006")</f>
        <v>Mannol 10w40 4L, w818/8, c26026, cu2336, led h7 y 9006</v>
      </c>
      <c r="C8" s="23" t="str">
        <f ca="1">IFERROR(VLOOKUP(A8,Ventas!A:D,4,0),"")</f>
        <v>Boleta</v>
      </c>
      <c r="D8" s="23">
        <f ca="1">IFERROR(VLOOKUP(A8,Ventas!A:E,5,0),"")</f>
        <v>91770</v>
      </c>
      <c r="E8" s="24">
        <f t="array" aca="1" ref="E8" ca="1">IFERROR(INDEX(Ventas!E:J,MATCH(C8&amp;D8,Ventas!D:D&amp;Ventas!E:E,0),11),0)</f>
        <v>0</v>
      </c>
      <c r="F8" s="23" t="str">
        <f t="array" aca="1" ref="F8" ca="1">IFERROR(INDEX(Ventas!E:J,MATCH(C8&amp;D8,Ventas!D:D&amp;Ventas!E:E,0),12),"")</f>
        <v/>
      </c>
    </row>
    <row r="9" spans="1:8" ht="22.5" customHeight="1">
      <c r="A9" s="23">
        <f ca="1">IFERROR(__xludf.DUMMYFUNCTION("""COMPUTED_VALUE"""),1130)</f>
        <v>1130</v>
      </c>
      <c r="B9" s="23" t="str">
        <f ca="1">IFERROR(__xludf.DUMMYFUNCTION("""COMPUTED_VALUE"""),"Kit embrague y Bujías Bora")</f>
        <v>Kit embrague y Bujías Bora</v>
      </c>
      <c r="C9" s="23" t="str">
        <f ca="1">IFERROR(VLOOKUP(A9,Ventas!A:D,4,0),"")</f>
        <v>Factura</v>
      </c>
      <c r="D9" s="23">
        <f ca="1">IFERROR(VLOOKUP(A9,Ventas!A:E,5,0),"")</f>
        <v>37</v>
      </c>
      <c r="E9" s="24">
        <f t="array" aca="1" ref="E9" ca="1">IFERROR(INDEX(Ventas!E:J,MATCH(C9&amp;D9,Ventas!D:D&amp;Ventas!E:E,0),11),0)</f>
        <v>0</v>
      </c>
      <c r="F9" s="23" t="str">
        <f t="array" aca="1" ref="F9" ca="1">IFERROR(INDEX(Ventas!E:J,MATCH(C9&amp;D9,Ventas!D:D&amp;Ventas!E:E,0),12),"")</f>
        <v/>
      </c>
    </row>
    <row r="10" spans="1:8" ht="22.5" customHeight="1">
      <c r="A10" s="23">
        <f ca="1">IFERROR(__xludf.DUMMYFUNCTION("""COMPUTED_VALUE"""),1134)</f>
        <v>1134</v>
      </c>
      <c r="B10" s="23" t="str">
        <f ca="1">IFERROR(__xludf.DUMMYFUNCTION("""COMPUTED_VALUE"""),"Tapa distribuidor chevy 500")</f>
        <v>Tapa distribuidor chevy 500</v>
      </c>
      <c r="C10" s="23" t="str">
        <f ca="1">IFERROR(VLOOKUP(A10,Ventas!A:D,4,0),"")</f>
        <v>Boleta</v>
      </c>
      <c r="D10" s="23">
        <f ca="1">IFERROR(VLOOKUP(A10,Ventas!A:E,5,0),"")</f>
        <v>91794</v>
      </c>
      <c r="E10" s="24">
        <f t="array" aca="1" ref="E10" ca="1">IFERROR(INDEX(Ventas!E:J,MATCH(C10&amp;D10,Ventas!D:D&amp;Ventas!E:E,0),11),0)</f>
        <v>0</v>
      </c>
      <c r="F10" s="23" t="str">
        <f t="array" aca="1" ref="F10" ca="1">IFERROR(INDEX(Ventas!E:J,MATCH(C10&amp;D10,Ventas!D:D&amp;Ventas!E:E,0),12),"")</f>
        <v/>
      </c>
    </row>
    <row r="11" spans="1:8" ht="22.5" customHeight="1">
      <c r="A11" s="23">
        <f ca="1">IFERROR(__xludf.DUMMYFUNCTION("""COMPUTED_VALUE"""),1135)</f>
        <v>1135</v>
      </c>
      <c r="B11" s="23" t="str">
        <f ca="1">IFERROR(__xludf.DUMMYFUNCTION("""COMPUTED_VALUE"""),"Olar 20w50 4L, w67/81, c1924")</f>
        <v>Olar 20w50 4L, w67/81, c1924</v>
      </c>
      <c r="C11" s="23" t="str">
        <f ca="1">IFERROR(VLOOKUP(A11,Ventas!A:D,4,0),"")</f>
        <v>Boleta</v>
      </c>
      <c r="D11" s="23">
        <f ca="1">IFERROR(VLOOKUP(A11,Ventas!A:E,5,0),"")</f>
        <v>91795</v>
      </c>
      <c r="E11" s="24">
        <f t="array" aca="1" ref="E11" ca="1">IFERROR(INDEX(Ventas!E:J,MATCH(C11&amp;D11,Ventas!D:D&amp;Ventas!E:E,0),11),0)</f>
        <v>0</v>
      </c>
      <c r="F11" s="23" t="str">
        <f t="array" aca="1" ref="F11" ca="1">IFERROR(INDEX(Ventas!E:J,MATCH(C11&amp;D11,Ventas!D:D&amp;Ventas!E:E,0),12),"")</f>
        <v/>
      </c>
    </row>
    <row r="12" spans="1:8" ht="22.5" customHeight="1">
      <c r="A12" s="23">
        <f ca="1">IFERROR(__xludf.DUMMYFUNCTION("""COMPUTED_VALUE"""),1148)</f>
        <v>1148</v>
      </c>
      <c r="B12" s="23" t="str">
        <f ca="1">IFERROR(__xludf.DUMMYFUNCTION("""COMPUTED_VALUE"""),"Neumático Aptany RP203 195/50R15 82 V")</f>
        <v>Neumático Aptany RP203 195/50R15 82 V</v>
      </c>
      <c r="C12" s="23" t="str">
        <f ca="1">IFERROR(VLOOKUP(A12,Ventas!A:D,4,0),"")</f>
        <v>Boleta</v>
      </c>
      <c r="D12" s="23">
        <f ca="1">IFERROR(VLOOKUP(A12,Ventas!A:E,5,0),"")</f>
        <v>91806</v>
      </c>
      <c r="E12" s="24">
        <f t="array" aca="1" ref="E12" ca="1">IFERROR(INDEX(Ventas!E:J,MATCH(C12&amp;D12,Ventas!D:D&amp;Ventas!E:E,0),11),0)</f>
        <v>0</v>
      </c>
      <c r="F12" s="23" t="str">
        <f t="array" aca="1" ref="F12" ca="1">IFERROR(INDEX(Ventas!E:J,MATCH(C12&amp;D12,Ventas!D:D&amp;Ventas!E:E,0),12),"")</f>
        <v/>
      </c>
    </row>
    <row r="13" spans="1:8" ht="22.5" customHeight="1">
      <c r="A13" s="23">
        <f ca="1">IFERROR(__xludf.DUMMYFUNCTION("""COMPUTED_VALUE"""),1155)</f>
        <v>1155</v>
      </c>
      <c r="B13" s="23" t="str">
        <f ca="1">IFERROR(__xludf.DUMMYFUNCTION("""COMPUTED_VALUE"""),"Plumillas 20 y 18")</f>
        <v>Plumillas 20 y 18</v>
      </c>
      <c r="C13" s="23" t="str">
        <f ca="1">IFERROR(VLOOKUP(A13,Ventas!A:D,4,0),"")</f>
        <v>Boleta</v>
      </c>
      <c r="D13" s="23">
        <f ca="1">IFERROR(VLOOKUP(A13,Ventas!A:E,5,0),"")</f>
        <v>91813</v>
      </c>
      <c r="E13" s="24">
        <f t="array" aca="1" ref="E13" ca="1">IFERROR(INDEX(Ventas!E:J,MATCH(C13&amp;D13,Ventas!D:D&amp;Ventas!E:E,0),11),0)</f>
        <v>0</v>
      </c>
      <c r="F13" s="23" t="str">
        <f t="array" aca="1" ref="F13" ca="1">IFERROR(INDEX(Ventas!E:J,MATCH(C13&amp;D13,Ventas!D:D&amp;Ventas!E:E,0),12),"")</f>
        <v/>
      </c>
    </row>
    <row r="14" spans="1:8" ht="22.5" customHeight="1">
      <c r="A14" s="23">
        <f ca="1">IFERROR(__xludf.DUMMYFUNCTION("""COMPUTED_VALUE"""),1167)</f>
        <v>1167</v>
      </c>
      <c r="B14" s="23" t="str">
        <f ca="1">IFERROR(__xludf.DUMMYFUNCTION("""COMPUTED_VALUE"""),"Mobil 1 5w30 4L, w811/80, c28035, cu23019")</f>
        <v>Mobil 1 5w30 4L, w811/80, c28035, cu23019</v>
      </c>
      <c r="C14" s="23" t="str">
        <f ca="1">IFERROR(VLOOKUP(A14,Ventas!A:D,4,0),"")</f>
        <v>Boleta</v>
      </c>
      <c r="D14" s="23">
        <f ca="1">IFERROR(VLOOKUP(A14,Ventas!A:E,5,0),"")</f>
        <v>91823</v>
      </c>
      <c r="E14" s="24">
        <f t="array" aca="1" ref="E14" ca="1">IFERROR(INDEX(Ventas!E:J,MATCH(C14&amp;D14,Ventas!D:D&amp;Ventas!E:E,0),11),0)</f>
        <v>0</v>
      </c>
      <c r="F14" s="23" t="str">
        <f t="array" aca="1" ref="F14" ca="1">IFERROR(INDEX(Ventas!E:J,MATCH(C14&amp;D14,Ventas!D:D&amp;Ventas!E:E,0),12),"")</f>
        <v/>
      </c>
    </row>
    <row r="15" spans="1:8" ht="22.5" customHeight="1">
      <c r="A15" s="23">
        <f ca="1">IFERROR(__xludf.DUMMYFUNCTION("""COMPUTED_VALUE"""),1191)</f>
        <v>1191</v>
      </c>
      <c r="B15" s="23" t="str">
        <f ca="1">IFERROR(__xludf.DUMMYFUNCTION("""COMPUTED_VALUE"""),"Hyundai Xteer Ultra RV C3 5w30 6L x2")</f>
        <v>Hyundai Xteer Ultra RV C3 5w30 6L x2</v>
      </c>
      <c r="C15" s="23" t="str">
        <f ca="1">IFERROR(VLOOKUP(A15,Ventas!A:D,4,0),"")</f>
        <v>Factura</v>
      </c>
      <c r="D15" s="23">
        <f ca="1">IFERROR(VLOOKUP(A15,Ventas!A:E,5,0),"")</f>
        <v>46</v>
      </c>
      <c r="E15" s="24">
        <f t="array" aca="1" ref="E15" ca="1">IFERROR(INDEX(Ventas!E:J,MATCH(C15&amp;D15,Ventas!D:D&amp;Ventas!E:E,0),11),0)</f>
        <v>0</v>
      </c>
      <c r="F15" s="23" t="str">
        <f t="array" aca="1" ref="F15" ca="1">IFERROR(INDEX(Ventas!E:J,MATCH(C15&amp;D15,Ventas!D:D&amp;Ventas!E:E,0),12),"")</f>
        <v/>
      </c>
    </row>
    <row r="16" spans="1:8" ht="22.5" customHeight="1">
      <c r="A16" s="23">
        <f ca="1">IFERROR(__xludf.DUMMYFUNCTION("""COMPUTED_VALUE"""),1195)</f>
        <v>1195</v>
      </c>
      <c r="B16" s="23" t="str">
        <f ca="1">IFERROR(__xludf.DUMMYFUNCTION("""COMPUTED_VALUE"""),"Tercel chino")</f>
        <v>Tercel chino</v>
      </c>
      <c r="C16" s="23" t="str">
        <f ca="1">IFERROR(VLOOKUP(A16,Ventas!A:D,4,0),"")</f>
        <v>Boleta</v>
      </c>
      <c r="D16" s="23">
        <f ca="1">IFERROR(VLOOKUP(A16,Ventas!A:E,5,0),"")</f>
        <v>91846</v>
      </c>
      <c r="E16" s="24">
        <f t="array" aca="1" ref="E16" ca="1">IFERROR(INDEX(Ventas!E:J,MATCH(C16&amp;D16,Ventas!D:D&amp;Ventas!E:E,0),11),0)</f>
        <v>0</v>
      </c>
      <c r="F16" s="23" t="str">
        <f t="array" aca="1" ref="F16" ca="1">IFERROR(INDEX(Ventas!E:J,MATCH(C16&amp;D16,Ventas!D:D&amp;Ventas!E:E,0),12),"")</f>
        <v/>
      </c>
    </row>
    <row r="17" spans="1:6" ht="22.5" customHeight="1">
      <c r="A17" s="23">
        <f ca="1">IFERROR(__xludf.DUMMYFUNCTION("""COMPUTED_VALUE"""),1207)</f>
        <v>1207</v>
      </c>
      <c r="B17" s="23" t="str">
        <f ca="1">IFERROR(__xludf.DUMMYFUNCTION("""COMPUTED_VALUE"""),"CU1919")</f>
        <v>CU1919</v>
      </c>
      <c r="C17" s="23" t="str">
        <f ca="1">IFERROR(VLOOKUP(A17,Ventas!A:D,4,0),"")</f>
        <v>Boleta</v>
      </c>
      <c r="D17" s="23">
        <f ca="1">IFERROR(VLOOKUP(A17,Ventas!A:E,5,0),"")</f>
        <v>91857</v>
      </c>
      <c r="E17" s="24">
        <f t="array" aca="1" ref="E17" ca="1">IFERROR(INDEX(Ventas!E:J,MATCH(C17&amp;D17,Ventas!D:D&amp;Ventas!E:E,0),11),0)</f>
        <v>0</v>
      </c>
      <c r="F17" s="23" t="str">
        <f t="array" aca="1" ref="F17" ca="1">IFERROR(INDEX(Ventas!E:J,MATCH(C17&amp;D17,Ventas!D:D&amp;Ventas!E:E,0),12),"")</f>
        <v/>
      </c>
    </row>
    <row r="18" spans="1:6" ht="22.5" customHeight="1">
      <c r="A18" s="23">
        <f ca="1">IFERROR(__xludf.DUMMYFUNCTION("""COMPUTED_VALUE"""),1216)</f>
        <v>1216</v>
      </c>
      <c r="B18" s="23" t="str">
        <f ca="1">IFERROR(__xludf.DUMMYFUNCTION("""COMPUTED_VALUE"""),"Olar 5w30 7L")</f>
        <v>Olar 5w30 7L</v>
      </c>
      <c r="C18" s="23" t="str">
        <f ca="1">IFERROR(VLOOKUP(A18,Ventas!A:D,4,0),"")</f>
        <v>Factura</v>
      </c>
      <c r="D18" s="23">
        <f ca="1">IFERROR(VLOOKUP(A18,Ventas!A:E,5,0),"")</f>
        <v>48</v>
      </c>
      <c r="E18" s="24">
        <f t="array" aca="1" ref="E18" ca="1">IFERROR(INDEX(Ventas!E:J,MATCH(C18&amp;D18,Ventas!D:D&amp;Ventas!E:E,0),11),0)</f>
        <v>0</v>
      </c>
      <c r="F18" s="23" t="str">
        <f t="array" aca="1" ref="F18" ca="1">IFERROR(INDEX(Ventas!E:J,MATCH(C18&amp;D18,Ventas!D:D&amp;Ventas!E:E,0),12),"")</f>
        <v/>
      </c>
    </row>
    <row r="19" spans="1:6" ht="22.5" customHeight="1">
      <c r="A19" s="23">
        <f ca="1">IFERROR(__xludf.DUMMYFUNCTION("""COMPUTED_VALUE"""),1218)</f>
        <v>1218</v>
      </c>
      <c r="B19" s="23" t="str">
        <f ca="1">IFERROR(__xludf.DUMMYFUNCTION("""COMPUTED_VALUE"""),"Mannol ATF Dexron VI x3")</f>
        <v>Mannol ATF Dexron VI x3</v>
      </c>
      <c r="C19" s="23" t="str">
        <f ca="1">IFERROR(VLOOKUP(A19,Ventas!A:D,4,0),"")</f>
        <v>Boleta</v>
      </c>
      <c r="D19" s="23">
        <f ca="1">IFERROR(VLOOKUP(A19,Ventas!A:E,5,0),"")</f>
        <v>91866</v>
      </c>
      <c r="E19" s="24">
        <f t="array" aca="1" ref="E19" ca="1">IFERROR(INDEX(Ventas!E:J,MATCH(C19&amp;D19,Ventas!D:D&amp;Ventas!E:E,0),11),0)</f>
        <v>0</v>
      </c>
      <c r="F19" s="23" t="str">
        <f t="array" aca="1" ref="F19" ca="1">IFERROR(INDEX(Ventas!E:J,MATCH(C19&amp;D19,Ventas!D:D&amp;Ventas!E:E,0),12),"")</f>
        <v/>
      </c>
    </row>
    <row r="20" spans="1:6" ht="22.5" customHeight="1">
      <c r="A20" s="23">
        <f ca="1">IFERROR(__xludf.DUMMYFUNCTION("""COMPUTED_VALUE"""),1235)</f>
        <v>1235</v>
      </c>
      <c r="B20" s="23" t="str">
        <f ca="1">IFERROR(__xludf.DUMMYFUNCTION("""COMPUTED_VALUE"""),"Shell 10w40 4L, w719/27")</f>
        <v>Shell 10w40 4L, w719/27</v>
      </c>
      <c r="C20" s="23" t="str">
        <f ca="1">IFERROR(VLOOKUP(A20,Ventas!A:D,4,0),"")</f>
        <v>Boleta</v>
      </c>
      <c r="D20" s="23">
        <f ca="1">IFERROR(VLOOKUP(A20,Ventas!A:E,5,0),"")</f>
        <v>91883</v>
      </c>
      <c r="E20" s="24">
        <f t="array" aca="1" ref="E20" ca="1">IFERROR(INDEX(Ventas!E:J,MATCH(C20&amp;D20,Ventas!D:D&amp;Ventas!E:E,0),11),0)</f>
        <v>0</v>
      </c>
      <c r="F20" s="23" t="str">
        <f t="array" aca="1" ref="F20" ca="1">IFERROR(INDEX(Ventas!E:J,MATCH(C20&amp;D20,Ventas!D:D&amp;Ventas!E:E,0),12),"")</f>
        <v/>
      </c>
    </row>
    <row r="21" spans="1:6" ht="22.5" customHeight="1">
      <c r="A21" s="23">
        <f ca="1">IFERROR(__xludf.DUMMYFUNCTION("""COMPUTED_VALUE"""),1243)</f>
        <v>1243</v>
      </c>
      <c r="B21" s="23" t="str">
        <f ca="1">IFERROR(__xludf.DUMMYFUNCTION("""COMPUTED_VALUE"""),"Mannol 10w40 4L, w67/80 DGP, c3121, cu22001-2")</f>
        <v>Mannol 10w40 4L, w67/80 DGP, c3121, cu22001-2</v>
      </c>
      <c r="C21" s="23" t="str">
        <f ca="1">IFERROR(VLOOKUP(A21,Ventas!A:D,4,0),"")</f>
        <v>Boleta</v>
      </c>
      <c r="D21" s="23">
        <f ca="1">IFERROR(VLOOKUP(A21,Ventas!A:E,5,0),"")</f>
        <v>91891</v>
      </c>
      <c r="E21" s="24">
        <f t="array" aca="1" ref="E21" ca="1">IFERROR(INDEX(Ventas!E:J,MATCH(C21&amp;D21,Ventas!D:D&amp;Ventas!E:E,0),11),0)</f>
        <v>0</v>
      </c>
      <c r="F21" s="23" t="str">
        <f t="array" aca="1" ref="F21" ca="1">IFERROR(INDEX(Ventas!E:J,MATCH(C21&amp;D21,Ventas!D:D&amp;Ventas!E:E,0),12),"")</f>
        <v/>
      </c>
    </row>
    <row r="22" spans="1:6" ht="22.5" customHeight="1">
      <c r="A22" s="23">
        <f ca="1">IFERROR(__xludf.DUMMYFUNCTION("""COMPUTED_VALUE"""),1316)</f>
        <v>1316</v>
      </c>
      <c r="B22" s="23" t="str">
        <f ca="1">IFERROR(__xludf.DUMMYFUNCTION("""COMPUTED_VALUE"""),"Olar 5w30 5L, w712/19, Ceramol senfineco")</f>
        <v>Olar 5w30 5L, w712/19, Ceramol senfineco</v>
      </c>
      <c r="C22" s="23" t="str">
        <f ca="1">IFERROR(VLOOKUP(A22,Ventas!A:D,4,0),"")</f>
        <v>Boleta</v>
      </c>
      <c r="D22" s="23">
        <f ca="1">IFERROR(VLOOKUP(A22,Ventas!A:E,5,0),"")</f>
        <v>91958</v>
      </c>
      <c r="E22" s="24">
        <f t="array" aca="1" ref="E22" ca="1">IFERROR(INDEX(Ventas!E:J,MATCH(C22&amp;D22,Ventas!D:D&amp;Ventas!E:E,0),11),0)</f>
        <v>0</v>
      </c>
      <c r="F22" s="23" t="str">
        <f t="array" aca="1" ref="F22" ca="1">IFERROR(INDEX(Ventas!E:J,MATCH(C22&amp;D22,Ventas!D:D&amp;Ventas!E:E,0),12),"")</f>
        <v/>
      </c>
    </row>
    <row r="23" spans="1:6" ht="22.5" customHeight="1">
      <c r="A23" s="23">
        <f ca="1">IFERROR(__xludf.DUMMYFUNCTION("""COMPUTED_VALUE"""),1345)</f>
        <v>1345</v>
      </c>
      <c r="B23" s="23" t="str">
        <f ca="1">IFERROR(__xludf.DUMMYFUNCTION("""COMPUTED_VALUE"""),"Shell 15w40 4L, w68/80 hk, ceramol senfineco")</f>
        <v>Shell 15w40 4L, w68/80 hk, ceramol senfineco</v>
      </c>
      <c r="C23" s="23" t="str">
        <f ca="1">IFERROR(VLOOKUP(A23,Ventas!A:D,4,0),"")</f>
        <v>Boleta</v>
      </c>
      <c r="D23" s="23">
        <f ca="1">IFERROR(VLOOKUP(A23,Ventas!A:E,5,0),"")</f>
        <v>91982</v>
      </c>
      <c r="E23" s="24">
        <f t="array" aca="1" ref="E23" ca="1">IFERROR(INDEX(Ventas!E:J,MATCH(C23&amp;D23,Ventas!D:D&amp;Ventas!E:E,0),11),0)</f>
        <v>0</v>
      </c>
      <c r="F23" s="23" t="str">
        <f t="array" aca="1" ref="F23" ca="1">IFERROR(INDEX(Ventas!E:J,MATCH(C23&amp;D23,Ventas!D:D&amp;Ventas!E:E,0),12),"")</f>
        <v/>
      </c>
    </row>
    <row r="24" spans="1:6" ht="22.5" customHeight="1">
      <c r="A24" s="23">
        <f ca="1">IFERROR(__xludf.DUMMYFUNCTION("""COMPUTED_VALUE"""),1346)</f>
        <v>1346</v>
      </c>
      <c r="B24" s="23" t="str">
        <f ca="1">IFERROR(__xludf.DUMMYFUNCTION("""COMPUTED_VALUE"""),"wolver 5w30 1Lx3,w7023, c22015, cu1910")</f>
        <v>wolver 5w30 1Lx3,w7023, c22015, cu1910</v>
      </c>
      <c r="C24" s="23" t="str">
        <f ca="1">IFERROR(VLOOKUP(A24,Ventas!A:D,4,0),"")</f>
        <v>Boleta</v>
      </c>
      <c r="D24" s="23">
        <f ca="1">IFERROR(VLOOKUP(A24,Ventas!A:E,5,0),"")</f>
        <v>91983</v>
      </c>
      <c r="E24" s="24">
        <f t="array" aca="1" ref="E24" ca="1">IFERROR(INDEX(Ventas!E:J,MATCH(C24&amp;D24,Ventas!D:D&amp;Ventas!E:E,0),11),0)</f>
        <v>0</v>
      </c>
      <c r="F24" s="23" t="str">
        <f t="array" aca="1" ref="F24" ca="1">IFERROR(INDEX(Ventas!E:J,MATCH(C24&amp;D24,Ventas!D:D&amp;Ventas!E:E,0),12),"")</f>
        <v/>
      </c>
    </row>
    <row r="25" spans="1:6" ht="22.5" customHeight="1">
      <c r="A25" s="23">
        <f ca="1">IFERROR(__xludf.DUMMYFUNCTION("""COMPUTED_VALUE"""),1348)</f>
        <v>1348</v>
      </c>
      <c r="B25" s="23" t="str">
        <f ca="1">IFERROR(__xludf.DUMMYFUNCTION("""COMPUTED_VALUE"""),"Neumaticos Goodride 175/65R14 Hernan")</f>
        <v>Neumaticos Goodride 175/65R14 Hernan</v>
      </c>
      <c r="C25" s="23" t="str">
        <f ca="1">IFERROR(VLOOKUP(A25,Ventas!A:D,4,0),"")</f>
        <v>Boleta</v>
      </c>
      <c r="D25" s="23">
        <f ca="1">IFERROR(VLOOKUP(A25,Ventas!A:E,5,0),"")</f>
        <v>91986</v>
      </c>
      <c r="E25" s="24">
        <f t="array" aca="1" ref="E25" ca="1">IFERROR(INDEX(Ventas!E:J,MATCH(C25&amp;D25,Ventas!D:D&amp;Ventas!E:E,0),11),0)</f>
        <v>0</v>
      </c>
      <c r="F25" s="23" t="str">
        <f t="array" aca="1" ref="F25" ca="1">IFERROR(INDEX(Ventas!E:J,MATCH(C25&amp;D25,Ventas!D:D&amp;Ventas!E:E,0),12),"")</f>
        <v/>
      </c>
    </row>
    <row r="26" spans="1:6" ht="22.5" customHeight="1">
      <c r="A26" s="23">
        <f ca="1">IFERROR(__xludf.DUMMYFUNCTION("""COMPUTED_VALUE"""),1364)</f>
        <v>1364</v>
      </c>
      <c r="B26" s="23" t="str">
        <f ca="1">IFERROR(__xludf.DUMMYFUNCTION("""COMPUTED_VALUE"""),"Liqui Moly 10w40 5L, w7023")</f>
        <v>Liqui Moly 10w40 5L, w7023</v>
      </c>
      <c r="C26" s="23" t="str">
        <f ca="1">IFERROR(VLOOKUP(A26,Ventas!A:D,4,0),"")</f>
        <v>Boleta</v>
      </c>
      <c r="D26" s="23">
        <f ca="1">IFERROR(VLOOKUP(A26,Ventas!A:E,5,0),"")</f>
        <v>91999</v>
      </c>
      <c r="E26" s="24">
        <f t="array" aca="1" ref="E26" ca="1">IFERROR(INDEX(Ventas!E:J,MATCH(C26&amp;D26,Ventas!D:D&amp;Ventas!E:E,0),11),0)</f>
        <v>0</v>
      </c>
      <c r="F26" s="23" t="str">
        <f t="array" aca="1" ref="F26" ca="1">IFERROR(INDEX(Ventas!E:J,MATCH(C26&amp;D26,Ventas!D:D&amp;Ventas!E:E,0),12),"")</f>
        <v/>
      </c>
    </row>
    <row r="27" spans="1:6" ht="22.5" customHeight="1">
      <c r="A27" s="23">
        <f ca="1">IFERROR(__xludf.DUMMYFUNCTION("""COMPUTED_VALUE"""),1372)</f>
        <v>1372</v>
      </c>
      <c r="B27" s="23" t="str">
        <f ca="1">IFERROR(__xludf.DUMMYFUNCTION("""COMPUTED_VALUE"""),"Shell 15w40 4L, w68/80 hk")</f>
        <v>Shell 15w40 4L, w68/80 hk</v>
      </c>
      <c r="C27" s="23" t="str">
        <f ca="1">IFERROR(VLOOKUP(A27,Ventas!A:D,4,0),"")</f>
        <v>Boleta</v>
      </c>
      <c r="D27" s="23">
        <f ca="1">IFERROR(VLOOKUP(A27,Ventas!A:E,5,0),"")</f>
        <v>92007</v>
      </c>
      <c r="E27" s="24">
        <f t="array" aca="1" ref="E27" ca="1">IFERROR(INDEX(Ventas!E:J,MATCH(C27&amp;D27,Ventas!D:D&amp;Ventas!E:E,0),11),0)</f>
        <v>0</v>
      </c>
      <c r="F27" s="23" t="str">
        <f t="array" aca="1" ref="F27" ca="1">IFERROR(INDEX(Ventas!E:J,MATCH(C27&amp;D27,Ventas!D:D&amp;Ventas!E:E,0),12),"")</f>
        <v/>
      </c>
    </row>
    <row r="28" spans="1:6" ht="22.5" customHeight="1">
      <c r="A28" s="23">
        <f ca="1">IFERROR(__xludf.DUMMYFUNCTION("""COMPUTED_VALUE"""),1396)</f>
        <v>1396</v>
      </c>
      <c r="B28" s="23" t="str">
        <f ca="1">IFERROR(__xludf.DUMMYFUNCTION("""COMPUTED_VALUE"""),"Limpia Inyector Mannol")</f>
        <v>Limpia Inyector Mannol</v>
      </c>
      <c r="C28" s="23" t="str">
        <f ca="1">IFERROR(VLOOKUP(A28,Ventas!A:D,4,0),"")</f>
        <v>Boleta</v>
      </c>
      <c r="D28" s="23">
        <f ca="1">IFERROR(VLOOKUP(A28,Ventas!A:E,5,0),"")</f>
        <v>92028</v>
      </c>
      <c r="E28" s="24">
        <f t="array" aca="1" ref="E28" ca="1">IFERROR(INDEX(Ventas!E:J,MATCH(C28&amp;D28,Ventas!D:D&amp;Ventas!E:E,0),11),0)</f>
        <v>0</v>
      </c>
      <c r="F28" s="23" t="str">
        <f t="array" aca="1" ref="F28" ca="1">IFERROR(INDEX(Ventas!E:J,MATCH(C28&amp;D28,Ventas!D:D&amp;Ventas!E:E,0),12),"")</f>
        <v/>
      </c>
    </row>
    <row r="29" spans="1:6" ht="22.5" customHeight="1">
      <c r="A29" s="23">
        <f ca="1">IFERROR(__xludf.DUMMYFUNCTION("""COMPUTED_VALUE"""),1405)</f>
        <v>1405</v>
      </c>
      <c r="B29" s="23" t="str">
        <f ca="1">IFERROR(__xludf.DUMMYFUNCTION("""COMPUTED_VALUE"""),"Super 2000 4L, w68/80, c2513")</f>
        <v>Super 2000 4L, w68/80, c2513</v>
      </c>
      <c r="C29" s="23" t="str">
        <f ca="1">IFERROR(VLOOKUP(A29,Ventas!A:D,4,0),"")</f>
        <v>Boleta</v>
      </c>
      <c r="D29" s="23">
        <f ca="1">IFERROR(VLOOKUP(A29,Ventas!A:E,5,0),"")</f>
        <v>92036</v>
      </c>
      <c r="E29" s="24">
        <f t="array" aca="1" ref="E29" ca="1">IFERROR(INDEX(Ventas!E:J,MATCH(C29&amp;D29,Ventas!D:D&amp;Ventas!E:E,0),11),0)</f>
        <v>0</v>
      </c>
      <c r="F29" s="23" t="str">
        <f t="array" aca="1" ref="F29" ca="1">IFERROR(INDEX(Ventas!E:J,MATCH(C29&amp;D29,Ventas!D:D&amp;Ventas!E:E,0),12),"")</f>
        <v/>
      </c>
    </row>
    <row r="30" spans="1:6" ht="22.5" customHeight="1">
      <c r="A30" s="23">
        <f ca="1">IFERROR(__xludf.DUMMYFUNCTION("""COMPUTED_VALUE"""),1406)</f>
        <v>1406</v>
      </c>
      <c r="B30" s="23" t="str">
        <f ca="1">IFERROR(__xludf.DUMMYFUNCTION("""COMPUTED_VALUE"""),"c2860 filtec")</f>
        <v>c2860 filtec</v>
      </c>
      <c r="C30" s="23" t="str">
        <f ca="1">IFERROR(VLOOKUP(A30,Ventas!A:D,4,0),"")</f>
        <v>Boleta</v>
      </c>
      <c r="D30" s="23">
        <f ca="1">IFERROR(VLOOKUP(A30,Ventas!A:E,5,0),"")</f>
        <v>92037</v>
      </c>
      <c r="E30" s="24">
        <f t="array" aca="1" ref="E30" ca="1">IFERROR(INDEX(Ventas!E:J,MATCH(C30&amp;D30,Ventas!D:D&amp;Ventas!E:E,0),11),0)</f>
        <v>0</v>
      </c>
      <c r="F30" s="23" t="str">
        <f t="array" aca="1" ref="F30" ca="1">IFERROR(INDEX(Ventas!E:J,MATCH(C30&amp;D30,Ventas!D:D&amp;Ventas!E:E,0),12),"")</f>
        <v/>
      </c>
    </row>
    <row r="31" spans="1:6" ht="22.5" customHeight="1">
      <c r="A31" s="23">
        <f ca="1">IFERROR(__xludf.DUMMYFUNCTION("""COMPUTED_VALUE"""),1418)</f>
        <v>1418</v>
      </c>
      <c r="B31" s="23" t="str">
        <f ca="1">IFERROR(__xludf.DUMMYFUNCTION("""COMPUTED_VALUE"""),"Bomba de bencina completa chv spark")</f>
        <v>Bomba de bencina completa chv spark</v>
      </c>
      <c r="C31" s="23" t="str">
        <f ca="1">IFERROR(VLOOKUP(A31,Ventas!A:D,4,0),"")</f>
        <v>Boleta</v>
      </c>
      <c r="D31" s="23">
        <f ca="1">IFERROR(VLOOKUP(A31,Ventas!A:E,5,0),"")</f>
        <v>92048</v>
      </c>
      <c r="E31" s="24">
        <f t="array" aca="1" ref="E31" ca="1">IFERROR(INDEX(Ventas!E:J,MATCH(C31&amp;D31,Ventas!D:D&amp;Ventas!E:E,0),11),0)</f>
        <v>0</v>
      </c>
      <c r="F31" s="23" t="str">
        <f t="array" aca="1" ref="F31" ca="1">IFERROR(INDEX(Ventas!E:J,MATCH(C31&amp;D31,Ventas!D:D&amp;Ventas!E:E,0),12),"")</f>
        <v/>
      </c>
    </row>
    <row r="32" spans="1:6" ht="22.5" customHeight="1">
      <c r="A32" s="23">
        <f ca="1">IFERROR(__xludf.DUMMYFUNCTION("""COMPUTED_VALUE"""),1451)</f>
        <v>1451</v>
      </c>
      <c r="B32" s="23" t="str">
        <f ca="1">IFERROR(__xludf.DUMMYFUNCTION("""COMPUTED_VALUE"""),"Mannol Ceramic 5w30 4L, w610/82, filtros jac s4 2020")</f>
        <v>Mannol Ceramic 5w30 4L, w610/82, filtros jac s4 2020</v>
      </c>
      <c r="C32" s="23" t="str">
        <f ca="1">IFERROR(VLOOKUP(A32,Ventas!A:D,4,0),"")</f>
        <v>Boleta</v>
      </c>
      <c r="D32" s="23">
        <f ca="1">IFERROR(VLOOKUP(A32,Ventas!A:E,5,0),"")</f>
        <v>92078</v>
      </c>
      <c r="E32" s="24">
        <f t="array" aca="1" ref="E32" ca="1">IFERROR(INDEX(Ventas!E:J,MATCH(C32&amp;D32,Ventas!D:D&amp;Ventas!E:E,0),11),0)</f>
        <v>0</v>
      </c>
      <c r="F32" s="23" t="str">
        <f t="array" aca="1" ref="F32" ca="1">IFERROR(INDEX(Ventas!E:J,MATCH(C32&amp;D32,Ventas!D:D&amp;Ventas!E:E,0),12),"")</f>
        <v/>
      </c>
    </row>
    <row r="33" spans="1:6" ht="22.5" customHeight="1">
      <c r="A33" s="23"/>
      <c r="B33" s="23"/>
      <c r="C33" s="23" t="str">
        <f>IFERROR(VLOOKUP(A33,Ventas!A:D,4,0),"")</f>
        <v/>
      </c>
      <c r="D33" s="23" t="str">
        <f>IFERROR(VLOOKUP(A33,Ventas!A:E,5,0),"")</f>
        <v/>
      </c>
      <c r="E33" s="24">
        <f t="array" ref="E33">IFERROR(INDEX(Ventas!E:J,MATCH(C33&amp;D33,Ventas!D:D&amp;Ventas!E:E,0),11),0)</f>
        <v>0</v>
      </c>
      <c r="F33" s="23" t="str">
        <f t="array" ref="F33">IFERROR(INDEX(Ventas!E:J,MATCH(C33&amp;D33,Ventas!D:D&amp;Ventas!E:E,0),12),"")</f>
        <v/>
      </c>
    </row>
    <row r="34" spans="1:6" ht="22.5" customHeight="1">
      <c r="A34" s="23"/>
      <c r="B34" s="23"/>
      <c r="C34" s="23" t="str">
        <f>IFERROR(VLOOKUP(A34,Ventas!A:D,4,0),"")</f>
        <v/>
      </c>
      <c r="D34" s="23" t="str">
        <f>IFERROR(VLOOKUP(A34,Ventas!A:E,5,0),"")</f>
        <v/>
      </c>
      <c r="E34" s="24">
        <f t="array" ref="E34">IFERROR(INDEX(Ventas!E:J,MATCH(C34&amp;D34,Ventas!D:D&amp;Ventas!E:E,0),11),0)</f>
        <v>0</v>
      </c>
      <c r="F34" s="23" t="str">
        <f t="array" ref="F34">IFERROR(INDEX(Ventas!E:J,MATCH(C34&amp;D34,Ventas!D:D&amp;Ventas!E:E,0),12),"")</f>
        <v/>
      </c>
    </row>
    <row r="35" spans="1:6" ht="22.5" customHeight="1">
      <c r="A35" s="23"/>
      <c r="B35" s="23"/>
      <c r="C35" s="23" t="str">
        <f>IFERROR(VLOOKUP(A35,Ventas!A:D,4,0),"")</f>
        <v/>
      </c>
      <c r="D35" s="23" t="str">
        <f>IFERROR(VLOOKUP(A35,Ventas!A:E,5,0),"")</f>
        <v/>
      </c>
      <c r="E35" s="24">
        <f t="array" ref="E35">IFERROR(INDEX(Ventas!E:J,MATCH(C35&amp;D35,Ventas!D:D&amp;Ventas!E:E,0),11),0)</f>
        <v>0</v>
      </c>
      <c r="F35" s="23" t="str">
        <f t="array" ref="F35">IFERROR(INDEX(Ventas!E:J,MATCH(C35&amp;D35,Ventas!D:D&amp;Ventas!E:E,0),12),"")</f>
        <v/>
      </c>
    </row>
    <row r="36" spans="1:6" ht="22.5" customHeight="1">
      <c r="A36" s="23"/>
      <c r="B36" s="23"/>
      <c r="C36" s="23" t="str">
        <f>IFERROR(VLOOKUP(A36,Ventas!A:D,4,0),"")</f>
        <v/>
      </c>
      <c r="D36" s="23" t="str">
        <f>IFERROR(VLOOKUP(A36,Ventas!A:E,5,0),"")</f>
        <v/>
      </c>
      <c r="E36" s="24">
        <f t="array" ref="E36">IFERROR(INDEX(Ventas!E:J,MATCH(C36&amp;D36,Ventas!D:D&amp;Ventas!E:E,0),11),0)</f>
        <v>0</v>
      </c>
      <c r="F36" s="23" t="str">
        <f t="array" ref="F36">IFERROR(INDEX(Ventas!E:J,MATCH(C36&amp;D36,Ventas!D:D&amp;Ventas!E:E,0),12),"")</f>
        <v/>
      </c>
    </row>
    <row r="37" spans="1:6" ht="22.5" customHeight="1">
      <c r="A37" s="23"/>
      <c r="B37" s="23"/>
      <c r="C37" s="23" t="str">
        <f>IFERROR(VLOOKUP(A37,Ventas!A:D,4,0),"")</f>
        <v/>
      </c>
      <c r="D37" s="23" t="str">
        <f>IFERROR(VLOOKUP(A37,Ventas!A:E,5,0),"")</f>
        <v/>
      </c>
      <c r="E37" s="24">
        <f t="array" ref="E37">IFERROR(INDEX(Ventas!E:J,MATCH(C37&amp;D37,Ventas!D:D&amp;Ventas!E:E,0),11),0)</f>
        <v>0</v>
      </c>
      <c r="F37" s="23" t="str">
        <f t="array" ref="F37">IFERROR(INDEX(Ventas!E:J,MATCH(C37&amp;D37,Ventas!D:D&amp;Ventas!E:E,0),12),"")</f>
        <v/>
      </c>
    </row>
    <row r="38" spans="1:6" ht="22.5" customHeight="1">
      <c r="A38" s="23"/>
      <c r="B38" s="23"/>
      <c r="C38" s="23" t="str">
        <f>IFERROR(VLOOKUP(A38,Ventas!A:D,4,0),"")</f>
        <v/>
      </c>
      <c r="D38" s="23" t="str">
        <f>IFERROR(VLOOKUP(A38,Ventas!A:E,5,0),"")</f>
        <v/>
      </c>
      <c r="E38" s="24">
        <f t="array" ref="E38">IFERROR(INDEX(Ventas!E:J,MATCH(C38&amp;D38,Ventas!D:D&amp;Ventas!E:E,0),11),0)</f>
        <v>0</v>
      </c>
      <c r="F38" s="23" t="str">
        <f t="array" ref="F38">IFERROR(INDEX(Ventas!E:J,MATCH(C38&amp;D38,Ventas!D:D&amp;Ventas!E:E,0),12),"")</f>
        <v/>
      </c>
    </row>
    <row r="39" spans="1:6" ht="22.5" customHeight="1">
      <c r="A39" s="23"/>
      <c r="B39" s="23"/>
      <c r="C39" s="23" t="str">
        <f>IFERROR(VLOOKUP(A39,Ventas!A:D,4,0),"")</f>
        <v/>
      </c>
      <c r="D39" s="23" t="str">
        <f>IFERROR(VLOOKUP(A39,Ventas!A:E,5,0),"")</f>
        <v/>
      </c>
      <c r="E39" s="24">
        <f t="array" ref="E39">IFERROR(INDEX(Ventas!E:J,MATCH(C39&amp;D39,Ventas!D:D&amp;Ventas!E:E,0),11),0)</f>
        <v>0</v>
      </c>
      <c r="F39" s="23" t="str">
        <f t="array" ref="F39">IFERROR(INDEX(Ventas!E:J,MATCH(C39&amp;D39,Ventas!D:D&amp;Ventas!E:E,0),12),"")</f>
        <v/>
      </c>
    </row>
    <row r="40" spans="1:6" ht="22.5" customHeight="1">
      <c r="A40" s="23"/>
      <c r="B40" s="23"/>
      <c r="C40" s="23" t="str">
        <f>IFERROR(VLOOKUP(A40,Ventas!A:D,4,0),"")</f>
        <v/>
      </c>
      <c r="D40" s="23" t="str">
        <f>IFERROR(VLOOKUP(A40,Ventas!A:E,5,0),"")</f>
        <v/>
      </c>
      <c r="E40" s="24">
        <f t="array" ref="E40">IFERROR(INDEX(Ventas!E:J,MATCH(C40&amp;D40,Ventas!D:D&amp;Ventas!E:E,0),11),0)</f>
        <v>0</v>
      </c>
      <c r="F40" s="23" t="str">
        <f t="array" ref="F40">IFERROR(INDEX(Ventas!E:J,MATCH(C40&amp;D40,Ventas!D:D&amp;Ventas!E:E,0),12),"")</f>
        <v/>
      </c>
    </row>
    <row r="41" spans="1:6" ht="22.5" customHeight="1">
      <c r="A41" s="23"/>
      <c r="B41" s="23"/>
      <c r="C41" s="23" t="str">
        <f>IFERROR(VLOOKUP(A41,Ventas!A:D,4,0),"")</f>
        <v/>
      </c>
      <c r="D41" s="23" t="str">
        <f>IFERROR(VLOOKUP(A41,Ventas!A:E,5,0),"")</f>
        <v/>
      </c>
      <c r="E41" s="24">
        <f t="array" ref="E41">IFERROR(INDEX(Ventas!E:J,MATCH(C41&amp;D41,Ventas!D:D&amp;Ventas!E:E,0),11),0)</f>
        <v>0</v>
      </c>
      <c r="F41" s="23" t="str">
        <f t="array" ref="F41">IFERROR(INDEX(Ventas!E:J,MATCH(C41&amp;D41,Ventas!D:D&amp;Ventas!E:E,0),12),"")</f>
        <v/>
      </c>
    </row>
    <row r="42" spans="1:6" ht="22.5" customHeight="1">
      <c r="A42" s="23"/>
      <c r="B42" s="23"/>
      <c r="C42" s="23" t="str">
        <f>IFERROR(VLOOKUP(A42,Ventas!A:D,4,0),"")</f>
        <v/>
      </c>
      <c r="D42" s="23" t="str">
        <f>IFERROR(VLOOKUP(A42,Ventas!A:E,5,0),"")</f>
        <v/>
      </c>
      <c r="E42" s="24">
        <f t="array" ref="E42">IFERROR(INDEX(Ventas!E:J,MATCH(C42&amp;D42,Ventas!D:D&amp;Ventas!E:E,0),11),0)</f>
        <v>0</v>
      </c>
      <c r="F42" s="23" t="str">
        <f t="array" ref="F42">IFERROR(INDEX(Ventas!E:J,MATCH(C42&amp;D42,Ventas!D:D&amp;Ventas!E:E,0),12),"")</f>
        <v/>
      </c>
    </row>
    <row r="43" spans="1:6" ht="22.5" customHeight="1">
      <c r="A43" s="23"/>
      <c r="B43" s="23"/>
      <c r="C43" s="23" t="str">
        <f>IFERROR(VLOOKUP(A43,Ventas!A:D,4,0),"")</f>
        <v/>
      </c>
      <c r="D43" s="23" t="str">
        <f>IFERROR(VLOOKUP(A43,Ventas!A:E,5,0),"")</f>
        <v/>
      </c>
      <c r="E43" s="24">
        <f t="array" ref="E43">IFERROR(INDEX(Ventas!E:J,MATCH(C43&amp;D43,Ventas!D:D&amp;Ventas!E:E,0),11),0)</f>
        <v>0</v>
      </c>
      <c r="F43" s="23" t="str">
        <f t="array" ref="F43">IFERROR(INDEX(Ventas!E:J,MATCH(C43&amp;D43,Ventas!D:D&amp;Ventas!E:E,0),12),"")</f>
        <v/>
      </c>
    </row>
    <row r="44" spans="1:6" ht="22.5" customHeight="1">
      <c r="A44" s="23"/>
      <c r="B44" s="23"/>
      <c r="C44" s="23" t="str">
        <f>IFERROR(VLOOKUP(A44,Ventas!A:D,4,0),"")</f>
        <v/>
      </c>
      <c r="D44" s="23" t="str">
        <f>IFERROR(VLOOKUP(A44,Ventas!A:E,5,0),"")</f>
        <v/>
      </c>
      <c r="E44" s="24">
        <f t="array" ref="E44">IFERROR(INDEX(Ventas!E:J,MATCH(C44&amp;D44,Ventas!D:D&amp;Ventas!E:E,0),11),0)</f>
        <v>0</v>
      </c>
      <c r="F44" s="23" t="str">
        <f t="array" ref="F44">IFERROR(INDEX(Ventas!E:J,MATCH(C44&amp;D44,Ventas!D:D&amp;Ventas!E:E,0),12),"")</f>
        <v/>
      </c>
    </row>
    <row r="45" spans="1:6" ht="22.5" customHeight="1">
      <c r="A45" s="23"/>
      <c r="B45" s="23"/>
      <c r="C45" s="23" t="str">
        <f>IFERROR(VLOOKUP(A45,Ventas!A:D,4,0),"")</f>
        <v/>
      </c>
      <c r="D45" s="23" t="str">
        <f>IFERROR(VLOOKUP(A45,Ventas!A:E,5,0),"")</f>
        <v/>
      </c>
      <c r="E45" s="24">
        <f t="array" ref="E45">IFERROR(INDEX(Ventas!E:J,MATCH(C45&amp;D45,Ventas!D:D&amp;Ventas!E:E,0),11),0)</f>
        <v>0</v>
      </c>
      <c r="F45" s="23" t="str">
        <f t="array" ref="F45">IFERROR(INDEX(Ventas!E:J,MATCH(C45&amp;D45,Ventas!D:D&amp;Ventas!E:E,0),12),"")</f>
        <v/>
      </c>
    </row>
    <row r="46" spans="1:6" ht="22.5" customHeight="1">
      <c r="A46" s="23"/>
      <c r="B46" s="23"/>
      <c r="C46" s="23" t="str">
        <f>IFERROR(VLOOKUP(A46,Ventas!A:D,4,0),"")</f>
        <v/>
      </c>
      <c r="D46" s="23" t="str">
        <f>IFERROR(VLOOKUP(A46,Ventas!A:E,5,0),"")</f>
        <v/>
      </c>
      <c r="E46" s="24">
        <f t="array" ref="E46">IFERROR(INDEX(Ventas!E:J,MATCH(C46&amp;D46,Ventas!D:D&amp;Ventas!E:E,0),11),0)</f>
        <v>0</v>
      </c>
      <c r="F46" s="23" t="str">
        <f t="array" ref="F46">IFERROR(INDEX(Ventas!E:J,MATCH(C46&amp;D46,Ventas!D:D&amp;Ventas!E:E,0),12),"")</f>
        <v/>
      </c>
    </row>
    <row r="47" spans="1:6" ht="22.5" customHeight="1">
      <c r="A47" s="23"/>
      <c r="B47" s="23"/>
      <c r="C47" s="23" t="str">
        <f>IFERROR(VLOOKUP(A47,Ventas!A:D,4,0),"")</f>
        <v/>
      </c>
      <c r="D47" s="23" t="str">
        <f>IFERROR(VLOOKUP(A47,Ventas!A:E,5,0),"")</f>
        <v/>
      </c>
      <c r="E47" s="24">
        <f t="array" ref="E47">IFERROR(INDEX(Ventas!E:J,MATCH(C47&amp;D47,Ventas!D:D&amp;Ventas!E:E,0),11),0)</f>
        <v>0</v>
      </c>
      <c r="F47" s="23" t="str">
        <f t="array" ref="F47">IFERROR(INDEX(Ventas!E:J,MATCH(C47&amp;D47,Ventas!D:D&amp;Ventas!E:E,0),12),"")</f>
        <v/>
      </c>
    </row>
    <row r="48" spans="1:6" ht="22.5" customHeight="1">
      <c r="A48" s="23"/>
      <c r="B48" s="23"/>
      <c r="C48" s="23" t="str">
        <f>IFERROR(VLOOKUP(A48,Ventas!A:D,4,0),"")</f>
        <v/>
      </c>
      <c r="D48" s="23" t="str">
        <f>IFERROR(VLOOKUP(A48,Ventas!A:E,5,0),"")</f>
        <v/>
      </c>
      <c r="E48" s="24">
        <f t="array" ref="E48">IFERROR(INDEX(Ventas!E:J,MATCH(C48&amp;D48,Ventas!D:D&amp;Ventas!E:E,0),11),0)</f>
        <v>0</v>
      </c>
      <c r="F48" s="23" t="str">
        <f t="array" ref="F48">IFERROR(INDEX(Ventas!E:J,MATCH(C48&amp;D48,Ventas!D:D&amp;Ventas!E:E,0),12),"")</f>
        <v/>
      </c>
    </row>
    <row r="49" spans="1:6" ht="22.5" customHeight="1">
      <c r="A49" s="23"/>
      <c r="B49" s="23"/>
      <c r="C49" s="23" t="str">
        <f>IFERROR(VLOOKUP(A49,Ventas!A:D,4,0),"")</f>
        <v/>
      </c>
      <c r="D49" s="23" t="str">
        <f>IFERROR(VLOOKUP(A49,Ventas!A:E,5,0),"")</f>
        <v/>
      </c>
      <c r="E49" s="24">
        <f t="array" ref="E49">IFERROR(INDEX(Ventas!E:J,MATCH(C49&amp;D49,Ventas!D:D&amp;Ventas!E:E,0),11),0)</f>
        <v>0</v>
      </c>
      <c r="F49" s="23" t="str">
        <f t="array" ref="F49">IFERROR(INDEX(Ventas!E:J,MATCH(C49&amp;D49,Ventas!D:D&amp;Ventas!E:E,0),12),"")</f>
        <v/>
      </c>
    </row>
    <row r="50" spans="1:6" ht="22.5" customHeight="1">
      <c r="A50" s="23"/>
      <c r="B50" s="23"/>
      <c r="C50" s="23" t="str">
        <f>IFERROR(VLOOKUP(A50,Ventas!A:D,4,0),"")</f>
        <v/>
      </c>
      <c r="D50" s="23" t="str">
        <f>IFERROR(VLOOKUP(A50,Ventas!A:E,5,0),"")</f>
        <v/>
      </c>
      <c r="E50" s="24">
        <f t="array" ref="E50">IFERROR(INDEX(Ventas!E:J,MATCH(C50&amp;D50,Ventas!D:D&amp;Ventas!E:E,0),11),0)</f>
        <v>0</v>
      </c>
      <c r="F50" s="23" t="str">
        <f t="array" ref="F50">IFERROR(INDEX(Ventas!E:J,MATCH(C50&amp;D50,Ventas!D:D&amp;Ventas!E:E,0),12),"")</f>
        <v/>
      </c>
    </row>
    <row r="51" spans="1:6" ht="12.75">
      <c r="E51" s="4"/>
    </row>
    <row r="52" spans="1:6" ht="12.75">
      <c r="E52" s="4"/>
    </row>
    <row r="53" spans="1:6" ht="12.75">
      <c r="E53" s="4"/>
    </row>
    <row r="54" spans="1:6" ht="12.75">
      <c r="E54" s="4"/>
    </row>
    <row r="55" spans="1:6" ht="12.75">
      <c r="E55" s="4"/>
    </row>
    <row r="56" spans="1:6" ht="12.75">
      <c r="E56" s="4"/>
    </row>
    <row r="57" spans="1:6" ht="12.75">
      <c r="E57" s="4"/>
    </row>
    <row r="58" spans="1:6" ht="12.75">
      <c r="E58" s="4"/>
    </row>
    <row r="59" spans="1:6" ht="12.75">
      <c r="E59" s="4"/>
    </row>
    <row r="60" spans="1:6" ht="12.75">
      <c r="E60" s="4"/>
    </row>
    <row r="61" spans="1:6" ht="12.75">
      <c r="E61" s="4"/>
    </row>
    <row r="62" spans="1:6" ht="12.75">
      <c r="E62" s="4"/>
    </row>
    <row r="63" spans="1:6" ht="12.75">
      <c r="E63" s="4"/>
    </row>
    <row r="64" spans="1:6" ht="12.75">
      <c r="E64" s="4"/>
    </row>
    <row r="65" spans="5:5" ht="12.75">
      <c r="E65" s="4"/>
    </row>
    <row r="66" spans="5:5" ht="12.75">
      <c r="E66" s="4"/>
    </row>
    <row r="67" spans="5:5" ht="12.75">
      <c r="E67" s="4"/>
    </row>
    <row r="68" spans="5:5" ht="12.75">
      <c r="E68" s="4"/>
    </row>
    <row r="69" spans="5:5" ht="12.75">
      <c r="E69" s="4"/>
    </row>
    <row r="70" spans="5:5" ht="12.75">
      <c r="E70" s="4"/>
    </row>
    <row r="71" spans="5:5" ht="12.75">
      <c r="E71" s="4"/>
    </row>
    <row r="72" spans="5:5" ht="12.75">
      <c r="E72" s="4"/>
    </row>
    <row r="73" spans="5:5" ht="12.75">
      <c r="E73" s="4"/>
    </row>
    <row r="74" spans="5:5" ht="12.75">
      <c r="E74" s="4"/>
    </row>
    <row r="75" spans="5:5" ht="12.75">
      <c r="E75" s="4"/>
    </row>
    <row r="76" spans="5:5" ht="12.75">
      <c r="E76" s="4"/>
    </row>
    <row r="77" spans="5:5" ht="12.75">
      <c r="E77" s="4"/>
    </row>
    <row r="78" spans="5:5" ht="12.75">
      <c r="E78" s="4"/>
    </row>
    <row r="79" spans="5:5" ht="12.75">
      <c r="E79" s="4"/>
    </row>
    <row r="80" spans="5:5" ht="12.75">
      <c r="E80" s="4"/>
    </row>
    <row r="81" spans="5:5" ht="12.75">
      <c r="E81" s="4"/>
    </row>
    <row r="82" spans="5:5" ht="12.75">
      <c r="E82" s="4"/>
    </row>
    <row r="83" spans="5:5" ht="12.75">
      <c r="E83" s="4"/>
    </row>
    <row r="84" spans="5:5" ht="12.75">
      <c r="E84" s="4"/>
    </row>
    <row r="85" spans="5:5" ht="12.75">
      <c r="E85" s="4"/>
    </row>
    <row r="86" spans="5:5" ht="12.75">
      <c r="E86" s="4"/>
    </row>
    <row r="87" spans="5:5" ht="12.75">
      <c r="E87" s="4"/>
    </row>
    <row r="88" spans="5:5" ht="12.75">
      <c r="E88" s="4"/>
    </row>
    <row r="89" spans="5:5" ht="12.75">
      <c r="E89" s="4"/>
    </row>
    <row r="90" spans="5:5" ht="12.75">
      <c r="E90" s="4"/>
    </row>
    <row r="91" spans="5:5" ht="12.75">
      <c r="E91" s="4"/>
    </row>
    <row r="92" spans="5:5" ht="12.75">
      <c r="E92" s="4"/>
    </row>
    <row r="93" spans="5:5" ht="12.75">
      <c r="E93" s="4"/>
    </row>
    <row r="94" spans="5:5" ht="12.75">
      <c r="E94" s="4"/>
    </row>
    <row r="95" spans="5:5" ht="12.75">
      <c r="E95" s="4"/>
    </row>
    <row r="96" spans="5:5" ht="12.75">
      <c r="E96" s="4"/>
    </row>
    <row r="97" spans="5:5" ht="12.75">
      <c r="E97" s="4"/>
    </row>
    <row r="98" spans="5:5" ht="12.75">
      <c r="E98" s="4"/>
    </row>
    <row r="99" spans="5:5" ht="12.75">
      <c r="E99" s="4"/>
    </row>
    <row r="100" spans="5:5" ht="12.75">
      <c r="E100" s="4"/>
    </row>
    <row r="101" spans="5:5" ht="12.75">
      <c r="E101" s="4"/>
    </row>
    <row r="102" spans="5:5" ht="12.75">
      <c r="E102" s="4"/>
    </row>
    <row r="103" spans="5:5" ht="12.75">
      <c r="E103" s="4"/>
    </row>
    <row r="104" spans="5:5" ht="12.75">
      <c r="E104" s="4"/>
    </row>
    <row r="105" spans="5:5" ht="12.75">
      <c r="E105" s="4"/>
    </row>
    <row r="106" spans="5:5" ht="12.75">
      <c r="E106" s="4"/>
    </row>
    <row r="107" spans="5:5" ht="12.75">
      <c r="E107" s="4"/>
    </row>
    <row r="108" spans="5:5" ht="12.75">
      <c r="E108" s="4"/>
    </row>
    <row r="109" spans="5:5" ht="12.75">
      <c r="E109" s="4"/>
    </row>
    <row r="110" spans="5:5" ht="12.75">
      <c r="E110" s="4"/>
    </row>
    <row r="111" spans="5:5" ht="12.75">
      <c r="E111" s="4"/>
    </row>
    <row r="112" spans="5:5" ht="12.75">
      <c r="E112" s="4"/>
    </row>
    <row r="113" spans="5:5" ht="12.75">
      <c r="E113" s="4"/>
    </row>
    <row r="114" spans="5:5" ht="12.75">
      <c r="E114" s="4"/>
    </row>
    <row r="115" spans="5:5" ht="12.75">
      <c r="E115" s="4"/>
    </row>
    <row r="116" spans="5:5" ht="12.75">
      <c r="E116" s="4"/>
    </row>
    <row r="117" spans="5:5" ht="12.75">
      <c r="E117" s="4"/>
    </row>
    <row r="118" spans="5:5" ht="12.75">
      <c r="E118" s="4"/>
    </row>
    <row r="119" spans="5:5" ht="12.75">
      <c r="E119" s="4"/>
    </row>
    <row r="120" spans="5:5" ht="12.75">
      <c r="E120" s="4"/>
    </row>
    <row r="121" spans="5:5" ht="12.75">
      <c r="E121" s="4"/>
    </row>
    <row r="122" spans="5:5" ht="12.75">
      <c r="E122" s="4"/>
    </row>
    <row r="123" spans="5:5" ht="12.75">
      <c r="E123" s="4"/>
    </row>
    <row r="124" spans="5:5" ht="12.75">
      <c r="E124" s="4"/>
    </row>
    <row r="125" spans="5:5" ht="12.75">
      <c r="E125" s="4"/>
    </row>
    <row r="126" spans="5:5" ht="12.75">
      <c r="E126" s="4"/>
    </row>
    <row r="127" spans="5:5" ht="12.75">
      <c r="E127" s="4"/>
    </row>
    <row r="128" spans="5:5" ht="12.75">
      <c r="E128" s="4"/>
    </row>
    <row r="129" spans="5:5" ht="12.75">
      <c r="E129" s="4"/>
    </row>
    <row r="130" spans="5:5" ht="12.75">
      <c r="E130" s="4"/>
    </row>
    <row r="131" spans="5:5" ht="12.75">
      <c r="E131" s="4"/>
    </row>
    <row r="132" spans="5:5" ht="12.75">
      <c r="E132" s="4"/>
    </row>
    <row r="133" spans="5:5" ht="12.75">
      <c r="E133" s="4"/>
    </row>
    <row r="134" spans="5:5" ht="12.75">
      <c r="E134" s="4"/>
    </row>
    <row r="135" spans="5:5" ht="12.75">
      <c r="E135" s="4"/>
    </row>
    <row r="136" spans="5:5" ht="12.75">
      <c r="E136" s="4"/>
    </row>
    <row r="137" spans="5:5" ht="12.75">
      <c r="E137" s="4"/>
    </row>
    <row r="138" spans="5:5" ht="12.75">
      <c r="E138" s="4"/>
    </row>
    <row r="139" spans="5:5" ht="12.75">
      <c r="E139" s="4"/>
    </row>
    <row r="140" spans="5:5" ht="12.75">
      <c r="E140" s="4"/>
    </row>
    <row r="141" spans="5:5" ht="12.75">
      <c r="E141" s="4"/>
    </row>
    <row r="142" spans="5:5" ht="12.75">
      <c r="E142" s="4"/>
    </row>
    <row r="143" spans="5:5" ht="12.75">
      <c r="E143" s="4"/>
    </row>
    <row r="144" spans="5:5" ht="12.75">
      <c r="E144" s="4"/>
    </row>
    <row r="145" spans="5:5" ht="12.75">
      <c r="E145" s="4"/>
    </row>
    <row r="146" spans="5:5" ht="12.75">
      <c r="E146" s="4"/>
    </row>
    <row r="147" spans="5:5" ht="12.75">
      <c r="E147" s="4"/>
    </row>
    <row r="148" spans="5:5" ht="12.75">
      <c r="E148" s="4"/>
    </row>
    <row r="149" spans="5:5" ht="12.75">
      <c r="E149" s="4"/>
    </row>
    <row r="150" spans="5:5" ht="12.75">
      <c r="E150" s="4"/>
    </row>
    <row r="151" spans="5:5" ht="12.75">
      <c r="E151" s="4"/>
    </row>
    <row r="152" spans="5:5" ht="12.75">
      <c r="E152" s="4"/>
    </row>
    <row r="153" spans="5:5" ht="12.75">
      <c r="E153" s="4"/>
    </row>
    <row r="154" spans="5:5" ht="12.75">
      <c r="E154" s="4"/>
    </row>
    <row r="155" spans="5:5" ht="12.75">
      <c r="E155" s="4"/>
    </row>
    <row r="156" spans="5:5" ht="12.75">
      <c r="E156" s="4"/>
    </row>
    <row r="157" spans="5:5" ht="12.75">
      <c r="E157" s="4"/>
    </row>
    <row r="158" spans="5:5" ht="12.75">
      <c r="E158" s="4"/>
    </row>
    <row r="159" spans="5:5" ht="12.75">
      <c r="E159" s="4"/>
    </row>
    <row r="160" spans="5:5" ht="12.75">
      <c r="E160" s="4"/>
    </row>
    <row r="161" spans="5:5" ht="12.75">
      <c r="E161" s="4"/>
    </row>
    <row r="162" spans="5:5" ht="12.75">
      <c r="E162" s="4"/>
    </row>
    <row r="163" spans="5:5" ht="12.75">
      <c r="E163" s="4"/>
    </row>
    <row r="164" spans="5:5" ht="12.75">
      <c r="E164" s="4"/>
    </row>
    <row r="165" spans="5:5" ht="12.75">
      <c r="E165" s="4"/>
    </row>
    <row r="166" spans="5:5" ht="12.75">
      <c r="E166" s="4"/>
    </row>
    <row r="167" spans="5:5" ht="12.75">
      <c r="E167" s="4"/>
    </row>
    <row r="168" spans="5:5" ht="12.75">
      <c r="E168" s="4"/>
    </row>
    <row r="169" spans="5:5" ht="12.75">
      <c r="E169" s="4"/>
    </row>
    <row r="170" spans="5:5" ht="12.75">
      <c r="E170" s="4"/>
    </row>
    <row r="171" spans="5:5" ht="12.75">
      <c r="E171" s="4"/>
    </row>
    <row r="172" spans="5:5" ht="12.75">
      <c r="E172" s="4"/>
    </row>
    <row r="173" spans="5:5" ht="12.75">
      <c r="E173" s="4"/>
    </row>
    <row r="174" spans="5:5" ht="12.75">
      <c r="E174" s="4"/>
    </row>
    <row r="175" spans="5:5" ht="12.75">
      <c r="E175" s="4"/>
    </row>
    <row r="176" spans="5:5" ht="12.75">
      <c r="E176" s="4"/>
    </row>
    <row r="177" spans="5:5" ht="12.75">
      <c r="E177" s="4"/>
    </row>
    <row r="178" spans="5:5" ht="12.75">
      <c r="E178" s="4"/>
    </row>
    <row r="179" spans="5:5" ht="12.75">
      <c r="E179" s="4"/>
    </row>
    <row r="180" spans="5:5" ht="12.75">
      <c r="E180" s="4"/>
    </row>
    <row r="181" spans="5:5" ht="12.75">
      <c r="E181" s="4"/>
    </row>
    <row r="182" spans="5:5" ht="12.75">
      <c r="E182" s="4"/>
    </row>
    <row r="183" spans="5:5" ht="12.75">
      <c r="E183" s="4"/>
    </row>
    <row r="184" spans="5:5" ht="12.75">
      <c r="E184" s="4"/>
    </row>
    <row r="185" spans="5:5" ht="12.75">
      <c r="E185" s="4"/>
    </row>
    <row r="186" spans="5:5" ht="12.75">
      <c r="E186" s="4"/>
    </row>
    <row r="187" spans="5:5" ht="12.75">
      <c r="E187" s="4"/>
    </row>
    <row r="188" spans="5:5" ht="12.75">
      <c r="E188" s="4"/>
    </row>
    <row r="189" spans="5:5" ht="12.75">
      <c r="E189" s="4"/>
    </row>
    <row r="190" spans="5:5" ht="12.75">
      <c r="E190" s="4"/>
    </row>
    <row r="191" spans="5:5" ht="12.75">
      <c r="E191" s="4"/>
    </row>
    <row r="192" spans="5:5" ht="12.75">
      <c r="E192" s="4"/>
    </row>
    <row r="193" spans="5:5" ht="12.75">
      <c r="E193" s="4"/>
    </row>
    <row r="194" spans="5:5" ht="12.75">
      <c r="E194" s="4"/>
    </row>
    <row r="195" spans="5:5" ht="12.75">
      <c r="E195" s="4"/>
    </row>
    <row r="196" spans="5:5" ht="12.75">
      <c r="E196" s="4"/>
    </row>
    <row r="197" spans="5:5" ht="12.75">
      <c r="E197" s="4"/>
    </row>
    <row r="198" spans="5:5" ht="12.75">
      <c r="E198" s="4"/>
    </row>
    <row r="199" spans="5:5" ht="12.75">
      <c r="E199" s="4"/>
    </row>
    <row r="200" spans="5:5" ht="12.75">
      <c r="E200" s="4"/>
    </row>
    <row r="201" spans="5:5" ht="12.75">
      <c r="E201" s="4"/>
    </row>
    <row r="202" spans="5:5" ht="12.75">
      <c r="E202" s="4"/>
    </row>
    <row r="203" spans="5:5" ht="12.75">
      <c r="E203" s="4"/>
    </row>
    <row r="204" spans="5:5" ht="12.75">
      <c r="E204" s="4"/>
    </row>
    <row r="205" spans="5:5" ht="12.75">
      <c r="E205" s="4"/>
    </row>
    <row r="206" spans="5:5" ht="12.75">
      <c r="E206" s="4"/>
    </row>
    <row r="207" spans="5:5" ht="12.75">
      <c r="E207" s="4"/>
    </row>
    <row r="208" spans="5:5" ht="12.75">
      <c r="E208" s="4"/>
    </row>
    <row r="209" spans="5:5" ht="12.75">
      <c r="E209" s="4"/>
    </row>
    <row r="210" spans="5:5" ht="12.75">
      <c r="E210" s="4"/>
    </row>
    <row r="211" spans="5:5" ht="12.75">
      <c r="E211" s="4"/>
    </row>
    <row r="212" spans="5:5" ht="12.75">
      <c r="E212" s="4"/>
    </row>
    <row r="213" spans="5:5" ht="12.75">
      <c r="E213" s="4"/>
    </row>
    <row r="214" spans="5:5" ht="12.75">
      <c r="E214" s="4"/>
    </row>
    <row r="215" spans="5:5" ht="12.75">
      <c r="E215" s="4"/>
    </row>
    <row r="216" spans="5:5" ht="12.75">
      <c r="E216" s="4"/>
    </row>
    <row r="217" spans="5:5" ht="12.75">
      <c r="E217" s="4"/>
    </row>
    <row r="218" spans="5:5" ht="12.75">
      <c r="E218" s="4"/>
    </row>
    <row r="219" spans="5:5" ht="12.75">
      <c r="E219" s="4"/>
    </row>
    <row r="220" spans="5:5" ht="12.75">
      <c r="E220" s="4"/>
    </row>
    <row r="221" spans="5:5" ht="12.75">
      <c r="E221" s="4"/>
    </row>
    <row r="222" spans="5:5" ht="12.75">
      <c r="E222" s="4"/>
    </row>
    <row r="223" spans="5:5" ht="12.75">
      <c r="E223" s="4"/>
    </row>
    <row r="224" spans="5:5" ht="12.75">
      <c r="E224" s="4"/>
    </row>
    <row r="225" spans="5:5" ht="12.75">
      <c r="E225" s="4"/>
    </row>
    <row r="226" spans="5:5" ht="12.75">
      <c r="E226" s="4"/>
    </row>
    <row r="227" spans="5:5" ht="12.75">
      <c r="E227" s="4"/>
    </row>
    <row r="228" spans="5:5" ht="12.75">
      <c r="E228" s="4"/>
    </row>
    <row r="229" spans="5:5" ht="12.75">
      <c r="E229" s="4"/>
    </row>
    <row r="230" spans="5:5" ht="12.75">
      <c r="E230" s="4"/>
    </row>
    <row r="231" spans="5:5" ht="12.75">
      <c r="E231" s="4"/>
    </row>
    <row r="232" spans="5:5" ht="12.75">
      <c r="E232" s="4"/>
    </row>
    <row r="233" spans="5:5" ht="12.75">
      <c r="E233" s="4"/>
    </row>
    <row r="234" spans="5:5" ht="12.75">
      <c r="E234" s="4"/>
    </row>
    <row r="235" spans="5:5" ht="12.75">
      <c r="E235" s="4"/>
    </row>
    <row r="236" spans="5:5" ht="12.75">
      <c r="E236" s="4"/>
    </row>
    <row r="237" spans="5:5" ht="12.75">
      <c r="E237" s="4"/>
    </row>
    <row r="238" spans="5:5" ht="12.75">
      <c r="E238" s="4"/>
    </row>
    <row r="239" spans="5:5" ht="12.75">
      <c r="E239" s="4"/>
    </row>
    <row r="240" spans="5:5" ht="12.75">
      <c r="E240" s="4"/>
    </row>
    <row r="241" spans="5:5" ht="12.75">
      <c r="E241" s="4"/>
    </row>
    <row r="242" spans="5:5" ht="12.75">
      <c r="E242" s="4"/>
    </row>
    <row r="243" spans="5:5" ht="12.75">
      <c r="E243" s="4"/>
    </row>
    <row r="244" spans="5:5" ht="12.75">
      <c r="E244" s="4"/>
    </row>
    <row r="245" spans="5:5" ht="12.75">
      <c r="E245" s="4"/>
    </row>
    <row r="246" spans="5:5" ht="12.75">
      <c r="E246" s="4"/>
    </row>
    <row r="247" spans="5:5" ht="12.75">
      <c r="E247" s="4"/>
    </row>
    <row r="248" spans="5:5" ht="12.75">
      <c r="E248" s="4"/>
    </row>
    <row r="249" spans="5:5" ht="12.75">
      <c r="E249" s="4"/>
    </row>
    <row r="250" spans="5:5" ht="12.75">
      <c r="E250" s="4"/>
    </row>
    <row r="251" spans="5:5" ht="12.75">
      <c r="E251" s="4"/>
    </row>
    <row r="252" spans="5:5" ht="12.75">
      <c r="E252" s="4"/>
    </row>
    <row r="253" spans="5:5" ht="12.75">
      <c r="E253" s="4"/>
    </row>
    <row r="254" spans="5:5" ht="12.75">
      <c r="E254" s="4"/>
    </row>
    <row r="255" spans="5:5" ht="12.75">
      <c r="E255" s="4"/>
    </row>
    <row r="256" spans="5:5" ht="12.75">
      <c r="E256" s="4"/>
    </row>
    <row r="257" spans="5:5" ht="12.75">
      <c r="E257" s="4"/>
    </row>
    <row r="258" spans="5:5" ht="12.75">
      <c r="E258" s="4"/>
    </row>
    <row r="259" spans="5:5" ht="12.75">
      <c r="E259" s="4"/>
    </row>
    <row r="260" spans="5:5" ht="12.75">
      <c r="E260" s="4"/>
    </row>
    <row r="261" spans="5:5" ht="12.75">
      <c r="E261" s="4"/>
    </row>
    <row r="262" spans="5:5" ht="12.75">
      <c r="E262" s="4"/>
    </row>
    <row r="263" spans="5:5" ht="12.75">
      <c r="E263" s="4"/>
    </row>
    <row r="264" spans="5:5" ht="12.75">
      <c r="E264" s="4"/>
    </row>
    <row r="265" spans="5:5" ht="12.75">
      <c r="E265" s="4"/>
    </row>
    <row r="266" spans="5:5" ht="12.75">
      <c r="E266" s="4"/>
    </row>
    <row r="267" spans="5:5" ht="12.75">
      <c r="E267" s="4"/>
    </row>
    <row r="268" spans="5:5" ht="12.75">
      <c r="E268" s="4"/>
    </row>
    <row r="269" spans="5:5" ht="12.75">
      <c r="E269" s="4"/>
    </row>
    <row r="270" spans="5:5" ht="12.75">
      <c r="E270" s="4"/>
    </row>
    <row r="271" spans="5:5" ht="12.75">
      <c r="E271" s="4"/>
    </row>
    <row r="272" spans="5:5" ht="12.75">
      <c r="E272" s="4"/>
    </row>
    <row r="273" spans="5:5" ht="12.75">
      <c r="E273" s="4"/>
    </row>
    <row r="274" spans="5:5" ht="12.75">
      <c r="E274" s="4"/>
    </row>
    <row r="275" spans="5:5" ht="12.75">
      <c r="E275" s="4"/>
    </row>
    <row r="276" spans="5:5" ht="12.75">
      <c r="E276" s="4"/>
    </row>
    <row r="277" spans="5:5" ht="12.75">
      <c r="E277" s="4"/>
    </row>
    <row r="278" spans="5:5" ht="12.75">
      <c r="E278" s="4"/>
    </row>
    <row r="279" spans="5:5" ht="12.75">
      <c r="E279" s="4"/>
    </row>
    <row r="280" spans="5:5" ht="12.75">
      <c r="E280" s="4"/>
    </row>
    <row r="281" spans="5:5" ht="12.75">
      <c r="E281" s="4"/>
    </row>
    <row r="282" spans="5:5" ht="12.75">
      <c r="E282" s="4"/>
    </row>
    <row r="283" spans="5:5" ht="12.75">
      <c r="E283" s="4"/>
    </row>
    <row r="284" spans="5:5" ht="12.75">
      <c r="E284" s="4"/>
    </row>
    <row r="285" spans="5:5" ht="12.75">
      <c r="E285" s="4"/>
    </row>
    <row r="286" spans="5:5" ht="12.75">
      <c r="E286" s="4"/>
    </row>
    <row r="287" spans="5:5" ht="12.75">
      <c r="E287" s="4"/>
    </row>
    <row r="288" spans="5:5" ht="12.75">
      <c r="E288" s="4"/>
    </row>
    <row r="289" spans="5:5" ht="12.75">
      <c r="E289" s="4"/>
    </row>
    <row r="290" spans="5:5" ht="12.75">
      <c r="E290" s="4"/>
    </row>
    <row r="291" spans="5:5" ht="12.75">
      <c r="E291" s="4"/>
    </row>
    <row r="292" spans="5:5" ht="12.75">
      <c r="E292" s="4"/>
    </row>
    <row r="293" spans="5:5" ht="12.75">
      <c r="E293" s="4"/>
    </row>
    <row r="294" spans="5:5" ht="12.75">
      <c r="E294" s="4"/>
    </row>
    <row r="295" spans="5:5" ht="12.75">
      <c r="E295" s="4"/>
    </row>
    <row r="296" spans="5:5" ht="12.75">
      <c r="E296" s="4"/>
    </row>
    <row r="297" spans="5:5" ht="12.75">
      <c r="E297" s="4"/>
    </row>
    <row r="298" spans="5:5" ht="12.75">
      <c r="E298" s="4"/>
    </row>
    <row r="299" spans="5:5" ht="12.75">
      <c r="E299" s="4"/>
    </row>
    <row r="300" spans="5:5" ht="12.75">
      <c r="E300" s="4"/>
    </row>
    <row r="301" spans="5:5" ht="12.75">
      <c r="E301" s="4"/>
    </row>
    <row r="302" spans="5:5" ht="12.75">
      <c r="E302" s="4"/>
    </row>
    <row r="303" spans="5:5" ht="12.75">
      <c r="E303" s="4"/>
    </row>
    <row r="304" spans="5:5" ht="12.75">
      <c r="E304" s="4"/>
    </row>
    <row r="305" spans="5:5" ht="12.75">
      <c r="E305" s="4"/>
    </row>
    <row r="306" spans="5:5" ht="12.75">
      <c r="E306" s="4"/>
    </row>
    <row r="307" spans="5:5" ht="12.75">
      <c r="E307" s="4"/>
    </row>
    <row r="308" spans="5:5" ht="12.75">
      <c r="E308" s="4"/>
    </row>
    <row r="309" spans="5:5" ht="12.75">
      <c r="E309" s="4"/>
    </row>
    <row r="310" spans="5:5" ht="12.75">
      <c r="E310" s="4"/>
    </row>
    <row r="311" spans="5:5" ht="12.75">
      <c r="E311" s="4"/>
    </row>
    <row r="312" spans="5:5" ht="12.75">
      <c r="E312" s="4"/>
    </row>
    <row r="313" spans="5:5" ht="12.75">
      <c r="E313" s="4"/>
    </row>
    <row r="314" spans="5:5" ht="12.75">
      <c r="E314" s="4"/>
    </row>
    <row r="315" spans="5:5" ht="12.75">
      <c r="E315" s="4"/>
    </row>
    <row r="316" spans="5:5" ht="12.75">
      <c r="E316" s="4"/>
    </row>
    <row r="317" spans="5:5" ht="12.75">
      <c r="E317" s="4"/>
    </row>
    <row r="318" spans="5:5" ht="12.75">
      <c r="E318" s="4"/>
    </row>
    <row r="319" spans="5:5" ht="12.75">
      <c r="E319" s="4"/>
    </row>
    <row r="320" spans="5:5" ht="12.75">
      <c r="E320" s="4"/>
    </row>
    <row r="321" spans="5:5" ht="12.75">
      <c r="E321" s="4"/>
    </row>
    <row r="322" spans="5:5" ht="12.75">
      <c r="E322" s="4"/>
    </row>
    <row r="323" spans="5:5" ht="12.75">
      <c r="E323" s="4"/>
    </row>
    <row r="324" spans="5:5" ht="12.75">
      <c r="E324" s="4"/>
    </row>
    <row r="325" spans="5:5" ht="12.75">
      <c r="E325" s="4"/>
    </row>
    <row r="326" spans="5:5" ht="12.75">
      <c r="E326" s="4"/>
    </row>
    <row r="327" spans="5:5" ht="12.75">
      <c r="E327" s="4"/>
    </row>
    <row r="328" spans="5:5" ht="12.75">
      <c r="E328" s="4"/>
    </row>
    <row r="329" spans="5:5" ht="12.75">
      <c r="E329" s="4"/>
    </row>
    <row r="330" spans="5:5" ht="12.75">
      <c r="E330" s="4"/>
    </row>
    <row r="331" spans="5:5" ht="12.75">
      <c r="E331" s="4"/>
    </row>
    <row r="332" spans="5:5" ht="12.75">
      <c r="E332" s="4"/>
    </row>
    <row r="333" spans="5:5" ht="12.75">
      <c r="E333" s="4"/>
    </row>
    <row r="334" spans="5:5" ht="12.75">
      <c r="E334" s="4"/>
    </row>
    <row r="335" spans="5:5" ht="12.75">
      <c r="E335" s="4"/>
    </row>
    <row r="336" spans="5:5" ht="12.75">
      <c r="E336" s="4"/>
    </row>
    <row r="337" spans="5:5" ht="12.75">
      <c r="E337" s="4"/>
    </row>
    <row r="338" spans="5:5" ht="12.75">
      <c r="E338" s="4"/>
    </row>
    <row r="339" spans="5:5" ht="12.75">
      <c r="E339" s="4"/>
    </row>
    <row r="340" spans="5:5" ht="12.75">
      <c r="E340" s="4"/>
    </row>
    <row r="341" spans="5:5" ht="12.75">
      <c r="E341" s="4"/>
    </row>
    <row r="342" spans="5:5" ht="12.75">
      <c r="E342" s="4"/>
    </row>
    <row r="343" spans="5:5" ht="12.75">
      <c r="E343" s="4"/>
    </row>
    <row r="344" spans="5:5" ht="12.75">
      <c r="E344" s="4"/>
    </row>
    <row r="345" spans="5:5" ht="12.75">
      <c r="E345" s="4"/>
    </row>
    <row r="346" spans="5:5" ht="12.75">
      <c r="E346" s="4"/>
    </row>
    <row r="347" spans="5:5" ht="12.75">
      <c r="E347" s="4"/>
    </row>
    <row r="348" spans="5:5" ht="12.75">
      <c r="E348" s="4"/>
    </row>
    <row r="349" spans="5:5" ht="12.75">
      <c r="E349" s="4"/>
    </row>
    <row r="350" spans="5:5" ht="12.75">
      <c r="E350" s="4"/>
    </row>
    <row r="351" spans="5:5" ht="12.75">
      <c r="E351" s="4"/>
    </row>
    <row r="352" spans="5:5" ht="12.75">
      <c r="E352" s="4"/>
    </row>
    <row r="353" spans="5:5" ht="12.75">
      <c r="E353" s="4"/>
    </row>
    <row r="354" spans="5:5" ht="12.75">
      <c r="E354" s="4"/>
    </row>
    <row r="355" spans="5:5" ht="12.75">
      <c r="E355" s="4"/>
    </row>
    <row r="356" spans="5:5" ht="12.75">
      <c r="E356" s="4"/>
    </row>
    <row r="357" spans="5:5" ht="12.75">
      <c r="E357" s="4"/>
    </row>
    <row r="358" spans="5:5" ht="12.75">
      <c r="E358" s="4"/>
    </row>
    <row r="359" spans="5:5" ht="12.75">
      <c r="E359" s="4"/>
    </row>
    <row r="360" spans="5:5" ht="12.75">
      <c r="E360" s="4"/>
    </row>
    <row r="361" spans="5:5" ht="12.75">
      <c r="E361" s="4"/>
    </row>
    <row r="362" spans="5:5" ht="12.75">
      <c r="E362" s="4"/>
    </row>
    <row r="363" spans="5:5" ht="12.75">
      <c r="E363" s="4"/>
    </row>
    <row r="364" spans="5:5" ht="12.75">
      <c r="E364" s="4"/>
    </row>
    <row r="365" spans="5:5" ht="12.75">
      <c r="E365" s="4"/>
    </row>
    <row r="366" spans="5:5" ht="12.75">
      <c r="E366" s="4"/>
    </row>
    <row r="367" spans="5:5" ht="12.75">
      <c r="E367" s="4"/>
    </row>
    <row r="368" spans="5:5" ht="12.75">
      <c r="E368" s="4"/>
    </row>
    <row r="369" spans="5:5" ht="12.75">
      <c r="E369" s="4"/>
    </row>
    <row r="370" spans="5:5" ht="12.75">
      <c r="E370" s="4"/>
    </row>
    <row r="371" spans="5:5" ht="12.75">
      <c r="E371" s="4"/>
    </row>
    <row r="372" spans="5:5" ht="12.75">
      <c r="E372" s="4"/>
    </row>
    <row r="373" spans="5:5" ht="12.75">
      <c r="E373" s="4"/>
    </row>
    <row r="374" spans="5:5" ht="12.75">
      <c r="E374" s="4"/>
    </row>
    <row r="375" spans="5:5" ht="12.75">
      <c r="E375" s="4"/>
    </row>
    <row r="376" spans="5:5" ht="12.75">
      <c r="E376" s="4"/>
    </row>
    <row r="377" spans="5:5" ht="12.75">
      <c r="E377" s="4"/>
    </row>
    <row r="378" spans="5:5" ht="12.75">
      <c r="E378" s="4"/>
    </row>
    <row r="379" spans="5:5" ht="12.75">
      <c r="E379" s="4"/>
    </row>
    <row r="380" spans="5:5" ht="12.75">
      <c r="E380" s="4"/>
    </row>
    <row r="381" spans="5:5" ht="12.75">
      <c r="E381" s="4"/>
    </row>
    <row r="382" spans="5:5" ht="12.75">
      <c r="E382" s="4"/>
    </row>
    <row r="383" spans="5:5" ht="12.75">
      <c r="E383" s="4"/>
    </row>
    <row r="384" spans="5:5" ht="12.75">
      <c r="E384" s="4"/>
    </row>
    <row r="385" spans="5:5" ht="12.75">
      <c r="E385" s="4"/>
    </row>
    <row r="386" spans="5:5" ht="12.75">
      <c r="E386" s="4"/>
    </row>
    <row r="387" spans="5:5" ht="12.75">
      <c r="E387" s="4"/>
    </row>
    <row r="388" spans="5:5" ht="12.75">
      <c r="E388" s="4"/>
    </row>
    <row r="389" spans="5:5" ht="12.75">
      <c r="E389" s="4"/>
    </row>
    <row r="390" spans="5:5" ht="12.75">
      <c r="E390" s="4"/>
    </row>
    <row r="391" spans="5:5" ht="12.75">
      <c r="E391" s="4"/>
    </row>
    <row r="392" spans="5:5" ht="12.75">
      <c r="E392" s="4"/>
    </row>
    <row r="393" spans="5:5" ht="12.75">
      <c r="E393" s="4"/>
    </row>
    <row r="394" spans="5:5" ht="12.75">
      <c r="E394" s="4"/>
    </row>
    <row r="395" spans="5:5" ht="12.75">
      <c r="E395" s="4"/>
    </row>
    <row r="396" spans="5:5" ht="12.75">
      <c r="E396" s="4"/>
    </row>
    <row r="397" spans="5:5" ht="12.75">
      <c r="E397" s="4"/>
    </row>
    <row r="398" spans="5:5" ht="12.75">
      <c r="E398" s="4"/>
    </row>
    <row r="399" spans="5:5" ht="12.75">
      <c r="E399" s="4"/>
    </row>
    <row r="400" spans="5:5" ht="12.75">
      <c r="E400" s="4"/>
    </row>
    <row r="401" spans="5:5" ht="12.75">
      <c r="E401" s="4"/>
    </row>
    <row r="402" spans="5:5" ht="12.75">
      <c r="E402" s="4"/>
    </row>
    <row r="403" spans="5:5" ht="12.75">
      <c r="E403" s="4"/>
    </row>
    <row r="404" spans="5:5" ht="12.75">
      <c r="E404" s="4"/>
    </row>
    <row r="405" spans="5:5" ht="12.75">
      <c r="E405" s="4"/>
    </row>
    <row r="406" spans="5:5" ht="12.75">
      <c r="E406" s="4"/>
    </row>
    <row r="407" spans="5:5" ht="12.75">
      <c r="E407" s="4"/>
    </row>
    <row r="408" spans="5:5" ht="12.75">
      <c r="E408" s="4"/>
    </row>
    <row r="409" spans="5:5" ht="12.75">
      <c r="E409" s="4"/>
    </row>
    <row r="410" spans="5:5" ht="12.75">
      <c r="E410" s="4"/>
    </row>
    <row r="411" spans="5:5" ht="12.75">
      <c r="E411" s="4"/>
    </row>
    <row r="412" spans="5:5" ht="12.75">
      <c r="E412" s="4"/>
    </row>
    <row r="413" spans="5:5" ht="12.75">
      <c r="E413" s="4"/>
    </row>
    <row r="414" spans="5:5" ht="12.75">
      <c r="E414" s="4"/>
    </row>
    <row r="415" spans="5:5" ht="12.75">
      <c r="E415" s="4"/>
    </row>
    <row r="416" spans="5:5" ht="12.75">
      <c r="E416" s="4"/>
    </row>
    <row r="417" spans="5:5" ht="12.75">
      <c r="E417" s="4"/>
    </row>
    <row r="418" spans="5:5" ht="12.75">
      <c r="E418" s="4"/>
    </row>
    <row r="419" spans="5:5" ht="12.75">
      <c r="E419" s="4"/>
    </row>
    <row r="420" spans="5:5" ht="12.75">
      <c r="E420" s="4"/>
    </row>
    <row r="421" spans="5:5" ht="12.75">
      <c r="E421" s="4"/>
    </row>
    <row r="422" spans="5:5" ht="12.75">
      <c r="E422" s="4"/>
    </row>
    <row r="423" spans="5:5" ht="12.75">
      <c r="E423" s="4"/>
    </row>
    <row r="424" spans="5:5" ht="12.75">
      <c r="E424" s="4"/>
    </row>
    <row r="425" spans="5:5" ht="12.75">
      <c r="E425" s="4"/>
    </row>
    <row r="426" spans="5:5" ht="12.75">
      <c r="E426" s="4"/>
    </row>
    <row r="427" spans="5:5" ht="12.75">
      <c r="E427" s="4"/>
    </row>
    <row r="428" spans="5:5" ht="12.75">
      <c r="E428" s="4"/>
    </row>
    <row r="429" spans="5:5" ht="12.75">
      <c r="E429" s="4"/>
    </row>
    <row r="430" spans="5:5" ht="12.75">
      <c r="E430" s="4"/>
    </row>
    <row r="431" spans="5:5" ht="12.75">
      <c r="E431" s="4"/>
    </row>
    <row r="432" spans="5:5" ht="12.75">
      <c r="E432" s="4"/>
    </row>
    <row r="433" spans="5:5" ht="12.75">
      <c r="E433" s="4"/>
    </row>
    <row r="434" spans="5:5" ht="12.75">
      <c r="E434" s="4"/>
    </row>
    <row r="435" spans="5:5" ht="12.75">
      <c r="E435" s="4"/>
    </row>
    <row r="436" spans="5:5" ht="12.75">
      <c r="E436" s="4"/>
    </row>
    <row r="437" spans="5:5" ht="12.75">
      <c r="E437" s="4"/>
    </row>
    <row r="438" spans="5:5" ht="12.75">
      <c r="E438" s="4"/>
    </row>
    <row r="439" spans="5:5" ht="12.75">
      <c r="E439" s="4"/>
    </row>
    <row r="440" spans="5:5" ht="12.75">
      <c r="E440" s="4"/>
    </row>
    <row r="441" spans="5:5" ht="12.75">
      <c r="E441" s="4"/>
    </row>
    <row r="442" spans="5:5" ht="12.75">
      <c r="E442" s="4"/>
    </row>
    <row r="443" spans="5:5" ht="12.75">
      <c r="E443" s="4"/>
    </row>
    <row r="444" spans="5:5" ht="12.75">
      <c r="E444" s="4"/>
    </row>
    <row r="445" spans="5:5" ht="12.75">
      <c r="E445" s="4"/>
    </row>
    <row r="446" spans="5:5" ht="12.75">
      <c r="E446" s="4"/>
    </row>
    <row r="447" spans="5:5" ht="12.75">
      <c r="E447" s="4"/>
    </row>
    <row r="448" spans="5:5" ht="12.75">
      <c r="E448" s="4"/>
    </row>
    <row r="449" spans="5:5" ht="12.75">
      <c r="E449" s="4"/>
    </row>
    <row r="450" spans="5:5" ht="12.75">
      <c r="E450" s="4"/>
    </row>
    <row r="451" spans="5:5" ht="12.75">
      <c r="E451" s="4"/>
    </row>
    <row r="452" spans="5:5" ht="12.75">
      <c r="E452" s="4"/>
    </row>
    <row r="453" spans="5:5" ht="12.75">
      <c r="E453" s="4"/>
    </row>
    <row r="454" spans="5:5" ht="12.75">
      <c r="E454" s="4"/>
    </row>
    <row r="455" spans="5:5" ht="12.75">
      <c r="E455" s="4"/>
    </row>
    <row r="456" spans="5:5" ht="12.75">
      <c r="E456" s="4"/>
    </row>
    <row r="457" spans="5:5" ht="12.75">
      <c r="E457" s="4"/>
    </row>
    <row r="458" spans="5:5" ht="12.75">
      <c r="E458" s="4"/>
    </row>
    <row r="459" spans="5:5" ht="12.75">
      <c r="E459" s="4"/>
    </row>
    <row r="460" spans="5:5" ht="12.75">
      <c r="E460" s="4"/>
    </row>
    <row r="461" spans="5:5" ht="12.75">
      <c r="E461" s="4"/>
    </row>
    <row r="462" spans="5:5" ht="12.75">
      <c r="E462" s="4"/>
    </row>
    <row r="463" spans="5:5" ht="12.75">
      <c r="E463" s="4"/>
    </row>
    <row r="464" spans="5:5" ht="12.75">
      <c r="E464" s="4"/>
    </row>
    <row r="465" spans="5:5" ht="12.75">
      <c r="E465" s="4"/>
    </row>
    <row r="466" spans="5:5" ht="12.75">
      <c r="E466" s="4"/>
    </row>
    <row r="467" spans="5:5" ht="12.75">
      <c r="E467" s="4"/>
    </row>
    <row r="468" spans="5:5" ht="12.75">
      <c r="E468" s="4"/>
    </row>
    <row r="469" spans="5:5" ht="12.75">
      <c r="E469" s="4"/>
    </row>
    <row r="470" spans="5:5" ht="12.75">
      <c r="E470" s="4"/>
    </row>
    <row r="471" spans="5:5" ht="12.75">
      <c r="E471" s="4"/>
    </row>
    <row r="472" spans="5:5" ht="12.75">
      <c r="E472" s="4"/>
    </row>
    <row r="473" spans="5:5" ht="12.75">
      <c r="E473" s="4"/>
    </row>
    <row r="474" spans="5:5" ht="12.75">
      <c r="E474" s="4"/>
    </row>
    <row r="475" spans="5:5" ht="12.75">
      <c r="E475" s="4"/>
    </row>
    <row r="476" spans="5:5" ht="12.75">
      <c r="E476" s="4"/>
    </row>
    <row r="477" spans="5:5" ht="12.75">
      <c r="E477" s="4"/>
    </row>
    <row r="478" spans="5:5" ht="12.75">
      <c r="E478" s="4"/>
    </row>
    <row r="479" spans="5:5" ht="12.75">
      <c r="E479" s="4"/>
    </row>
    <row r="480" spans="5:5" ht="12.75">
      <c r="E480" s="4"/>
    </row>
    <row r="481" spans="5:5" ht="12.75">
      <c r="E481" s="4"/>
    </row>
    <row r="482" spans="5:5" ht="12.75">
      <c r="E482" s="4"/>
    </row>
    <row r="483" spans="5:5" ht="12.75">
      <c r="E483" s="4"/>
    </row>
    <row r="484" spans="5:5" ht="12.75">
      <c r="E484" s="4"/>
    </row>
    <row r="485" spans="5:5" ht="12.75">
      <c r="E485" s="4"/>
    </row>
    <row r="486" spans="5:5" ht="12.75">
      <c r="E486" s="4"/>
    </row>
    <row r="487" spans="5:5" ht="12.75">
      <c r="E487" s="4"/>
    </row>
    <row r="488" spans="5:5" ht="12.75">
      <c r="E488" s="4"/>
    </row>
    <row r="489" spans="5:5" ht="12.75">
      <c r="E489" s="4"/>
    </row>
    <row r="490" spans="5:5" ht="12.75">
      <c r="E490" s="4"/>
    </row>
    <row r="491" spans="5:5" ht="12.75">
      <c r="E491" s="4"/>
    </row>
    <row r="492" spans="5:5" ht="12.75">
      <c r="E492" s="4"/>
    </row>
    <row r="493" spans="5:5" ht="12.75">
      <c r="E493" s="4"/>
    </row>
    <row r="494" spans="5:5" ht="12.75">
      <c r="E494" s="4"/>
    </row>
    <row r="495" spans="5:5" ht="12.75">
      <c r="E495" s="4"/>
    </row>
    <row r="496" spans="5:5" ht="12.75">
      <c r="E496" s="4"/>
    </row>
    <row r="497" spans="5:5" ht="12.75">
      <c r="E497" s="4"/>
    </row>
    <row r="498" spans="5:5" ht="12.75">
      <c r="E498" s="4"/>
    </row>
    <row r="499" spans="5:5" ht="12.75">
      <c r="E499" s="4"/>
    </row>
    <row r="500" spans="5:5" ht="12.75">
      <c r="E500" s="4"/>
    </row>
    <row r="501" spans="5:5" ht="12.75">
      <c r="E501" s="4"/>
    </row>
    <row r="502" spans="5:5" ht="12.75">
      <c r="E502" s="4"/>
    </row>
    <row r="503" spans="5:5" ht="12.75">
      <c r="E503" s="4"/>
    </row>
    <row r="504" spans="5:5" ht="12.75">
      <c r="E504" s="4"/>
    </row>
    <row r="505" spans="5:5" ht="12.75">
      <c r="E505" s="4"/>
    </row>
    <row r="506" spans="5:5" ht="12.75">
      <c r="E506" s="4"/>
    </row>
    <row r="507" spans="5:5" ht="12.75">
      <c r="E507" s="4"/>
    </row>
    <row r="508" spans="5:5" ht="12.75">
      <c r="E508" s="4"/>
    </row>
    <row r="509" spans="5:5" ht="12.75">
      <c r="E509" s="4"/>
    </row>
    <row r="510" spans="5:5" ht="12.75">
      <c r="E510" s="4"/>
    </row>
    <row r="511" spans="5:5" ht="12.75">
      <c r="E511" s="4"/>
    </row>
    <row r="512" spans="5:5" ht="12.75">
      <c r="E512" s="4"/>
    </row>
    <row r="513" spans="5:5" ht="12.75">
      <c r="E513" s="4"/>
    </row>
    <row r="514" spans="5:5" ht="12.75">
      <c r="E514" s="4"/>
    </row>
    <row r="515" spans="5:5" ht="12.75">
      <c r="E515" s="4"/>
    </row>
    <row r="516" spans="5:5" ht="12.75">
      <c r="E516" s="4"/>
    </row>
    <row r="517" spans="5:5" ht="12.75">
      <c r="E517" s="4"/>
    </row>
    <row r="518" spans="5:5" ht="12.75">
      <c r="E518" s="4"/>
    </row>
    <row r="519" spans="5:5" ht="12.75">
      <c r="E519" s="4"/>
    </row>
    <row r="520" spans="5:5" ht="12.75">
      <c r="E520" s="4"/>
    </row>
    <row r="521" spans="5:5" ht="12.75">
      <c r="E521" s="4"/>
    </row>
    <row r="522" spans="5:5" ht="12.75">
      <c r="E522" s="4"/>
    </row>
    <row r="523" spans="5:5" ht="12.75">
      <c r="E523" s="4"/>
    </row>
    <row r="524" spans="5:5" ht="12.75">
      <c r="E524" s="4"/>
    </row>
    <row r="525" spans="5:5" ht="12.75">
      <c r="E525" s="4"/>
    </row>
    <row r="526" spans="5:5" ht="12.75">
      <c r="E526" s="4"/>
    </row>
    <row r="527" spans="5:5" ht="12.75">
      <c r="E527" s="4"/>
    </row>
    <row r="528" spans="5:5" ht="12.75">
      <c r="E528" s="4"/>
    </row>
    <row r="529" spans="5:5" ht="12.75">
      <c r="E529" s="4"/>
    </row>
    <row r="530" spans="5:5" ht="12.75">
      <c r="E530" s="4"/>
    </row>
    <row r="531" spans="5:5" ht="12.75">
      <c r="E531" s="4"/>
    </row>
    <row r="532" spans="5:5" ht="12.75">
      <c r="E532" s="4"/>
    </row>
    <row r="533" spans="5:5" ht="12.75">
      <c r="E533" s="4"/>
    </row>
    <row r="534" spans="5:5" ht="12.75">
      <c r="E534" s="4"/>
    </row>
    <row r="535" spans="5:5" ht="12.75">
      <c r="E535" s="4"/>
    </row>
    <row r="536" spans="5:5" ht="12.75">
      <c r="E536" s="4"/>
    </row>
    <row r="537" spans="5:5" ht="12.75">
      <c r="E537" s="4"/>
    </row>
    <row r="538" spans="5:5" ht="12.75">
      <c r="E538" s="4"/>
    </row>
    <row r="539" spans="5:5" ht="12.75">
      <c r="E539" s="4"/>
    </row>
    <row r="540" spans="5:5" ht="12.75">
      <c r="E540" s="4"/>
    </row>
    <row r="541" spans="5:5" ht="12.75">
      <c r="E541" s="4"/>
    </row>
    <row r="542" spans="5:5" ht="12.75">
      <c r="E542" s="4"/>
    </row>
    <row r="543" spans="5:5" ht="12.75">
      <c r="E543" s="4"/>
    </row>
    <row r="544" spans="5:5" ht="12.75">
      <c r="E544" s="4"/>
    </row>
    <row r="545" spans="5:5" ht="12.75">
      <c r="E545" s="4"/>
    </row>
    <row r="546" spans="5:5" ht="12.75">
      <c r="E546" s="4"/>
    </row>
    <row r="547" spans="5:5" ht="12.75">
      <c r="E547" s="4"/>
    </row>
    <row r="548" spans="5:5" ht="12.75">
      <c r="E548" s="4"/>
    </row>
    <row r="549" spans="5:5" ht="12.75">
      <c r="E549" s="4"/>
    </row>
    <row r="550" spans="5:5" ht="12.75">
      <c r="E550" s="4"/>
    </row>
    <row r="551" spans="5:5" ht="12.75">
      <c r="E551" s="4"/>
    </row>
    <row r="552" spans="5:5" ht="12.75">
      <c r="E552" s="4"/>
    </row>
    <row r="553" spans="5:5" ht="12.75">
      <c r="E553" s="4"/>
    </row>
    <row r="554" spans="5:5" ht="12.75">
      <c r="E554" s="4"/>
    </row>
    <row r="555" spans="5:5" ht="12.75">
      <c r="E555" s="4"/>
    </row>
    <row r="556" spans="5:5" ht="12.75">
      <c r="E556" s="4"/>
    </row>
    <row r="557" spans="5:5" ht="12.75">
      <c r="E557" s="4"/>
    </row>
    <row r="558" spans="5:5" ht="12.75">
      <c r="E558" s="4"/>
    </row>
    <row r="559" spans="5:5" ht="12.75">
      <c r="E559" s="4"/>
    </row>
    <row r="560" spans="5:5" ht="12.75">
      <c r="E560" s="4"/>
    </row>
    <row r="561" spans="5:5" ht="12.75">
      <c r="E561" s="4"/>
    </row>
    <row r="562" spans="5:5" ht="12.75">
      <c r="E562" s="4"/>
    </row>
    <row r="563" spans="5:5" ht="12.75">
      <c r="E563" s="4"/>
    </row>
    <row r="564" spans="5:5" ht="12.75">
      <c r="E564" s="4"/>
    </row>
    <row r="565" spans="5:5" ht="12.75">
      <c r="E565" s="4"/>
    </row>
    <row r="566" spans="5:5" ht="12.75">
      <c r="E566" s="4"/>
    </row>
    <row r="567" spans="5:5" ht="12.75">
      <c r="E567" s="4"/>
    </row>
    <row r="568" spans="5:5" ht="12.75">
      <c r="E568" s="4"/>
    </row>
    <row r="569" spans="5:5" ht="12.75">
      <c r="E569" s="4"/>
    </row>
    <row r="570" spans="5:5" ht="12.75">
      <c r="E570" s="4"/>
    </row>
    <row r="571" spans="5:5" ht="12.75">
      <c r="E571" s="4"/>
    </row>
    <row r="572" spans="5:5" ht="12.75">
      <c r="E572" s="4"/>
    </row>
    <row r="573" spans="5:5" ht="12.75">
      <c r="E573" s="4"/>
    </row>
    <row r="574" spans="5:5" ht="12.75">
      <c r="E574" s="4"/>
    </row>
    <row r="575" spans="5:5" ht="12.75">
      <c r="E575" s="4"/>
    </row>
    <row r="576" spans="5:5" ht="12.75">
      <c r="E576" s="4"/>
    </row>
    <row r="577" spans="5:5" ht="12.75">
      <c r="E577" s="4"/>
    </row>
    <row r="578" spans="5:5" ht="12.75">
      <c r="E578" s="4"/>
    </row>
    <row r="579" spans="5:5" ht="12.75">
      <c r="E579" s="4"/>
    </row>
    <row r="580" spans="5:5" ht="12.75">
      <c r="E580" s="4"/>
    </row>
    <row r="581" spans="5:5" ht="12.75">
      <c r="E581" s="4"/>
    </row>
    <row r="582" spans="5:5" ht="12.75">
      <c r="E582" s="4"/>
    </row>
    <row r="583" spans="5:5" ht="12.75">
      <c r="E583" s="4"/>
    </row>
    <row r="584" spans="5:5" ht="12.75">
      <c r="E584" s="4"/>
    </row>
    <row r="585" spans="5:5" ht="12.75">
      <c r="E585" s="4"/>
    </row>
    <row r="586" spans="5:5" ht="12.75">
      <c r="E586" s="4"/>
    </row>
    <row r="587" spans="5:5" ht="12.75">
      <c r="E587" s="4"/>
    </row>
    <row r="588" spans="5:5" ht="12.75">
      <c r="E588" s="4"/>
    </row>
    <row r="589" spans="5:5" ht="12.75">
      <c r="E589" s="4"/>
    </row>
    <row r="590" spans="5:5" ht="12.75">
      <c r="E590" s="4"/>
    </row>
    <row r="591" spans="5:5" ht="12.75">
      <c r="E591" s="4"/>
    </row>
    <row r="592" spans="5:5" ht="12.75">
      <c r="E592" s="4"/>
    </row>
    <row r="593" spans="5:5" ht="12.75">
      <c r="E593" s="4"/>
    </row>
    <row r="594" spans="5:5" ht="12.75">
      <c r="E594" s="4"/>
    </row>
    <row r="595" spans="5:5" ht="12.75">
      <c r="E595" s="4"/>
    </row>
    <row r="596" spans="5:5" ht="12.75">
      <c r="E596" s="4"/>
    </row>
    <row r="597" spans="5:5" ht="12.75">
      <c r="E597" s="4"/>
    </row>
    <row r="598" spans="5:5" ht="12.75">
      <c r="E598" s="4"/>
    </row>
    <row r="599" spans="5:5" ht="12.75">
      <c r="E599" s="4"/>
    </row>
    <row r="600" spans="5:5" ht="12.75">
      <c r="E600" s="4"/>
    </row>
    <row r="601" spans="5:5" ht="12.75">
      <c r="E601" s="4"/>
    </row>
    <row r="602" spans="5:5" ht="12.75">
      <c r="E602" s="4"/>
    </row>
    <row r="603" spans="5:5" ht="12.75">
      <c r="E603" s="4"/>
    </row>
    <row r="604" spans="5:5" ht="12.75">
      <c r="E604" s="4"/>
    </row>
    <row r="605" spans="5:5" ht="12.75">
      <c r="E605" s="4"/>
    </row>
    <row r="606" spans="5:5" ht="12.75">
      <c r="E606" s="4"/>
    </row>
    <row r="607" spans="5:5" ht="12.75">
      <c r="E607" s="4"/>
    </row>
    <row r="608" spans="5:5" ht="12.75">
      <c r="E608" s="4"/>
    </row>
    <row r="609" spans="5:5" ht="12.75">
      <c r="E609" s="4"/>
    </row>
    <row r="610" spans="5:5" ht="12.75">
      <c r="E610" s="4"/>
    </row>
    <row r="611" spans="5:5" ht="12.75">
      <c r="E611" s="4"/>
    </row>
    <row r="612" spans="5:5" ht="12.75">
      <c r="E612" s="4"/>
    </row>
    <row r="613" spans="5:5" ht="12.75">
      <c r="E613" s="4"/>
    </row>
    <row r="614" spans="5:5" ht="12.75">
      <c r="E614" s="4"/>
    </row>
    <row r="615" spans="5:5" ht="12.75">
      <c r="E615" s="4"/>
    </row>
    <row r="616" spans="5:5" ht="12.75">
      <c r="E616" s="4"/>
    </row>
    <row r="617" spans="5:5" ht="12.75">
      <c r="E617" s="4"/>
    </row>
    <row r="618" spans="5:5" ht="12.75">
      <c r="E618" s="4"/>
    </row>
    <row r="619" spans="5:5" ht="12.75">
      <c r="E619" s="4"/>
    </row>
    <row r="620" spans="5:5" ht="12.75">
      <c r="E620" s="4"/>
    </row>
    <row r="621" spans="5:5" ht="12.75">
      <c r="E621" s="4"/>
    </row>
    <row r="622" spans="5:5" ht="12.75">
      <c r="E622" s="4"/>
    </row>
    <row r="623" spans="5:5" ht="12.75">
      <c r="E623" s="4"/>
    </row>
    <row r="624" spans="5:5" ht="12.75">
      <c r="E624" s="4"/>
    </row>
    <row r="625" spans="5:5" ht="12.75">
      <c r="E625" s="4"/>
    </row>
    <row r="626" spans="5:5" ht="12.75">
      <c r="E626" s="4"/>
    </row>
    <row r="627" spans="5:5" ht="12.75">
      <c r="E627" s="4"/>
    </row>
    <row r="628" spans="5:5" ht="12.75">
      <c r="E628" s="4"/>
    </row>
    <row r="629" spans="5:5" ht="12.75">
      <c r="E629" s="4"/>
    </row>
    <row r="630" spans="5:5" ht="12.75">
      <c r="E630" s="4"/>
    </row>
    <row r="631" spans="5:5" ht="12.75">
      <c r="E631" s="4"/>
    </row>
    <row r="632" spans="5:5" ht="12.75">
      <c r="E632" s="4"/>
    </row>
    <row r="633" spans="5:5" ht="12.75">
      <c r="E633" s="4"/>
    </row>
    <row r="634" spans="5:5" ht="12.75">
      <c r="E634" s="4"/>
    </row>
    <row r="635" spans="5:5" ht="12.75">
      <c r="E635" s="4"/>
    </row>
    <row r="636" spans="5:5" ht="12.75">
      <c r="E636" s="4"/>
    </row>
    <row r="637" spans="5:5" ht="12.75">
      <c r="E637" s="4"/>
    </row>
    <row r="638" spans="5:5" ht="12.75">
      <c r="E638" s="4"/>
    </row>
    <row r="639" spans="5:5" ht="12.75">
      <c r="E639" s="4"/>
    </row>
    <row r="640" spans="5:5" ht="12.75">
      <c r="E640" s="4"/>
    </row>
    <row r="641" spans="5:5" ht="12.75">
      <c r="E641" s="4"/>
    </row>
    <row r="642" spans="5:5" ht="12.75">
      <c r="E642" s="4"/>
    </row>
    <row r="643" spans="5:5" ht="12.75">
      <c r="E643" s="4"/>
    </row>
    <row r="644" spans="5:5" ht="12.75">
      <c r="E644" s="4"/>
    </row>
    <row r="645" spans="5:5" ht="12.75">
      <c r="E645" s="4"/>
    </row>
    <row r="646" spans="5:5" ht="12.75">
      <c r="E646" s="4"/>
    </row>
    <row r="647" spans="5:5" ht="12.75">
      <c r="E647" s="4"/>
    </row>
    <row r="648" spans="5:5" ht="12.75">
      <c r="E648" s="4"/>
    </row>
    <row r="649" spans="5:5" ht="12.75">
      <c r="E649" s="4"/>
    </row>
    <row r="650" spans="5:5" ht="12.75">
      <c r="E650" s="4"/>
    </row>
    <row r="651" spans="5:5" ht="12.75">
      <c r="E651" s="4"/>
    </row>
    <row r="652" spans="5:5" ht="12.75">
      <c r="E652" s="4"/>
    </row>
    <row r="653" spans="5:5" ht="12.75">
      <c r="E653" s="4"/>
    </row>
    <row r="654" spans="5:5" ht="12.75">
      <c r="E654" s="4"/>
    </row>
    <row r="655" spans="5:5" ht="12.75">
      <c r="E655" s="4"/>
    </row>
    <row r="656" spans="5:5" ht="12.75">
      <c r="E656" s="4"/>
    </row>
    <row r="657" spans="5:5" ht="12.75">
      <c r="E657" s="4"/>
    </row>
    <row r="658" spans="5:5" ht="12.75">
      <c r="E658" s="4"/>
    </row>
    <row r="659" spans="5:5" ht="12.75">
      <c r="E659" s="4"/>
    </row>
    <row r="660" spans="5:5" ht="12.75">
      <c r="E660" s="4"/>
    </row>
    <row r="661" spans="5:5" ht="12.75">
      <c r="E661" s="4"/>
    </row>
    <row r="662" spans="5:5" ht="12.75">
      <c r="E662" s="4"/>
    </row>
    <row r="663" spans="5:5" ht="12.75">
      <c r="E663" s="4"/>
    </row>
    <row r="664" spans="5:5" ht="12.75">
      <c r="E664" s="4"/>
    </row>
    <row r="665" spans="5:5" ht="12.75">
      <c r="E665" s="4"/>
    </row>
    <row r="666" spans="5:5" ht="12.75">
      <c r="E666" s="4"/>
    </row>
    <row r="667" spans="5:5" ht="12.75">
      <c r="E667" s="4"/>
    </row>
    <row r="668" spans="5:5" ht="12.75">
      <c r="E668" s="4"/>
    </row>
    <row r="669" spans="5:5" ht="12.75">
      <c r="E669" s="4"/>
    </row>
    <row r="670" spans="5:5" ht="12.75">
      <c r="E670" s="4"/>
    </row>
    <row r="671" spans="5:5" ht="12.75">
      <c r="E671" s="4"/>
    </row>
    <row r="672" spans="5:5" ht="12.75">
      <c r="E672" s="4"/>
    </row>
    <row r="673" spans="5:5" ht="12.75">
      <c r="E673" s="4"/>
    </row>
    <row r="674" spans="5:5" ht="12.75">
      <c r="E674" s="4"/>
    </row>
    <row r="675" spans="5:5" ht="12.75">
      <c r="E675" s="4"/>
    </row>
    <row r="676" spans="5:5" ht="12.75">
      <c r="E676" s="4"/>
    </row>
    <row r="677" spans="5:5" ht="12.75">
      <c r="E677" s="4"/>
    </row>
    <row r="678" spans="5:5" ht="12.75">
      <c r="E678" s="4"/>
    </row>
    <row r="679" spans="5:5" ht="12.75">
      <c r="E679" s="4"/>
    </row>
    <row r="680" spans="5:5" ht="12.75">
      <c r="E680" s="4"/>
    </row>
    <row r="681" spans="5:5" ht="12.75">
      <c r="E681" s="4"/>
    </row>
    <row r="682" spans="5:5" ht="12.75">
      <c r="E682" s="4"/>
    </row>
    <row r="683" spans="5:5" ht="12.75">
      <c r="E683" s="4"/>
    </row>
    <row r="684" spans="5:5" ht="12.75">
      <c r="E684" s="4"/>
    </row>
    <row r="685" spans="5:5" ht="12.75">
      <c r="E685" s="4"/>
    </row>
    <row r="686" spans="5:5" ht="12.75">
      <c r="E686" s="4"/>
    </row>
    <row r="687" spans="5:5" ht="12.75">
      <c r="E687" s="4"/>
    </row>
    <row r="688" spans="5:5" ht="12.75">
      <c r="E688" s="4"/>
    </row>
    <row r="689" spans="5:5" ht="12.75">
      <c r="E689" s="4"/>
    </row>
    <row r="690" spans="5:5" ht="12.75">
      <c r="E690" s="4"/>
    </row>
    <row r="691" spans="5:5" ht="12.75">
      <c r="E691" s="4"/>
    </row>
    <row r="692" spans="5:5" ht="12.75">
      <c r="E692" s="4"/>
    </row>
    <row r="693" spans="5:5" ht="12.75">
      <c r="E693" s="4"/>
    </row>
    <row r="694" spans="5:5" ht="12.75">
      <c r="E694" s="4"/>
    </row>
    <row r="695" spans="5:5" ht="12.75">
      <c r="E695" s="4"/>
    </row>
    <row r="696" spans="5:5" ht="12.75">
      <c r="E696" s="4"/>
    </row>
    <row r="697" spans="5:5" ht="12.75">
      <c r="E697" s="4"/>
    </row>
    <row r="698" spans="5:5" ht="12.75">
      <c r="E698" s="4"/>
    </row>
    <row r="699" spans="5:5" ht="12.75">
      <c r="E699" s="4"/>
    </row>
    <row r="700" spans="5:5" ht="12.75">
      <c r="E700" s="4"/>
    </row>
    <row r="701" spans="5:5" ht="12.75">
      <c r="E701" s="4"/>
    </row>
    <row r="702" spans="5:5" ht="12.75">
      <c r="E702" s="4"/>
    </row>
    <row r="703" spans="5:5" ht="12.75">
      <c r="E703" s="4"/>
    </row>
    <row r="704" spans="5:5" ht="12.75">
      <c r="E704" s="4"/>
    </row>
    <row r="705" spans="5:5" ht="12.75">
      <c r="E705" s="4"/>
    </row>
    <row r="706" spans="5:5" ht="12.75">
      <c r="E706" s="4"/>
    </row>
    <row r="707" spans="5:5" ht="12.75">
      <c r="E707" s="4"/>
    </row>
    <row r="708" spans="5:5" ht="12.75">
      <c r="E708" s="4"/>
    </row>
    <row r="709" spans="5:5" ht="12.75">
      <c r="E709" s="4"/>
    </row>
    <row r="710" spans="5:5" ht="12.75">
      <c r="E710" s="4"/>
    </row>
    <row r="711" spans="5:5" ht="12.75">
      <c r="E711" s="4"/>
    </row>
    <row r="712" spans="5:5" ht="12.75">
      <c r="E712" s="4"/>
    </row>
    <row r="713" spans="5:5" ht="12.75">
      <c r="E713" s="4"/>
    </row>
    <row r="714" spans="5:5" ht="12.75">
      <c r="E714" s="4"/>
    </row>
    <row r="715" spans="5:5" ht="12.75">
      <c r="E715" s="4"/>
    </row>
    <row r="716" spans="5:5" ht="12.75">
      <c r="E716" s="4"/>
    </row>
    <row r="717" spans="5:5" ht="12.75">
      <c r="E717" s="4"/>
    </row>
    <row r="718" spans="5:5" ht="12.75">
      <c r="E718" s="4"/>
    </row>
    <row r="719" spans="5:5" ht="12.75">
      <c r="E719" s="4"/>
    </row>
    <row r="720" spans="5:5" ht="12.75">
      <c r="E720" s="4"/>
    </row>
    <row r="721" spans="5:5" ht="12.75">
      <c r="E721" s="4"/>
    </row>
    <row r="722" spans="5:5" ht="12.75">
      <c r="E722" s="4"/>
    </row>
    <row r="723" spans="5:5" ht="12.75">
      <c r="E723" s="4"/>
    </row>
    <row r="724" spans="5:5" ht="12.75">
      <c r="E724" s="4"/>
    </row>
    <row r="725" spans="5:5" ht="12.75">
      <c r="E725" s="4"/>
    </row>
    <row r="726" spans="5:5" ht="12.75">
      <c r="E726" s="4"/>
    </row>
    <row r="727" spans="5:5" ht="12.75">
      <c r="E727" s="4"/>
    </row>
    <row r="728" spans="5:5" ht="12.75">
      <c r="E728" s="4"/>
    </row>
    <row r="729" spans="5:5" ht="12.75">
      <c r="E729" s="4"/>
    </row>
    <row r="730" spans="5:5" ht="12.75">
      <c r="E730" s="4"/>
    </row>
    <row r="731" spans="5:5" ht="12.75">
      <c r="E731" s="4"/>
    </row>
    <row r="732" spans="5:5" ht="12.75">
      <c r="E732" s="4"/>
    </row>
    <row r="733" spans="5:5" ht="12.75">
      <c r="E733" s="4"/>
    </row>
    <row r="734" spans="5:5" ht="12.75">
      <c r="E734" s="4"/>
    </row>
    <row r="735" spans="5:5" ht="12.75">
      <c r="E735" s="4"/>
    </row>
    <row r="736" spans="5:5" ht="12.75">
      <c r="E736" s="4"/>
    </row>
    <row r="737" spans="5:5" ht="12.75">
      <c r="E737" s="4"/>
    </row>
    <row r="738" spans="5:5" ht="12.75">
      <c r="E738" s="4"/>
    </row>
    <row r="739" spans="5:5" ht="12.75">
      <c r="E739" s="4"/>
    </row>
    <row r="740" spans="5:5" ht="12.75">
      <c r="E740" s="4"/>
    </row>
    <row r="741" spans="5:5" ht="12.75">
      <c r="E741" s="4"/>
    </row>
    <row r="742" spans="5:5" ht="12.75">
      <c r="E742" s="4"/>
    </row>
    <row r="743" spans="5:5" ht="12.75">
      <c r="E743" s="4"/>
    </row>
    <row r="744" spans="5:5" ht="12.75">
      <c r="E744" s="4"/>
    </row>
    <row r="745" spans="5:5" ht="12.75">
      <c r="E745" s="4"/>
    </row>
    <row r="746" spans="5:5" ht="12.75">
      <c r="E746" s="4"/>
    </row>
    <row r="747" spans="5:5" ht="12.75">
      <c r="E747" s="4"/>
    </row>
    <row r="748" spans="5:5" ht="12.75">
      <c r="E748" s="4"/>
    </row>
    <row r="749" spans="5:5" ht="12.75">
      <c r="E749" s="4"/>
    </row>
    <row r="750" spans="5:5" ht="12.75">
      <c r="E750" s="4"/>
    </row>
    <row r="751" spans="5:5" ht="12.75">
      <c r="E751" s="4"/>
    </row>
    <row r="752" spans="5:5" ht="12.75">
      <c r="E752" s="4"/>
    </row>
    <row r="753" spans="5:5" ht="12.75">
      <c r="E753" s="4"/>
    </row>
    <row r="754" spans="5:5" ht="12.75">
      <c r="E754" s="4"/>
    </row>
    <row r="755" spans="5:5" ht="12.75">
      <c r="E755" s="4"/>
    </row>
    <row r="756" spans="5:5" ht="12.75">
      <c r="E756" s="4"/>
    </row>
    <row r="757" spans="5:5" ht="12.75">
      <c r="E757" s="4"/>
    </row>
    <row r="758" spans="5:5" ht="12.75">
      <c r="E758" s="4"/>
    </row>
    <row r="759" spans="5:5" ht="12.75">
      <c r="E759" s="4"/>
    </row>
    <row r="760" spans="5:5" ht="12.75">
      <c r="E760" s="4"/>
    </row>
    <row r="761" spans="5:5" ht="12.75">
      <c r="E761" s="4"/>
    </row>
    <row r="762" spans="5:5" ht="12.75">
      <c r="E762" s="4"/>
    </row>
    <row r="763" spans="5:5" ht="12.75">
      <c r="E763" s="4"/>
    </row>
    <row r="764" spans="5:5" ht="12.75">
      <c r="E764" s="4"/>
    </row>
    <row r="765" spans="5:5" ht="12.75">
      <c r="E765" s="4"/>
    </row>
    <row r="766" spans="5:5" ht="12.75">
      <c r="E766" s="4"/>
    </row>
    <row r="767" spans="5:5" ht="12.75">
      <c r="E767" s="4"/>
    </row>
    <row r="768" spans="5:5" ht="12.75">
      <c r="E768" s="4"/>
    </row>
    <row r="769" spans="5:5" ht="12.75">
      <c r="E769" s="4"/>
    </row>
    <row r="770" spans="5:5" ht="12.75">
      <c r="E770" s="4"/>
    </row>
    <row r="771" spans="5:5" ht="12.75">
      <c r="E771" s="4"/>
    </row>
    <row r="772" spans="5:5" ht="12.75">
      <c r="E772" s="4"/>
    </row>
    <row r="773" spans="5:5" ht="12.75">
      <c r="E773" s="4"/>
    </row>
    <row r="774" spans="5:5" ht="12.75">
      <c r="E774" s="4"/>
    </row>
    <row r="775" spans="5:5" ht="12.75">
      <c r="E775" s="4"/>
    </row>
    <row r="776" spans="5:5" ht="12.75">
      <c r="E776" s="4"/>
    </row>
    <row r="777" spans="5:5" ht="12.75">
      <c r="E777" s="4"/>
    </row>
    <row r="778" spans="5:5" ht="12.75">
      <c r="E778" s="4"/>
    </row>
    <row r="779" spans="5:5" ht="12.75">
      <c r="E779" s="4"/>
    </row>
    <row r="780" spans="5:5" ht="12.75">
      <c r="E780" s="4"/>
    </row>
    <row r="781" spans="5:5" ht="12.75">
      <c r="E781" s="4"/>
    </row>
    <row r="782" spans="5:5" ht="12.75">
      <c r="E782" s="4"/>
    </row>
    <row r="783" spans="5:5" ht="12.75">
      <c r="E783" s="4"/>
    </row>
    <row r="784" spans="5:5" ht="12.75">
      <c r="E784" s="4"/>
    </row>
    <row r="785" spans="5:5" ht="12.75">
      <c r="E785" s="4"/>
    </row>
    <row r="786" spans="5:5" ht="12.75">
      <c r="E786" s="4"/>
    </row>
    <row r="787" spans="5:5" ht="12.75">
      <c r="E787" s="4"/>
    </row>
    <row r="788" spans="5:5" ht="12.75">
      <c r="E788" s="4"/>
    </row>
    <row r="789" spans="5:5" ht="12.75">
      <c r="E789" s="4"/>
    </row>
    <row r="790" spans="5:5" ht="12.75">
      <c r="E790" s="4"/>
    </row>
    <row r="791" spans="5:5" ht="12.75">
      <c r="E791" s="4"/>
    </row>
    <row r="792" spans="5:5" ht="12.75">
      <c r="E792" s="4"/>
    </row>
    <row r="793" spans="5:5" ht="12.75">
      <c r="E793" s="4"/>
    </row>
    <row r="794" spans="5:5" ht="12.75">
      <c r="E794" s="4"/>
    </row>
    <row r="795" spans="5:5" ht="12.75">
      <c r="E795" s="4"/>
    </row>
    <row r="796" spans="5:5" ht="12.75">
      <c r="E796" s="4"/>
    </row>
    <row r="797" spans="5:5" ht="12.75">
      <c r="E797" s="4"/>
    </row>
    <row r="798" spans="5:5" ht="12.75">
      <c r="E798" s="4"/>
    </row>
    <row r="799" spans="5:5" ht="12.75">
      <c r="E799" s="4"/>
    </row>
    <row r="800" spans="5:5" ht="12.75">
      <c r="E800" s="4"/>
    </row>
    <row r="801" spans="5:5" ht="12.75">
      <c r="E801" s="4"/>
    </row>
    <row r="802" spans="5:5" ht="12.75">
      <c r="E802" s="4"/>
    </row>
    <row r="803" spans="5:5" ht="12.75">
      <c r="E803" s="4"/>
    </row>
    <row r="804" spans="5:5" ht="12.75">
      <c r="E804" s="4"/>
    </row>
    <row r="805" spans="5:5" ht="12.75">
      <c r="E805" s="4"/>
    </row>
    <row r="806" spans="5:5" ht="12.75">
      <c r="E806" s="4"/>
    </row>
    <row r="807" spans="5:5" ht="12.75">
      <c r="E807" s="4"/>
    </row>
    <row r="808" spans="5:5" ht="12.75">
      <c r="E808" s="4"/>
    </row>
    <row r="809" spans="5:5" ht="12.75">
      <c r="E809" s="4"/>
    </row>
    <row r="810" spans="5:5" ht="12.75">
      <c r="E810" s="4"/>
    </row>
    <row r="811" spans="5:5" ht="12.75">
      <c r="E811" s="4"/>
    </row>
    <row r="812" spans="5:5" ht="12.75">
      <c r="E812" s="4"/>
    </row>
    <row r="813" spans="5:5" ht="12.75">
      <c r="E813" s="4"/>
    </row>
    <row r="814" spans="5:5" ht="12.75">
      <c r="E814" s="4"/>
    </row>
    <row r="815" spans="5:5" ht="12.75">
      <c r="E815" s="4"/>
    </row>
    <row r="816" spans="5:5" ht="12.75">
      <c r="E816" s="4"/>
    </row>
    <row r="817" spans="5:5" ht="12.75">
      <c r="E817" s="4"/>
    </row>
    <row r="818" spans="5:5" ht="12.75">
      <c r="E818" s="4"/>
    </row>
    <row r="819" spans="5:5" ht="12.75">
      <c r="E819" s="4"/>
    </row>
    <row r="820" spans="5:5" ht="12.75">
      <c r="E820" s="4"/>
    </row>
    <row r="821" spans="5:5" ht="12.75">
      <c r="E821" s="4"/>
    </row>
    <row r="822" spans="5:5" ht="12.75">
      <c r="E822" s="4"/>
    </row>
    <row r="823" spans="5:5" ht="12.75">
      <c r="E823" s="4"/>
    </row>
    <row r="824" spans="5:5" ht="12.75">
      <c r="E824" s="4"/>
    </row>
    <row r="825" spans="5:5" ht="12.75">
      <c r="E825" s="4"/>
    </row>
    <row r="826" spans="5:5" ht="12.75">
      <c r="E826" s="4"/>
    </row>
    <row r="827" spans="5:5" ht="12.75">
      <c r="E827" s="4"/>
    </row>
    <row r="828" spans="5:5" ht="12.75">
      <c r="E828" s="4"/>
    </row>
    <row r="829" spans="5:5" ht="12.75">
      <c r="E829" s="4"/>
    </row>
    <row r="830" spans="5:5" ht="12.75">
      <c r="E830" s="4"/>
    </row>
    <row r="831" spans="5:5" ht="12.75">
      <c r="E831" s="4"/>
    </row>
    <row r="832" spans="5:5" ht="12.75">
      <c r="E832" s="4"/>
    </row>
    <row r="833" spans="5:5" ht="12.75">
      <c r="E833" s="4"/>
    </row>
    <row r="834" spans="5:5" ht="12.75">
      <c r="E834" s="4"/>
    </row>
    <row r="835" spans="5:5" ht="12.75">
      <c r="E835" s="4"/>
    </row>
    <row r="836" spans="5:5" ht="12.75">
      <c r="E836" s="4"/>
    </row>
    <row r="837" spans="5:5" ht="12.75">
      <c r="E837" s="4"/>
    </row>
    <row r="838" spans="5:5" ht="12.75">
      <c r="E838" s="4"/>
    </row>
    <row r="839" spans="5:5" ht="12.75">
      <c r="E839" s="4"/>
    </row>
    <row r="840" spans="5:5" ht="12.75">
      <c r="E840" s="4"/>
    </row>
    <row r="841" spans="5:5" ht="12.75">
      <c r="E841" s="4"/>
    </row>
    <row r="842" spans="5:5" ht="12.75">
      <c r="E842" s="4"/>
    </row>
    <row r="843" spans="5:5" ht="12.75">
      <c r="E843" s="4"/>
    </row>
    <row r="844" spans="5:5" ht="12.75">
      <c r="E844" s="4"/>
    </row>
    <row r="845" spans="5:5" ht="12.75">
      <c r="E845" s="4"/>
    </row>
    <row r="846" spans="5:5" ht="12.75">
      <c r="E846" s="4"/>
    </row>
    <row r="847" spans="5:5" ht="12.75">
      <c r="E847" s="4"/>
    </row>
    <row r="848" spans="5:5" ht="12.75">
      <c r="E848" s="4"/>
    </row>
    <row r="849" spans="5:5" ht="12.75">
      <c r="E849" s="4"/>
    </row>
    <row r="850" spans="5:5" ht="12.75">
      <c r="E850" s="4"/>
    </row>
    <row r="851" spans="5:5" ht="12.75">
      <c r="E851" s="4"/>
    </row>
    <row r="852" spans="5:5" ht="12.75">
      <c r="E852" s="4"/>
    </row>
    <row r="853" spans="5:5" ht="12.75">
      <c r="E853" s="4"/>
    </row>
    <row r="854" spans="5:5" ht="12.75">
      <c r="E854" s="4"/>
    </row>
    <row r="855" spans="5:5" ht="12.75">
      <c r="E855" s="4"/>
    </row>
    <row r="856" spans="5:5" ht="12.75">
      <c r="E856" s="4"/>
    </row>
    <row r="857" spans="5:5" ht="12.75">
      <c r="E857" s="4"/>
    </row>
    <row r="858" spans="5:5" ht="12.75">
      <c r="E858" s="4"/>
    </row>
    <row r="859" spans="5:5" ht="12.75">
      <c r="E859" s="4"/>
    </row>
    <row r="860" spans="5:5" ht="12.75">
      <c r="E860" s="4"/>
    </row>
    <row r="861" spans="5:5" ht="12.75">
      <c r="E861" s="4"/>
    </row>
    <row r="862" spans="5:5" ht="12.75">
      <c r="E862" s="4"/>
    </row>
    <row r="863" spans="5:5" ht="12.75">
      <c r="E863" s="4"/>
    </row>
    <row r="864" spans="5:5" ht="12.75">
      <c r="E864" s="4"/>
    </row>
    <row r="865" spans="5:5" ht="12.75">
      <c r="E865" s="4"/>
    </row>
    <row r="866" spans="5:5" ht="12.75">
      <c r="E866" s="4"/>
    </row>
    <row r="867" spans="5:5" ht="12.75">
      <c r="E867" s="4"/>
    </row>
    <row r="868" spans="5:5" ht="12.75">
      <c r="E868" s="4"/>
    </row>
    <row r="869" spans="5:5" ht="12.75">
      <c r="E869" s="4"/>
    </row>
    <row r="870" spans="5:5" ht="12.75">
      <c r="E870" s="4"/>
    </row>
    <row r="871" spans="5:5" ht="12.75">
      <c r="E871" s="4"/>
    </row>
    <row r="872" spans="5:5" ht="12.75">
      <c r="E872" s="4"/>
    </row>
    <row r="873" spans="5:5" ht="12.75">
      <c r="E873" s="4"/>
    </row>
    <row r="874" spans="5:5" ht="12.75">
      <c r="E874" s="4"/>
    </row>
    <row r="875" spans="5:5" ht="12.75">
      <c r="E875" s="4"/>
    </row>
    <row r="876" spans="5:5" ht="12.75">
      <c r="E876" s="4"/>
    </row>
    <row r="877" spans="5:5" ht="12.75">
      <c r="E877" s="4"/>
    </row>
    <row r="878" spans="5:5" ht="12.75">
      <c r="E878" s="4"/>
    </row>
    <row r="879" spans="5:5" ht="12.75">
      <c r="E879" s="4"/>
    </row>
    <row r="880" spans="5:5" ht="12.75">
      <c r="E880" s="4"/>
    </row>
    <row r="881" spans="5:5" ht="12.75">
      <c r="E881" s="4"/>
    </row>
    <row r="882" spans="5:5" ht="12.75">
      <c r="E882" s="4"/>
    </row>
    <row r="883" spans="5:5" ht="12.75">
      <c r="E883" s="4"/>
    </row>
    <row r="884" spans="5:5" ht="12.75">
      <c r="E884" s="4"/>
    </row>
    <row r="885" spans="5:5" ht="12.75">
      <c r="E885" s="4"/>
    </row>
    <row r="886" spans="5:5" ht="12.75">
      <c r="E886" s="4"/>
    </row>
    <row r="887" spans="5:5" ht="12.75">
      <c r="E887" s="4"/>
    </row>
    <row r="888" spans="5:5" ht="12.75">
      <c r="E888" s="4"/>
    </row>
    <row r="889" spans="5:5" ht="12.75">
      <c r="E889" s="4"/>
    </row>
    <row r="890" spans="5:5" ht="12.75">
      <c r="E890" s="4"/>
    </row>
    <row r="891" spans="5:5" ht="12.75">
      <c r="E891" s="4"/>
    </row>
    <row r="892" spans="5:5" ht="12.75">
      <c r="E892" s="4"/>
    </row>
    <row r="893" spans="5:5" ht="12.75">
      <c r="E893" s="4"/>
    </row>
    <row r="894" spans="5:5" ht="12.75">
      <c r="E894" s="4"/>
    </row>
    <row r="895" spans="5:5" ht="12.75">
      <c r="E895" s="4"/>
    </row>
    <row r="896" spans="5:5" ht="12.75">
      <c r="E896" s="4"/>
    </row>
    <row r="897" spans="5:5" ht="12.75">
      <c r="E897" s="4"/>
    </row>
    <row r="898" spans="5:5" ht="12.75">
      <c r="E898" s="4"/>
    </row>
    <row r="899" spans="5:5" ht="12.75">
      <c r="E899" s="4"/>
    </row>
    <row r="900" spans="5:5" ht="12.75">
      <c r="E900" s="4"/>
    </row>
    <row r="901" spans="5:5" ht="12.75">
      <c r="E901" s="4"/>
    </row>
    <row r="902" spans="5:5" ht="12.75">
      <c r="E902" s="4"/>
    </row>
    <row r="903" spans="5:5" ht="12.75">
      <c r="E903" s="4"/>
    </row>
    <row r="904" spans="5:5" ht="12.75">
      <c r="E904" s="4"/>
    </row>
    <row r="905" spans="5:5" ht="12.75">
      <c r="E905" s="4"/>
    </row>
    <row r="906" spans="5:5" ht="12.75">
      <c r="E906" s="4"/>
    </row>
    <row r="907" spans="5:5" ht="12.75">
      <c r="E907" s="4"/>
    </row>
    <row r="908" spans="5:5" ht="12.75">
      <c r="E908" s="4"/>
    </row>
    <row r="909" spans="5:5" ht="12.75">
      <c r="E909" s="4"/>
    </row>
    <row r="910" spans="5:5" ht="12.75">
      <c r="E910" s="4"/>
    </row>
    <row r="911" spans="5:5" ht="12.75">
      <c r="E911" s="4"/>
    </row>
    <row r="912" spans="5:5" ht="12.75">
      <c r="E912" s="4"/>
    </row>
    <row r="913" spans="5:5" ht="12.75">
      <c r="E913" s="4"/>
    </row>
    <row r="914" spans="5:5" ht="12.75">
      <c r="E914" s="4"/>
    </row>
    <row r="915" spans="5:5" ht="12.75">
      <c r="E915" s="4"/>
    </row>
    <row r="916" spans="5:5" ht="12.75">
      <c r="E916" s="4"/>
    </row>
    <row r="917" spans="5:5" ht="12.75">
      <c r="E917" s="4"/>
    </row>
    <row r="918" spans="5:5" ht="12.75">
      <c r="E918" s="4"/>
    </row>
    <row r="919" spans="5:5" ht="12.75">
      <c r="E919" s="4"/>
    </row>
    <row r="920" spans="5:5" ht="12.75">
      <c r="E920" s="4"/>
    </row>
    <row r="921" spans="5:5" ht="12.75">
      <c r="E921" s="4"/>
    </row>
    <row r="922" spans="5:5" ht="12.75">
      <c r="E922" s="4"/>
    </row>
    <row r="923" spans="5:5" ht="12.75">
      <c r="E923" s="4"/>
    </row>
    <row r="924" spans="5:5" ht="12.75">
      <c r="E924" s="4"/>
    </row>
    <row r="925" spans="5:5" ht="12.75">
      <c r="E925" s="4"/>
    </row>
    <row r="926" spans="5:5" ht="12.75">
      <c r="E926" s="4"/>
    </row>
    <row r="927" spans="5:5" ht="12.75">
      <c r="E927" s="4"/>
    </row>
    <row r="928" spans="5:5" ht="12.75">
      <c r="E928" s="4"/>
    </row>
    <row r="929" spans="5:5" ht="12.75">
      <c r="E929" s="4"/>
    </row>
    <row r="930" spans="5:5" ht="12.75">
      <c r="E930" s="4"/>
    </row>
    <row r="931" spans="5:5" ht="12.75">
      <c r="E931" s="4"/>
    </row>
    <row r="932" spans="5:5" ht="12.75">
      <c r="E932" s="4"/>
    </row>
    <row r="933" spans="5:5" ht="12.75">
      <c r="E933" s="4"/>
    </row>
    <row r="934" spans="5:5" ht="12.75">
      <c r="E934" s="4"/>
    </row>
    <row r="935" spans="5:5" ht="12.75">
      <c r="E935" s="4"/>
    </row>
    <row r="936" spans="5:5" ht="12.75">
      <c r="E936" s="4"/>
    </row>
    <row r="937" spans="5:5" ht="12.75">
      <c r="E937" s="4"/>
    </row>
    <row r="938" spans="5:5" ht="12.75">
      <c r="E938" s="4"/>
    </row>
    <row r="939" spans="5:5" ht="12.75">
      <c r="E939" s="4"/>
    </row>
    <row r="940" spans="5:5" ht="12.75">
      <c r="E940" s="4"/>
    </row>
    <row r="941" spans="5:5" ht="12.75">
      <c r="E941" s="4"/>
    </row>
    <row r="942" spans="5:5" ht="12.75">
      <c r="E942" s="4"/>
    </row>
    <row r="943" spans="5:5" ht="12.75">
      <c r="E943" s="4"/>
    </row>
    <row r="944" spans="5:5" ht="12.75">
      <c r="E944" s="4"/>
    </row>
    <row r="945" spans="5:5" ht="12.75">
      <c r="E945" s="4"/>
    </row>
    <row r="946" spans="5:5" ht="12.75">
      <c r="E946" s="4"/>
    </row>
    <row r="947" spans="5:5" ht="12.75">
      <c r="E947" s="4"/>
    </row>
    <row r="948" spans="5:5" ht="12.75">
      <c r="E948" s="4"/>
    </row>
    <row r="949" spans="5:5" ht="12.75">
      <c r="E949" s="4"/>
    </row>
    <row r="950" spans="5:5" ht="12.75">
      <c r="E950" s="4"/>
    </row>
    <row r="951" spans="5:5" ht="12.75">
      <c r="E951" s="4"/>
    </row>
    <row r="952" spans="5:5" ht="12.75">
      <c r="E952" s="4"/>
    </row>
    <row r="953" spans="5:5" ht="12.75">
      <c r="E953" s="4"/>
    </row>
    <row r="954" spans="5:5" ht="12.75">
      <c r="E954" s="4"/>
    </row>
    <row r="955" spans="5:5" ht="12.75">
      <c r="E955" s="4"/>
    </row>
    <row r="956" spans="5:5" ht="12.75">
      <c r="E956" s="4"/>
    </row>
    <row r="957" spans="5:5" ht="12.75">
      <c r="E957" s="4"/>
    </row>
    <row r="958" spans="5:5" ht="12.75">
      <c r="E958" s="4"/>
    </row>
    <row r="959" spans="5:5" ht="12.75">
      <c r="E959" s="4"/>
    </row>
    <row r="960" spans="5:5" ht="12.75">
      <c r="E960" s="4"/>
    </row>
    <row r="961" spans="5:5" ht="12.75">
      <c r="E961" s="4"/>
    </row>
    <row r="962" spans="5:5" ht="12.75">
      <c r="E962" s="4"/>
    </row>
    <row r="963" spans="5:5" ht="12.75">
      <c r="E963" s="4"/>
    </row>
    <row r="964" spans="5:5" ht="12.75">
      <c r="E964" s="4"/>
    </row>
    <row r="965" spans="5:5" ht="12.75">
      <c r="E965" s="4"/>
    </row>
    <row r="966" spans="5:5" ht="12.75">
      <c r="E966" s="4"/>
    </row>
    <row r="967" spans="5:5" ht="12.75">
      <c r="E967" s="4"/>
    </row>
    <row r="968" spans="5:5" ht="12.75">
      <c r="E968" s="4"/>
    </row>
    <row r="969" spans="5:5" ht="12.75">
      <c r="E969" s="4"/>
    </row>
    <row r="970" spans="5:5" ht="12.75">
      <c r="E970" s="4"/>
    </row>
    <row r="971" spans="5:5" ht="12.75">
      <c r="E971" s="4"/>
    </row>
    <row r="972" spans="5:5" ht="12.75">
      <c r="E972" s="4"/>
    </row>
    <row r="973" spans="5:5" ht="12.75">
      <c r="E973" s="4"/>
    </row>
    <row r="974" spans="5:5" ht="12.75">
      <c r="E974" s="4"/>
    </row>
    <row r="975" spans="5:5" ht="12.75">
      <c r="E975" s="4"/>
    </row>
    <row r="976" spans="5:5" ht="12.75">
      <c r="E976" s="4"/>
    </row>
    <row r="977" spans="5:5" ht="12.75">
      <c r="E977" s="4"/>
    </row>
    <row r="978" spans="5:5" ht="12.75">
      <c r="E978" s="4"/>
    </row>
    <row r="979" spans="5:5" ht="12.75">
      <c r="E979" s="4"/>
    </row>
    <row r="980" spans="5:5" ht="12.75">
      <c r="E980" s="4"/>
    </row>
    <row r="981" spans="5:5" ht="12.75">
      <c r="E981" s="4"/>
    </row>
    <row r="982" spans="5:5" ht="12.75">
      <c r="E982" s="4"/>
    </row>
    <row r="983" spans="5:5" ht="12.75">
      <c r="E983" s="4"/>
    </row>
    <row r="984" spans="5:5" ht="12.75">
      <c r="E984" s="4"/>
    </row>
    <row r="985" spans="5:5" ht="12.75">
      <c r="E985" s="4"/>
    </row>
    <row r="986" spans="5:5" ht="12.75">
      <c r="E986" s="4"/>
    </row>
    <row r="987" spans="5:5" ht="12.75">
      <c r="E987" s="4"/>
    </row>
    <row r="988" spans="5:5" ht="12.75">
      <c r="E988" s="4"/>
    </row>
    <row r="989" spans="5:5" ht="12.75">
      <c r="E989" s="4"/>
    </row>
    <row r="990" spans="5:5" ht="12.75">
      <c r="E990" s="4"/>
    </row>
    <row r="991" spans="5:5" ht="12.75">
      <c r="E991" s="4"/>
    </row>
    <row r="992" spans="5:5" ht="12.75">
      <c r="E992" s="4"/>
    </row>
    <row r="993" spans="5:5" ht="12.75">
      <c r="E993" s="4"/>
    </row>
    <row r="994" spans="5:5" ht="12.75">
      <c r="E994" s="4"/>
    </row>
    <row r="995" spans="5:5" ht="12.75">
      <c r="E995" s="4"/>
    </row>
    <row r="996" spans="5:5" ht="12.75">
      <c r="E996" s="4"/>
    </row>
    <row r="997" spans="5:5" ht="12.75">
      <c r="E997" s="4"/>
    </row>
    <row r="998" spans="5:5" ht="12.75">
      <c r="E998" s="4"/>
    </row>
    <row r="999" spans="5:5" ht="12.75">
      <c r="E999" s="4"/>
    </row>
    <row r="1000" spans="5:5" ht="12.75">
      <c r="E1000" s="4"/>
    </row>
    <row r="1001" spans="5:5" ht="12.75">
      <c r="E1001" s="4"/>
    </row>
  </sheetData>
  <dataValidations count="1">
    <dataValidation type="custom" allowBlank="1" showDropDown="1" sqref="D2:E50" xr:uid="{00000000-0002-0000-0500-000000000000}">
      <formula1>AND(ISNUMBER(D2),(NOT(OR(NOT(ISERROR(DATEVALUE(D2))), AND(ISNUMBER(D2), LEFT(CELL("format", D2))="D")))))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Compras</vt:lpstr>
      <vt:lpstr>Ventas</vt:lpstr>
      <vt:lpstr>Mobil Neto</vt:lpstr>
      <vt:lpstr>CxC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León Barrera</cp:lastModifiedBy>
  <dcterms:modified xsi:type="dcterms:W3CDTF">2026-02-17T15:56:33Z</dcterms:modified>
</cp:coreProperties>
</file>